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 Fatih\Downloads\OneDrive_1_11-5-2025\"/>
    </mc:Choice>
  </mc:AlternateContent>
  <xr:revisionPtr revIDLastSave="0" documentId="13_ncr:1_{9CAA133F-1A99-470F-B696-C6C168D482F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" sheetId="1" r:id="rId1"/>
  </sheets>
  <definedNames>
    <definedName name="ExternalData_1" localSheetId="0" hidden="1">Data!$A$2:$M$1001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P6" i="1" s="1"/>
  <c r="Q6" i="1" s="1"/>
  <c r="W6" i="1" s="1"/>
  <c r="O7" i="1"/>
  <c r="O8" i="1"/>
  <c r="O9" i="1"/>
  <c r="O10" i="1"/>
  <c r="P10" i="1" s="1"/>
  <c r="Q10" i="1" s="1"/>
  <c r="W10" i="1" s="1"/>
  <c r="O11" i="1"/>
  <c r="O12" i="1"/>
  <c r="O13" i="1"/>
  <c r="O14" i="1"/>
  <c r="P14" i="1" s="1"/>
  <c r="Q14" i="1" s="1"/>
  <c r="W14" i="1" s="1"/>
  <c r="O15" i="1"/>
  <c r="O16" i="1"/>
  <c r="O17" i="1"/>
  <c r="O18" i="1"/>
  <c r="P18" i="1" s="1"/>
  <c r="Q18" i="1" s="1"/>
  <c r="W18" i="1" s="1"/>
  <c r="O19" i="1"/>
  <c r="O20" i="1"/>
  <c r="O21" i="1"/>
  <c r="O22" i="1"/>
  <c r="P22" i="1" s="1"/>
  <c r="Q22" i="1" s="1"/>
  <c r="W22" i="1" s="1"/>
  <c r="O23" i="1"/>
  <c r="O24" i="1"/>
  <c r="O25" i="1"/>
  <c r="O26" i="1"/>
  <c r="P26" i="1" s="1"/>
  <c r="Q26" i="1" s="1"/>
  <c r="W26" i="1" s="1"/>
  <c r="O27" i="1"/>
  <c r="O28" i="1"/>
  <c r="O29" i="1"/>
  <c r="O30" i="1"/>
  <c r="P30" i="1" s="1"/>
  <c r="Q30" i="1" s="1"/>
  <c r="W30" i="1" s="1"/>
  <c r="O31" i="1"/>
  <c r="O32" i="1"/>
  <c r="O33" i="1"/>
  <c r="O34" i="1"/>
  <c r="P34" i="1" s="1"/>
  <c r="Q34" i="1" s="1"/>
  <c r="W34" i="1" s="1"/>
  <c r="O35" i="1"/>
  <c r="O36" i="1"/>
  <c r="O37" i="1"/>
  <c r="O38" i="1"/>
  <c r="P38" i="1" s="1"/>
  <c r="Q38" i="1" s="1"/>
  <c r="W38" i="1" s="1"/>
  <c r="O39" i="1"/>
  <c r="O40" i="1"/>
  <c r="O41" i="1"/>
  <c r="O42" i="1"/>
  <c r="P42" i="1" s="1"/>
  <c r="Q42" i="1" s="1"/>
  <c r="W42" i="1" s="1"/>
  <c r="O43" i="1"/>
  <c r="O44" i="1"/>
  <c r="O45" i="1"/>
  <c r="O46" i="1"/>
  <c r="P46" i="1" s="1"/>
  <c r="Q46" i="1" s="1"/>
  <c r="W46" i="1" s="1"/>
  <c r="O47" i="1"/>
  <c r="O48" i="1"/>
  <c r="O49" i="1"/>
  <c r="O50" i="1"/>
  <c r="P50" i="1" s="1"/>
  <c r="Q50" i="1" s="1"/>
  <c r="W50" i="1" s="1"/>
  <c r="O51" i="1"/>
  <c r="O52" i="1"/>
  <c r="O53" i="1"/>
  <c r="O54" i="1"/>
  <c r="P54" i="1" s="1"/>
  <c r="Q54" i="1" s="1"/>
  <c r="W54" i="1" s="1"/>
  <c r="O55" i="1"/>
  <c r="O56" i="1"/>
  <c r="O57" i="1"/>
  <c r="O58" i="1"/>
  <c r="P58" i="1" s="1"/>
  <c r="Q58" i="1" s="1"/>
  <c r="W58" i="1" s="1"/>
  <c r="O59" i="1"/>
  <c r="O60" i="1"/>
  <c r="O61" i="1"/>
  <c r="O62" i="1"/>
  <c r="P62" i="1" s="1"/>
  <c r="Q62" i="1" s="1"/>
  <c r="W62" i="1" s="1"/>
  <c r="O63" i="1"/>
  <c r="O64" i="1"/>
  <c r="O65" i="1"/>
  <c r="O66" i="1"/>
  <c r="P66" i="1" s="1"/>
  <c r="Q66" i="1" s="1"/>
  <c r="W66" i="1" s="1"/>
  <c r="O67" i="1"/>
  <c r="O68" i="1"/>
  <c r="O69" i="1"/>
  <c r="O70" i="1"/>
  <c r="P70" i="1" s="1"/>
  <c r="Q70" i="1" s="1"/>
  <c r="W70" i="1" s="1"/>
  <c r="O71" i="1"/>
  <c r="O72" i="1"/>
  <c r="O73" i="1"/>
  <c r="O74" i="1"/>
  <c r="P74" i="1" s="1"/>
  <c r="Q74" i="1" s="1"/>
  <c r="W74" i="1" s="1"/>
  <c r="O75" i="1"/>
  <c r="O76" i="1"/>
  <c r="O77" i="1"/>
  <c r="O78" i="1"/>
  <c r="P78" i="1" s="1"/>
  <c r="Q78" i="1" s="1"/>
  <c r="W78" i="1" s="1"/>
  <c r="O79" i="1"/>
  <c r="O80" i="1"/>
  <c r="O81" i="1"/>
  <c r="O82" i="1"/>
  <c r="P82" i="1" s="1"/>
  <c r="Q82" i="1" s="1"/>
  <c r="W82" i="1" s="1"/>
  <c r="O83" i="1"/>
  <c r="O84" i="1"/>
  <c r="O85" i="1"/>
  <c r="O86" i="1"/>
  <c r="P86" i="1" s="1"/>
  <c r="Q86" i="1" s="1"/>
  <c r="W86" i="1" s="1"/>
  <c r="O87" i="1"/>
  <c r="O88" i="1"/>
  <c r="O89" i="1"/>
  <c r="O90" i="1"/>
  <c r="P90" i="1" s="1"/>
  <c r="Q90" i="1" s="1"/>
  <c r="W90" i="1" s="1"/>
  <c r="O91" i="1"/>
  <c r="O92" i="1"/>
  <c r="O93" i="1"/>
  <c r="O94" i="1"/>
  <c r="P94" i="1" s="1"/>
  <c r="Q94" i="1" s="1"/>
  <c r="W94" i="1" s="1"/>
  <c r="O95" i="1"/>
  <c r="O96" i="1"/>
  <c r="O97" i="1"/>
  <c r="O98" i="1"/>
  <c r="P98" i="1" s="1"/>
  <c r="Q98" i="1" s="1"/>
  <c r="W98" i="1" s="1"/>
  <c r="O99" i="1"/>
  <c r="O100" i="1"/>
  <c r="O101" i="1"/>
  <c r="O102" i="1"/>
  <c r="P102" i="1" s="1"/>
  <c r="Q102" i="1" s="1"/>
  <c r="W102" i="1" s="1"/>
  <c r="O103" i="1"/>
  <c r="O104" i="1"/>
  <c r="O105" i="1"/>
  <c r="O106" i="1"/>
  <c r="P106" i="1" s="1"/>
  <c r="Q106" i="1" s="1"/>
  <c r="W106" i="1" s="1"/>
  <c r="O107" i="1"/>
  <c r="O108" i="1"/>
  <c r="O109" i="1"/>
  <c r="O110" i="1"/>
  <c r="P110" i="1" s="1"/>
  <c r="Q110" i="1" s="1"/>
  <c r="W110" i="1" s="1"/>
  <c r="O111" i="1"/>
  <c r="O112" i="1"/>
  <c r="O113" i="1"/>
  <c r="O114" i="1"/>
  <c r="P114" i="1" s="1"/>
  <c r="Q114" i="1" s="1"/>
  <c r="W114" i="1" s="1"/>
  <c r="O115" i="1"/>
  <c r="O116" i="1"/>
  <c r="O117" i="1"/>
  <c r="O118" i="1"/>
  <c r="P118" i="1" s="1"/>
  <c r="Q118" i="1" s="1"/>
  <c r="W118" i="1" s="1"/>
  <c r="O119" i="1"/>
  <c r="O120" i="1"/>
  <c r="O121" i="1"/>
  <c r="O122" i="1"/>
  <c r="P122" i="1" s="1"/>
  <c r="Q122" i="1" s="1"/>
  <c r="W122" i="1" s="1"/>
  <c r="O123" i="1"/>
  <c r="O124" i="1"/>
  <c r="O125" i="1"/>
  <c r="O126" i="1"/>
  <c r="P126" i="1" s="1"/>
  <c r="Q126" i="1" s="1"/>
  <c r="W126" i="1" s="1"/>
  <c r="O127" i="1"/>
  <c r="O128" i="1"/>
  <c r="O129" i="1"/>
  <c r="O130" i="1"/>
  <c r="P130" i="1" s="1"/>
  <c r="Q130" i="1" s="1"/>
  <c r="W130" i="1" s="1"/>
  <c r="O131" i="1"/>
  <c r="O132" i="1"/>
  <c r="O133" i="1"/>
  <c r="O134" i="1"/>
  <c r="P134" i="1" s="1"/>
  <c r="Q134" i="1" s="1"/>
  <c r="W134" i="1" s="1"/>
  <c r="O135" i="1"/>
  <c r="O136" i="1"/>
  <c r="O137" i="1"/>
  <c r="O138" i="1"/>
  <c r="P138" i="1" s="1"/>
  <c r="Q138" i="1" s="1"/>
  <c r="W138" i="1" s="1"/>
  <c r="O139" i="1"/>
  <c r="O140" i="1"/>
  <c r="O141" i="1"/>
  <c r="O142" i="1"/>
  <c r="P142" i="1" s="1"/>
  <c r="Q142" i="1" s="1"/>
  <c r="W142" i="1" s="1"/>
  <c r="O143" i="1"/>
  <c r="O144" i="1"/>
  <c r="O145" i="1"/>
  <c r="O146" i="1"/>
  <c r="P146" i="1" s="1"/>
  <c r="Q146" i="1" s="1"/>
  <c r="W146" i="1" s="1"/>
  <c r="O147" i="1"/>
  <c r="O148" i="1"/>
  <c r="O149" i="1"/>
  <c r="O150" i="1"/>
  <c r="P150" i="1" s="1"/>
  <c r="Q150" i="1" s="1"/>
  <c r="W150" i="1" s="1"/>
  <c r="O151" i="1"/>
  <c r="O152" i="1"/>
  <c r="O153" i="1"/>
  <c r="O154" i="1"/>
  <c r="P154" i="1" s="1"/>
  <c r="Q154" i="1" s="1"/>
  <c r="W154" i="1" s="1"/>
  <c r="O155" i="1"/>
  <c r="O156" i="1"/>
  <c r="O157" i="1"/>
  <c r="O158" i="1"/>
  <c r="P158" i="1" s="1"/>
  <c r="Q158" i="1" s="1"/>
  <c r="W158" i="1" s="1"/>
  <c r="O159" i="1"/>
  <c r="O160" i="1"/>
  <c r="O161" i="1"/>
  <c r="O162" i="1"/>
  <c r="P162" i="1" s="1"/>
  <c r="Q162" i="1" s="1"/>
  <c r="W162" i="1" s="1"/>
  <c r="O163" i="1"/>
  <c r="O164" i="1"/>
  <c r="O165" i="1"/>
  <c r="O166" i="1"/>
  <c r="P166" i="1" s="1"/>
  <c r="Q166" i="1" s="1"/>
  <c r="W166" i="1" s="1"/>
  <c r="O167" i="1"/>
  <c r="O168" i="1"/>
  <c r="O169" i="1"/>
  <c r="O170" i="1"/>
  <c r="P170" i="1" s="1"/>
  <c r="Q170" i="1" s="1"/>
  <c r="W170" i="1" s="1"/>
  <c r="O171" i="1"/>
  <c r="O172" i="1"/>
  <c r="O173" i="1"/>
  <c r="O174" i="1"/>
  <c r="P174" i="1" s="1"/>
  <c r="Q174" i="1" s="1"/>
  <c r="W174" i="1" s="1"/>
  <c r="O175" i="1"/>
  <c r="O176" i="1"/>
  <c r="O177" i="1"/>
  <c r="O178" i="1"/>
  <c r="P178" i="1" s="1"/>
  <c r="Q178" i="1" s="1"/>
  <c r="W178" i="1" s="1"/>
  <c r="O179" i="1"/>
  <c r="O180" i="1"/>
  <c r="O181" i="1"/>
  <c r="O182" i="1"/>
  <c r="P182" i="1" s="1"/>
  <c r="Q182" i="1" s="1"/>
  <c r="W182" i="1" s="1"/>
  <c r="O183" i="1"/>
  <c r="O184" i="1"/>
  <c r="O185" i="1"/>
  <c r="O186" i="1"/>
  <c r="P186" i="1" s="1"/>
  <c r="Q186" i="1" s="1"/>
  <c r="W186" i="1" s="1"/>
  <c r="O187" i="1"/>
  <c r="O188" i="1"/>
  <c r="O189" i="1"/>
  <c r="O190" i="1"/>
  <c r="P190" i="1" s="1"/>
  <c r="Q190" i="1" s="1"/>
  <c r="W190" i="1" s="1"/>
  <c r="O191" i="1"/>
  <c r="O192" i="1"/>
  <c r="O193" i="1"/>
  <c r="O194" i="1"/>
  <c r="P194" i="1" s="1"/>
  <c r="Q194" i="1" s="1"/>
  <c r="W194" i="1" s="1"/>
  <c r="O195" i="1"/>
  <c r="O196" i="1"/>
  <c r="O197" i="1"/>
  <c r="O198" i="1"/>
  <c r="P198" i="1" s="1"/>
  <c r="Q198" i="1" s="1"/>
  <c r="W198" i="1" s="1"/>
  <c r="O199" i="1"/>
  <c r="O200" i="1"/>
  <c r="O201" i="1"/>
  <c r="O202" i="1"/>
  <c r="P202" i="1" s="1"/>
  <c r="Q202" i="1" s="1"/>
  <c r="W202" i="1" s="1"/>
  <c r="O203" i="1"/>
  <c r="O204" i="1"/>
  <c r="O205" i="1"/>
  <c r="O206" i="1"/>
  <c r="P206" i="1" s="1"/>
  <c r="Q206" i="1" s="1"/>
  <c r="W206" i="1" s="1"/>
  <c r="O207" i="1"/>
  <c r="O208" i="1"/>
  <c r="O209" i="1"/>
  <c r="O210" i="1"/>
  <c r="P210" i="1" s="1"/>
  <c r="Q210" i="1" s="1"/>
  <c r="W210" i="1" s="1"/>
  <c r="O211" i="1"/>
  <c r="O212" i="1"/>
  <c r="O213" i="1"/>
  <c r="O214" i="1"/>
  <c r="P214" i="1" s="1"/>
  <c r="Q214" i="1" s="1"/>
  <c r="W214" i="1" s="1"/>
  <c r="O215" i="1"/>
  <c r="O216" i="1"/>
  <c r="O217" i="1"/>
  <c r="O218" i="1"/>
  <c r="P218" i="1" s="1"/>
  <c r="Q218" i="1" s="1"/>
  <c r="W218" i="1" s="1"/>
  <c r="O219" i="1"/>
  <c r="O220" i="1"/>
  <c r="O221" i="1"/>
  <c r="O222" i="1"/>
  <c r="P222" i="1" s="1"/>
  <c r="Q222" i="1" s="1"/>
  <c r="W222" i="1" s="1"/>
  <c r="O223" i="1"/>
  <c r="O224" i="1"/>
  <c r="O225" i="1"/>
  <c r="O226" i="1"/>
  <c r="P226" i="1" s="1"/>
  <c r="Q226" i="1" s="1"/>
  <c r="W226" i="1" s="1"/>
  <c r="O227" i="1"/>
  <c r="O228" i="1"/>
  <c r="O229" i="1"/>
  <c r="O230" i="1"/>
  <c r="P230" i="1" s="1"/>
  <c r="Q230" i="1" s="1"/>
  <c r="W230" i="1" s="1"/>
  <c r="O231" i="1"/>
  <c r="O232" i="1"/>
  <c r="O233" i="1"/>
  <c r="O234" i="1"/>
  <c r="P234" i="1" s="1"/>
  <c r="Q234" i="1" s="1"/>
  <c r="W234" i="1" s="1"/>
  <c r="O235" i="1"/>
  <c r="O236" i="1"/>
  <c r="O237" i="1"/>
  <c r="O238" i="1"/>
  <c r="P238" i="1" s="1"/>
  <c r="Q238" i="1" s="1"/>
  <c r="W238" i="1" s="1"/>
  <c r="O239" i="1"/>
  <c r="O240" i="1"/>
  <c r="O241" i="1"/>
  <c r="O242" i="1"/>
  <c r="P242" i="1" s="1"/>
  <c r="Q242" i="1" s="1"/>
  <c r="W242" i="1" s="1"/>
  <c r="O243" i="1"/>
  <c r="O244" i="1"/>
  <c r="O245" i="1"/>
  <c r="O246" i="1"/>
  <c r="P246" i="1" s="1"/>
  <c r="Q246" i="1" s="1"/>
  <c r="W246" i="1" s="1"/>
  <c r="O247" i="1"/>
  <c r="O248" i="1"/>
  <c r="O249" i="1"/>
  <c r="O250" i="1"/>
  <c r="P250" i="1" s="1"/>
  <c r="Q250" i="1" s="1"/>
  <c r="W250" i="1" s="1"/>
  <c r="O251" i="1"/>
  <c r="O252" i="1"/>
  <c r="O253" i="1"/>
  <c r="O254" i="1"/>
  <c r="P254" i="1" s="1"/>
  <c r="Q254" i="1" s="1"/>
  <c r="W254" i="1" s="1"/>
  <c r="O255" i="1"/>
  <c r="O256" i="1"/>
  <c r="O257" i="1"/>
  <c r="O258" i="1"/>
  <c r="P258" i="1" s="1"/>
  <c r="Q258" i="1" s="1"/>
  <c r="W258" i="1" s="1"/>
  <c r="O259" i="1"/>
  <c r="O260" i="1"/>
  <c r="O261" i="1"/>
  <c r="O262" i="1"/>
  <c r="P262" i="1" s="1"/>
  <c r="Q262" i="1" s="1"/>
  <c r="W262" i="1" s="1"/>
  <c r="O263" i="1"/>
  <c r="O264" i="1"/>
  <c r="O265" i="1"/>
  <c r="O266" i="1"/>
  <c r="P266" i="1" s="1"/>
  <c r="Q266" i="1" s="1"/>
  <c r="W266" i="1" s="1"/>
  <c r="O267" i="1"/>
  <c r="O268" i="1"/>
  <c r="O269" i="1"/>
  <c r="O270" i="1"/>
  <c r="P270" i="1" s="1"/>
  <c r="Q270" i="1" s="1"/>
  <c r="W270" i="1" s="1"/>
  <c r="O271" i="1"/>
  <c r="O272" i="1"/>
  <c r="O273" i="1"/>
  <c r="O274" i="1"/>
  <c r="P274" i="1" s="1"/>
  <c r="Q274" i="1" s="1"/>
  <c r="W274" i="1" s="1"/>
  <c r="O275" i="1"/>
  <c r="O276" i="1"/>
  <c r="O277" i="1"/>
  <c r="O278" i="1"/>
  <c r="P278" i="1" s="1"/>
  <c r="Q278" i="1" s="1"/>
  <c r="W278" i="1" s="1"/>
  <c r="O279" i="1"/>
  <c r="O280" i="1"/>
  <c r="O281" i="1"/>
  <c r="O282" i="1"/>
  <c r="P282" i="1" s="1"/>
  <c r="Q282" i="1" s="1"/>
  <c r="W282" i="1" s="1"/>
  <c r="O283" i="1"/>
  <c r="O284" i="1"/>
  <c r="O285" i="1"/>
  <c r="O286" i="1"/>
  <c r="P286" i="1" s="1"/>
  <c r="Q286" i="1" s="1"/>
  <c r="W286" i="1" s="1"/>
  <c r="O287" i="1"/>
  <c r="O288" i="1"/>
  <c r="O289" i="1"/>
  <c r="O290" i="1"/>
  <c r="P290" i="1" s="1"/>
  <c r="Q290" i="1" s="1"/>
  <c r="W290" i="1" s="1"/>
  <c r="O291" i="1"/>
  <c r="O292" i="1"/>
  <c r="O293" i="1"/>
  <c r="O294" i="1"/>
  <c r="P294" i="1" s="1"/>
  <c r="Q294" i="1" s="1"/>
  <c r="W294" i="1" s="1"/>
  <c r="O295" i="1"/>
  <c r="O296" i="1"/>
  <c r="O297" i="1"/>
  <c r="O298" i="1"/>
  <c r="P298" i="1" s="1"/>
  <c r="Q298" i="1" s="1"/>
  <c r="W298" i="1" s="1"/>
  <c r="O299" i="1"/>
  <c r="O300" i="1"/>
  <c r="O301" i="1"/>
  <c r="O302" i="1"/>
  <c r="P302" i="1" s="1"/>
  <c r="Q302" i="1" s="1"/>
  <c r="W302" i="1" s="1"/>
  <c r="O303" i="1"/>
  <c r="O304" i="1"/>
  <c r="O305" i="1"/>
  <c r="O306" i="1"/>
  <c r="P306" i="1" s="1"/>
  <c r="Q306" i="1" s="1"/>
  <c r="W306" i="1" s="1"/>
  <c r="O307" i="1"/>
  <c r="O308" i="1"/>
  <c r="O309" i="1"/>
  <c r="O310" i="1"/>
  <c r="P310" i="1" s="1"/>
  <c r="Q310" i="1" s="1"/>
  <c r="W310" i="1" s="1"/>
  <c r="O311" i="1"/>
  <c r="O312" i="1"/>
  <c r="O313" i="1"/>
  <c r="O314" i="1"/>
  <c r="P314" i="1" s="1"/>
  <c r="Q314" i="1" s="1"/>
  <c r="W314" i="1" s="1"/>
  <c r="O315" i="1"/>
  <c r="O316" i="1"/>
  <c r="O317" i="1"/>
  <c r="O318" i="1"/>
  <c r="P318" i="1" s="1"/>
  <c r="Q318" i="1" s="1"/>
  <c r="W318" i="1" s="1"/>
  <c r="O319" i="1"/>
  <c r="O320" i="1"/>
  <c r="O321" i="1"/>
  <c r="O322" i="1"/>
  <c r="P322" i="1" s="1"/>
  <c r="Q322" i="1" s="1"/>
  <c r="W322" i="1" s="1"/>
  <c r="O323" i="1"/>
  <c r="O324" i="1"/>
  <c r="O325" i="1"/>
  <c r="O326" i="1"/>
  <c r="P326" i="1" s="1"/>
  <c r="Q326" i="1" s="1"/>
  <c r="W326" i="1" s="1"/>
  <c r="O327" i="1"/>
  <c r="O328" i="1"/>
  <c r="O329" i="1"/>
  <c r="O330" i="1"/>
  <c r="P330" i="1" s="1"/>
  <c r="Q330" i="1" s="1"/>
  <c r="W330" i="1" s="1"/>
  <c r="O331" i="1"/>
  <c r="O332" i="1"/>
  <c r="O333" i="1"/>
  <c r="O334" i="1"/>
  <c r="P334" i="1" s="1"/>
  <c r="Q334" i="1" s="1"/>
  <c r="W334" i="1" s="1"/>
  <c r="O335" i="1"/>
  <c r="O336" i="1"/>
  <c r="O337" i="1"/>
  <c r="O338" i="1"/>
  <c r="P338" i="1" s="1"/>
  <c r="Q338" i="1" s="1"/>
  <c r="W338" i="1" s="1"/>
  <c r="O339" i="1"/>
  <c r="O340" i="1"/>
  <c r="O341" i="1"/>
  <c r="O342" i="1"/>
  <c r="P342" i="1" s="1"/>
  <c r="Q342" i="1" s="1"/>
  <c r="W342" i="1" s="1"/>
  <c r="O343" i="1"/>
  <c r="O344" i="1"/>
  <c r="O345" i="1"/>
  <c r="O346" i="1"/>
  <c r="P346" i="1" s="1"/>
  <c r="Q346" i="1" s="1"/>
  <c r="W346" i="1" s="1"/>
  <c r="O347" i="1"/>
  <c r="O348" i="1"/>
  <c r="O349" i="1"/>
  <c r="O350" i="1"/>
  <c r="P350" i="1" s="1"/>
  <c r="Q350" i="1" s="1"/>
  <c r="W350" i="1" s="1"/>
  <c r="O351" i="1"/>
  <c r="O352" i="1"/>
  <c r="O353" i="1"/>
  <c r="O354" i="1"/>
  <c r="P354" i="1" s="1"/>
  <c r="Q354" i="1" s="1"/>
  <c r="W354" i="1" s="1"/>
  <c r="O355" i="1"/>
  <c r="O356" i="1"/>
  <c r="O357" i="1"/>
  <c r="O358" i="1"/>
  <c r="P358" i="1" s="1"/>
  <c r="Q358" i="1" s="1"/>
  <c r="W358" i="1" s="1"/>
  <c r="O359" i="1"/>
  <c r="O360" i="1"/>
  <c r="O361" i="1"/>
  <c r="O362" i="1"/>
  <c r="P362" i="1" s="1"/>
  <c r="Q362" i="1" s="1"/>
  <c r="W362" i="1" s="1"/>
  <c r="O363" i="1"/>
  <c r="O364" i="1"/>
  <c r="O365" i="1"/>
  <c r="O366" i="1"/>
  <c r="P366" i="1" s="1"/>
  <c r="Q366" i="1" s="1"/>
  <c r="W366" i="1" s="1"/>
  <c r="O367" i="1"/>
  <c r="O368" i="1"/>
  <c r="O369" i="1"/>
  <c r="O370" i="1"/>
  <c r="P370" i="1" s="1"/>
  <c r="Q370" i="1" s="1"/>
  <c r="W370" i="1" s="1"/>
  <c r="O371" i="1"/>
  <c r="O372" i="1"/>
  <c r="O373" i="1"/>
  <c r="O374" i="1"/>
  <c r="P374" i="1" s="1"/>
  <c r="Q374" i="1" s="1"/>
  <c r="W374" i="1" s="1"/>
  <c r="O375" i="1"/>
  <c r="O376" i="1"/>
  <c r="O377" i="1"/>
  <c r="O378" i="1"/>
  <c r="P378" i="1" s="1"/>
  <c r="Q378" i="1" s="1"/>
  <c r="W378" i="1" s="1"/>
  <c r="O379" i="1"/>
  <c r="O380" i="1"/>
  <c r="O381" i="1"/>
  <c r="O382" i="1"/>
  <c r="P382" i="1" s="1"/>
  <c r="Q382" i="1" s="1"/>
  <c r="W382" i="1" s="1"/>
  <c r="O383" i="1"/>
  <c r="O384" i="1"/>
  <c r="O385" i="1"/>
  <c r="O386" i="1"/>
  <c r="P386" i="1" s="1"/>
  <c r="Q386" i="1" s="1"/>
  <c r="W386" i="1" s="1"/>
  <c r="O387" i="1"/>
  <c r="O388" i="1"/>
  <c r="O389" i="1"/>
  <c r="O390" i="1"/>
  <c r="P390" i="1" s="1"/>
  <c r="Q390" i="1" s="1"/>
  <c r="W390" i="1" s="1"/>
  <c r="O391" i="1"/>
  <c r="O392" i="1"/>
  <c r="O393" i="1"/>
  <c r="O394" i="1"/>
  <c r="P394" i="1" s="1"/>
  <c r="Q394" i="1" s="1"/>
  <c r="W394" i="1" s="1"/>
  <c r="O395" i="1"/>
  <c r="O396" i="1"/>
  <c r="O397" i="1"/>
  <c r="O398" i="1"/>
  <c r="P398" i="1" s="1"/>
  <c r="Q398" i="1" s="1"/>
  <c r="W398" i="1" s="1"/>
  <c r="O399" i="1"/>
  <c r="O400" i="1"/>
  <c r="O401" i="1"/>
  <c r="O402" i="1"/>
  <c r="P402" i="1" s="1"/>
  <c r="Q402" i="1" s="1"/>
  <c r="W402" i="1" s="1"/>
  <c r="O403" i="1"/>
  <c r="O404" i="1"/>
  <c r="O405" i="1"/>
  <c r="O406" i="1"/>
  <c r="P406" i="1" s="1"/>
  <c r="Q406" i="1" s="1"/>
  <c r="W406" i="1" s="1"/>
  <c r="O407" i="1"/>
  <c r="O408" i="1"/>
  <c r="O409" i="1"/>
  <c r="O410" i="1"/>
  <c r="P410" i="1" s="1"/>
  <c r="Q410" i="1" s="1"/>
  <c r="W410" i="1" s="1"/>
  <c r="O411" i="1"/>
  <c r="O412" i="1"/>
  <c r="O413" i="1"/>
  <c r="O414" i="1"/>
  <c r="P414" i="1" s="1"/>
  <c r="Q414" i="1" s="1"/>
  <c r="W414" i="1" s="1"/>
  <c r="O415" i="1"/>
  <c r="O416" i="1"/>
  <c r="O417" i="1"/>
  <c r="O418" i="1"/>
  <c r="P418" i="1" s="1"/>
  <c r="Q418" i="1" s="1"/>
  <c r="W418" i="1" s="1"/>
  <c r="O419" i="1"/>
  <c r="O420" i="1"/>
  <c r="O421" i="1"/>
  <c r="O422" i="1"/>
  <c r="P422" i="1" s="1"/>
  <c r="Q422" i="1" s="1"/>
  <c r="W422" i="1" s="1"/>
  <c r="O423" i="1"/>
  <c r="O424" i="1"/>
  <c r="O425" i="1"/>
  <c r="O426" i="1"/>
  <c r="P426" i="1" s="1"/>
  <c r="Q426" i="1" s="1"/>
  <c r="W426" i="1" s="1"/>
  <c r="O427" i="1"/>
  <c r="O428" i="1"/>
  <c r="O429" i="1"/>
  <c r="O430" i="1"/>
  <c r="P430" i="1" s="1"/>
  <c r="Q430" i="1" s="1"/>
  <c r="W430" i="1" s="1"/>
  <c r="O431" i="1"/>
  <c r="O432" i="1"/>
  <c r="O433" i="1"/>
  <c r="O434" i="1"/>
  <c r="P434" i="1" s="1"/>
  <c r="Q434" i="1" s="1"/>
  <c r="W434" i="1" s="1"/>
  <c r="O435" i="1"/>
  <c r="O436" i="1"/>
  <c r="O437" i="1"/>
  <c r="O438" i="1"/>
  <c r="P438" i="1" s="1"/>
  <c r="Q438" i="1" s="1"/>
  <c r="W438" i="1" s="1"/>
  <c r="O439" i="1"/>
  <c r="O440" i="1"/>
  <c r="O441" i="1"/>
  <c r="O442" i="1"/>
  <c r="P442" i="1" s="1"/>
  <c r="Q442" i="1" s="1"/>
  <c r="W442" i="1" s="1"/>
  <c r="O443" i="1"/>
  <c r="O444" i="1"/>
  <c r="O445" i="1"/>
  <c r="O446" i="1"/>
  <c r="P446" i="1" s="1"/>
  <c r="Q446" i="1" s="1"/>
  <c r="W446" i="1" s="1"/>
  <c r="O447" i="1"/>
  <c r="O448" i="1"/>
  <c r="O449" i="1"/>
  <c r="O450" i="1"/>
  <c r="P450" i="1" s="1"/>
  <c r="Q450" i="1" s="1"/>
  <c r="W450" i="1" s="1"/>
  <c r="O451" i="1"/>
  <c r="O452" i="1"/>
  <c r="O453" i="1"/>
  <c r="O454" i="1"/>
  <c r="P454" i="1" s="1"/>
  <c r="Q454" i="1" s="1"/>
  <c r="W454" i="1" s="1"/>
  <c r="O455" i="1"/>
  <c r="O456" i="1"/>
  <c r="O457" i="1"/>
  <c r="O458" i="1"/>
  <c r="P458" i="1" s="1"/>
  <c r="Q458" i="1" s="1"/>
  <c r="W458" i="1" s="1"/>
  <c r="O459" i="1"/>
  <c r="O460" i="1"/>
  <c r="O461" i="1"/>
  <c r="O462" i="1"/>
  <c r="P462" i="1" s="1"/>
  <c r="Q462" i="1" s="1"/>
  <c r="W462" i="1" s="1"/>
  <c r="O463" i="1"/>
  <c r="O464" i="1"/>
  <c r="O465" i="1"/>
  <c r="O466" i="1"/>
  <c r="P466" i="1" s="1"/>
  <c r="Q466" i="1" s="1"/>
  <c r="W466" i="1" s="1"/>
  <c r="O467" i="1"/>
  <c r="O468" i="1"/>
  <c r="O469" i="1"/>
  <c r="O470" i="1"/>
  <c r="P470" i="1" s="1"/>
  <c r="Q470" i="1" s="1"/>
  <c r="W470" i="1" s="1"/>
  <c r="O471" i="1"/>
  <c r="O472" i="1"/>
  <c r="O473" i="1"/>
  <c r="O474" i="1"/>
  <c r="P474" i="1" s="1"/>
  <c r="Q474" i="1" s="1"/>
  <c r="W474" i="1" s="1"/>
  <c r="O475" i="1"/>
  <c r="O476" i="1"/>
  <c r="O477" i="1"/>
  <c r="O478" i="1"/>
  <c r="P478" i="1" s="1"/>
  <c r="Q478" i="1" s="1"/>
  <c r="W478" i="1" s="1"/>
  <c r="O479" i="1"/>
  <c r="O480" i="1"/>
  <c r="O481" i="1"/>
  <c r="O482" i="1"/>
  <c r="P482" i="1" s="1"/>
  <c r="Q482" i="1" s="1"/>
  <c r="W482" i="1" s="1"/>
  <c r="O483" i="1"/>
  <c r="O484" i="1"/>
  <c r="O485" i="1"/>
  <c r="O486" i="1"/>
  <c r="P486" i="1" s="1"/>
  <c r="Q486" i="1" s="1"/>
  <c r="W486" i="1" s="1"/>
  <c r="O487" i="1"/>
  <c r="O488" i="1"/>
  <c r="O489" i="1"/>
  <c r="O490" i="1"/>
  <c r="P490" i="1" s="1"/>
  <c r="Q490" i="1" s="1"/>
  <c r="W490" i="1" s="1"/>
  <c r="O491" i="1"/>
  <c r="O492" i="1"/>
  <c r="O493" i="1"/>
  <c r="O494" i="1"/>
  <c r="P494" i="1" s="1"/>
  <c r="Q494" i="1" s="1"/>
  <c r="W494" i="1" s="1"/>
  <c r="O495" i="1"/>
  <c r="O496" i="1"/>
  <c r="O497" i="1"/>
  <c r="O498" i="1"/>
  <c r="P498" i="1" s="1"/>
  <c r="Q498" i="1" s="1"/>
  <c r="W498" i="1" s="1"/>
  <c r="O499" i="1"/>
  <c r="O500" i="1"/>
  <c r="O501" i="1"/>
  <c r="O502" i="1"/>
  <c r="P502" i="1" s="1"/>
  <c r="Q502" i="1" s="1"/>
  <c r="W502" i="1" s="1"/>
  <c r="O503" i="1"/>
  <c r="O504" i="1"/>
  <c r="O505" i="1"/>
  <c r="O506" i="1"/>
  <c r="P506" i="1" s="1"/>
  <c r="Q506" i="1" s="1"/>
  <c r="W506" i="1" s="1"/>
  <c r="O507" i="1"/>
  <c r="O508" i="1"/>
  <c r="O509" i="1"/>
  <c r="O510" i="1"/>
  <c r="P510" i="1" s="1"/>
  <c r="Q510" i="1" s="1"/>
  <c r="W510" i="1" s="1"/>
  <c r="O511" i="1"/>
  <c r="O512" i="1"/>
  <c r="O513" i="1"/>
  <c r="O514" i="1"/>
  <c r="P514" i="1" s="1"/>
  <c r="Q514" i="1" s="1"/>
  <c r="W514" i="1" s="1"/>
  <c r="O515" i="1"/>
  <c r="O516" i="1"/>
  <c r="O517" i="1"/>
  <c r="O518" i="1"/>
  <c r="P518" i="1" s="1"/>
  <c r="Q518" i="1" s="1"/>
  <c r="W518" i="1" s="1"/>
  <c r="O519" i="1"/>
  <c r="O520" i="1"/>
  <c r="O521" i="1"/>
  <c r="O522" i="1"/>
  <c r="P522" i="1" s="1"/>
  <c r="Q522" i="1" s="1"/>
  <c r="W522" i="1" s="1"/>
  <c r="O523" i="1"/>
  <c r="O524" i="1"/>
  <c r="O525" i="1"/>
  <c r="O526" i="1"/>
  <c r="P526" i="1" s="1"/>
  <c r="Q526" i="1" s="1"/>
  <c r="W526" i="1" s="1"/>
  <c r="O527" i="1"/>
  <c r="O528" i="1"/>
  <c r="O529" i="1"/>
  <c r="O530" i="1"/>
  <c r="P530" i="1" s="1"/>
  <c r="Q530" i="1" s="1"/>
  <c r="W530" i="1" s="1"/>
  <c r="O531" i="1"/>
  <c r="O532" i="1"/>
  <c r="O533" i="1"/>
  <c r="O534" i="1"/>
  <c r="P534" i="1" s="1"/>
  <c r="Q534" i="1" s="1"/>
  <c r="W534" i="1" s="1"/>
  <c r="O535" i="1"/>
  <c r="O536" i="1"/>
  <c r="O537" i="1"/>
  <c r="O538" i="1"/>
  <c r="P538" i="1" s="1"/>
  <c r="Q538" i="1" s="1"/>
  <c r="W538" i="1" s="1"/>
  <c r="O539" i="1"/>
  <c r="O540" i="1"/>
  <c r="O541" i="1"/>
  <c r="O542" i="1"/>
  <c r="P542" i="1" s="1"/>
  <c r="Q542" i="1" s="1"/>
  <c r="W542" i="1" s="1"/>
  <c r="O543" i="1"/>
  <c r="O544" i="1"/>
  <c r="O545" i="1"/>
  <c r="O546" i="1"/>
  <c r="P546" i="1" s="1"/>
  <c r="Q546" i="1" s="1"/>
  <c r="W546" i="1" s="1"/>
  <c r="O547" i="1"/>
  <c r="O548" i="1"/>
  <c r="O549" i="1"/>
  <c r="O550" i="1"/>
  <c r="P550" i="1" s="1"/>
  <c r="Q550" i="1" s="1"/>
  <c r="W550" i="1" s="1"/>
  <c r="O551" i="1"/>
  <c r="O552" i="1"/>
  <c r="O553" i="1"/>
  <c r="O554" i="1"/>
  <c r="P554" i="1" s="1"/>
  <c r="Q554" i="1" s="1"/>
  <c r="W554" i="1" s="1"/>
  <c r="O555" i="1"/>
  <c r="O556" i="1"/>
  <c r="O557" i="1"/>
  <c r="O558" i="1"/>
  <c r="P558" i="1" s="1"/>
  <c r="Q558" i="1" s="1"/>
  <c r="W558" i="1" s="1"/>
  <c r="O559" i="1"/>
  <c r="O560" i="1"/>
  <c r="O561" i="1"/>
  <c r="O562" i="1"/>
  <c r="P562" i="1" s="1"/>
  <c r="Q562" i="1" s="1"/>
  <c r="W562" i="1" s="1"/>
  <c r="O563" i="1"/>
  <c r="O564" i="1"/>
  <c r="O565" i="1"/>
  <c r="O566" i="1"/>
  <c r="P566" i="1" s="1"/>
  <c r="Q566" i="1" s="1"/>
  <c r="W566" i="1" s="1"/>
  <c r="O567" i="1"/>
  <c r="O568" i="1"/>
  <c r="O569" i="1"/>
  <c r="O570" i="1"/>
  <c r="P570" i="1" s="1"/>
  <c r="Q570" i="1" s="1"/>
  <c r="W570" i="1" s="1"/>
  <c r="O571" i="1"/>
  <c r="O572" i="1"/>
  <c r="O573" i="1"/>
  <c r="O574" i="1"/>
  <c r="P574" i="1" s="1"/>
  <c r="Q574" i="1" s="1"/>
  <c r="W574" i="1" s="1"/>
  <c r="O575" i="1"/>
  <c r="O576" i="1"/>
  <c r="O577" i="1"/>
  <c r="O578" i="1"/>
  <c r="P578" i="1" s="1"/>
  <c r="Q578" i="1" s="1"/>
  <c r="W578" i="1" s="1"/>
  <c r="O579" i="1"/>
  <c r="O580" i="1"/>
  <c r="O581" i="1"/>
  <c r="O582" i="1"/>
  <c r="P582" i="1" s="1"/>
  <c r="Q582" i="1" s="1"/>
  <c r="W582" i="1" s="1"/>
  <c r="O583" i="1"/>
  <c r="O584" i="1"/>
  <c r="O585" i="1"/>
  <c r="O586" i="1"/>
  <c r="P586" i="1" s="1"/>
  <c r="Q586" i="1" s="1"/>
  <c r="W586" i="1" s="1"/>
  <c r="O587" i="1"/>
  <c r="O588" i="1"/>
  <c r="O589" i="1"/>
  <c r="O590" i="1"/>
  <c r="P590" i="1" s="1"/>
  <c r="Q590" i="1" s="1"/>
  <c r="W590" i="1" s="1"/>
  <c r="O591" i="1"/>
  <c r="O592" i="1"/>
  <c r="O593" i="1"/>
  <c r="O594" i="1"/>
  <c r="P594" i="1" s="1"/>
  <c r="Q594" i="1" s="1"/>
  <c r="W594" i="1" s="1"/>
  <c r="O595" i="1"/>
  <c r="O596" i="1"/>
  <c r="O597" i="1"/>
  <c r="O598" i="1"/>
  <c r="P598" i="1" s="1"/>
  <c r="Q598" i="1" s="1"/>
  <c r="W598" i="1" s="1"/>
  <c r="O599" i="1"/>
  <c r="O600" i="1"/>
  <c r="O601" i="1"/>
  <c r="O602" i="1"/>
  <c r="P602" i="1" s="1"/>
  <c r="Q602" i="1" s="1"/>
  <c r="W602" i="1" s="1"/>
  <c r="O603" i="1"/>
  <c r="O604" i="1"/>
  <c r="O605" i="1"/>
  <c r="O606" i="1"/>
  <c r="P606" i="1" s="1"/>
  <c r="Q606" i="1" s="1"/>
  <c r="W606" i="1" s="1"/>
  <c r="O607" i="1"/>
  <c r="O608" i="1"/>
  <c r="O609" i="1"/>
  <c r="O610" i="1"/>
  <c r="P610" i="1" s="1"/>
  <c r="Q610" i="1" s="1"/>
  <c r="W610" i="1" s="1"/>
  <c r="O611" i="1"/>
  <c r="O612" i="1"/>
  <c r="O613" i="1"/>
  <c r="O614" i="1"/>
  <c r="P614" i="1" s="1"/>
  <c r="Q614" i="1" s="1"/>
  <c r="W614" i="1" s="1"/>
  <c r="O615" i="1"/>
  <c r="O616" i="1"/>
  <c r="O617" i="1"/>
  <c r="O618" i="1"/>
  <c r="P618" i="1" s="1"/>
  <c r="Q618" i="1" s="1"/>
  <c r="W618" i="1" s="1"/>
  <c r="O619" i="1"/>
  <c r="O620" i="1"/>
  <c r="O621" i="1"/>
  <c r="O622" i="1"/>
  <c r="P622" i="1" s="1"/>
  <c r="Q622" i="1" s="1"/>
  <c r="W622" i="1" s="1"/>
  <c r="O623" i="1"/>
  <c r="O624" i="1"/>
  <c r="O625" i="1"/>
  <c r="O626" i="1"/>
  <c r="P626" i="1" s="1"/>
  <c r="Q626" i="1" s="1"/>
  <c r="W626" i="1" s="1"/>
  <c r="O627" i="1"/>
  <c r="O628" i="1"/>
  <c r="O629" i="1"/>
  <c r="O630" i="1"/>
  <c r="P630" i="1" s="1"/>
  <c r="Q630" i="1" s="1"/>
  <c r="W630" i="1" s="1"/>
  <c r="O631" i="1"/>
  <c r="O632" i="1"/>
  <c r="O633" i="1"/>
  <c r="O634" i="1"/>
  <c r="P634" i="1" s="1"/>
  <c r="Q634" i="1" s="1"/>
  <c r="W634" i="1" s="1"/>
  <c r="O635" i="1"/>
  <c r="O636" i="1"/>
  <c r="O637" i="1"/>
  <c r="O638" i="1"/>
  <c r="P638" i="1" s="1"/>
  <c r="Q638" i="1" s="1"/>
  <c r="W638" i="1" s="1"/>
  <c r="O639" i="1"/>
  <c r="O640" i="1"/>
  <c r="O641" i="1"/>
  <c r="O642" i="1"/>
  <c r="P642" i="1" s="1"/>
  <c r="Q642" i="1" s="1"/>
  <c r="W642" i="1" s="1"/>
  <c r="O643" i="1"/>
  <c r="O644" i="1"/>
  <c r="O645" i="1"/>
  <c r="O646" i="1"/>
  <c r="P646" i="1" s="1"/>
  <c r="Q646" i="1" s="1"/>
  <c r="W646" i="1" s="1"/>
  <c r="O647" i="1"/>
  <c r="O648" i="1"/>
  <c r="O649" i="1"/>
  <c r="O650" i="1"/>
  <c r="P650" i="1" s="1"/>
  <c r="Q650" i="1" s="1"/>
  <c r="W650" i="1" s="1"/>
  <c r="O651" i="1"/>
  <c r="O652" i="1"/>
  <c r="O653" i="1"/>
  <c r="O654" i="1"/>
  <c r="P654" i="1" s="1"/>
  <c r="Q654" i="1" s="1"/>
  <c r="W654" i="1" s="1"/>
  <c r="O655" i="1"/>
  <c r="O656" i="1"/>
  <c r="O657" i="1"/>
  <c r="O658" i="1"/>
  <c r="P658" i="1" s="1"/>
  <c r="Q658" i="1" s="1"/>
  <c r="W658" i="1" s="1"/>
  <c r="O659" i="1"/>
  <c r="O660" i="1"/>
  <c r="O661" i="1"/>
  <c r="O662" i="1"/>
  <c r="P662" i="1" s="1"/>
  <c r="Q662" i="1" s="1"/>
  <c r="W662" i="1" s="1"/>
  <c r="O663" i="1"/>
  <c r="O664" i="1"/>
  <c r="O665" i="1"/>
  <c r="O666" i="1"/>
  <c r="P666" i="1" s="1"/>
  <c r="Q666" i="1" s="1"/>
  <c r="W666" i="1" s="1"/>
  <c r="O667" i="1"/>
  <c r="O668" i="1"/>
  <c r="O669" i="1"/>
  <c r="O670" i="1"/>
  <c r="P670" i="1" s="1"/>
  <c r="Q670" i="1" s="1"/>
  <c r="W670" i="1" s="1"/>
  <c r="O671" i="1"/>
  <c r="O672" i="1"/>
  <c r="O673" i="1"/>
  <c r="O674" i="1"/>
  <c r="P674" i="1" s="1"/>
  <c r="Q674" i="1" s="1"/>
  <c r="W674" i="1" s="1"/>
  <c r="O675" i="1"/>
  <c r="O676" i="1"/>
  <c r="O677" i="1"/>
  <c r="O678" i="1"/>
  <c r="P678" i="1" s="1"/>
  <c r="Q678" i="1" s="1"/>
  <c r="W678" i="1" s="1"/>
  <c r="O679" i="1"/>
  <c r="O680" i="1"/>
  <c r="O681" i="1"/>
  <c r="O682" i="1"/>
  <c r="P682" i="1" s="1"/>
  <c r="Q682" i="1" s="1"/>
  <c r="W682" i="1" s="1"/>
  <c r="O683" i="1"/>
  <c r="O684" i="1"/>
  <c r="O685" i="1"/>
  <c r="O686" i="1"/>
  <c r="P686" i="1" s="1"/>
  <c r="Q686" i="1" s="1"/>
  <c r="W686" i="1" s="1"/>
  <c r="O687" i="1"/>
  <c r="O688" i="1"/>
  <c r="O689" i="1"/>
  <c r="O690" i="1"/>
  <c r="P690" i="1" s="1"/>
  <c r="Q690" i="1" s="1"/>
  <c r="W690" i="1" s="1"/>
  <c r="O691" i="1"/>
  <c r="O692" i="1"/>
  <c r="O693" i="1"/>
  <c r="O694" i="1"/>
  <c r="P694" i="1" s="1"/>
  <c r="Q694" i="1" s="1"/>
  <c r="W694" i="1" s="1"/>
  <c r="O695" i="1"/>
  <c r="O696" i="1"/>
  <c r="O697" i="1"/>
  <c r="O698" i="1"/>
  <c r="P698" i="1" s="1"/>
  <c r="Q698" i="1" s="1"/>
  <c r="W698" i="1" s="1"/>
  <c r="O699" i="1"/>
  <c r="O700" i="1"/>
  <c r="O701" i="1"/>
  <c r="O702" i="1"/>
  <c r="P702" i="1" s="1"/>
  <c r="Q702" i="1" s="1"/>
  <c r="W702" i="1" s="1"/>
  <c r="O703" i="1"/>
  <c r="O704" i="1"/>
  <c r="O705" i="1"/>
  <c r="O706" i="1"/>
  <c r="P706" i="1" s="1"/>
  <c r="Q706" i="1" s="1"/>
  <c r="W706" i="1" s="1"/>
  <c r="O707" i="1"/>
  <c r="O708" i="1"/>
  <c r="O709" i="1"/>
  <c r="O710" i="1"/>
  <c r="P710" i="1" s="1"/>
  <c r="Q710" i="1" s="1"/>
  <c r="W710" i="1" s="1"/>
  <c r="O711" i="1"/>
  <c r="O712" i="1"/>
  <c r="O713" i="1"/>
  <c r="O714" i="1"/>
  <c r="P714" i="1" s="1"/>
  <c r="Q714" i="1" s="1"/>
  <c r="W714" i="1" s="1"/>
  <c r="O715" i="1"/>
  <c r="O716" i="1"/>
  <c r="O717" i="1"/>
  <c r="O718" i="1"/>
  <c r="P718" i="1" s="1"/>
  <c r="Q718" i="1" s="1"/>
  <c r="W718" i="1" s="1"/>
  <c r="O719" i="1"/>
  <c r="O720" i="1"/>
  <c r="O721" i="1"/>
  <c r="O722" i="1"/>
  <c r="P722" i="1" s="1"/>
  <c r="Q722" i="1" s="1"/>
  <c r="W722" i="1" s="1"/>
  <c r="O723" i="1"/>
  <c r="O724" i="1"/>
  <c r="O725" i="1"/>
  <c r="O726" i="1"/>
  <c r="P726" i="1" s="1"/>
  <c r="Q726" i="1" s="1"/>
  <c r="W726" i="1" s="1"/>
  <c r="O727" i="1"/>
  <c r="O728" i="1"/>
  <c r="O729" i="1"/>
  <c r="O730" i="1"/>
  <c r="P730" i="1" s="1"/>
  <c r="Q730" i="1" s="1"/>
  <c r="W730" i="1" s="1"/>
  <c r="O731" i="1"/>
  <c r="O732" i="1"/>
  <c r="O733" i="1"/>
  <c r="O734" i="1"/>
  <c r="P734" i="1" s="1"/>
  <c r="Q734" i="1" s="1"/>
  <c r="W734" i="1" s="1"/>
  <c r="O735" i="1"/>
  <c r="O736" i="1"/>
  <c r="O737" i="1"/>
  <c r="O738" i="1"/>
  <c r="P738" i="1" s="1"/>
  <c r="Q738" i="1" s="1"/>
  <c r="W738" i="1" s="1"/>
  <c r="O739" i="1"/>
  <c r="O740" i="1"/>
  <c r="O741" i="1"/>
  <c r="O742" i="1"/>
  <c r="P742" i="1" s="1"/>
  <c r="Q742" i="1" s="1"/>
  <c r="W742" i="1" s="1"/>
  <c r="O743" i="1"/>
  <c r="O744" i="1"/>
  <c r="O745" i="1"/>
  <c r="O746" i="1"/>
  <c r="P746" i="1" s="1"/>
  <c r="Q746" i="1" s="1"/>
  <c r="W746" i="1" s="1"/>
  <c r="O747" i="1"/>
  <c r="O748" i="1"/>
  <c r="O749" i="1"/>
  <c r="O750" i="1"/>
  <c r="P750" i="1" s="1"/>
  <c r="Q750" i="1" s="1"/>
  <c r="W750" i="1" s="1"/>
  <c r="O751" i="1"/>
  <c r="O752" i="1"/>
  <c r="O753" i="1"/>
  <c r="O754" i="1"/>
  <c r="P754" i="1" s="1"/>
  <c r="Q754" i="1" s="1"/>
  <c r="W754" i="1" s="1"/>
  <c r="O755" i="1"/>
  <c r="O756" i="1"/>
  <c r="O757" i="1"/>
  <c r="O758" i="1"/>
  <c r="P758" i="1" s="1"/>
  <c r="Q758" i="1" s="1"/>
  <c r="W758" i="1" s="1"/>
  <c r="O759" i="1"/>
  <c r="O760" i="1"/>
  <c r="O761" i="1"/>
  <c r="O762" i="1"/>
  <c r="P762" i="1" s="1"/>
  <c r="Q762" i="1" s="1"/>
  <c r="W762" i="1" s="1"/>
  <c r="O763" i="1"/>
  <c r="O764" i="1"/>
  <c r="O765" i="1"/>
  <c r="O766" i="1"/>
  <c r="P766" i="1" s="1"/>
  <c r="Q766" i="1" s="1"/>
  <c r="W766" i="1" s="1"/>
  <c r="O767" i="1"/>
  <c r="O768" i="1"/>
  <c r="O769" i="1"/>
  <c r="O770" i="1"/>
  <c r="P770" i="1" s="1"/>
  <c r="Q770" i="1" s="1"/>
  <c r="W770" i="1" s="1"/>
  <c r="O771" i="1"/>
  <c r="O772" i="1"/>
  <c r="O773" i="1"/>
  <c r="O774" i="1"/>
  <c r="P774" i="1" s="1"/>
  <c r="Q774" i="1" s="1"/>
  <c r="W774" i="1" s="1"/>
  <c r="O775" i="1"/>
  <c r="O776" i="1"/>
  <c r="O777" i="1"/>
  <c r="O778" i="1"/>
  <c r="P778" i="1" s="1"/>
  <c r="Q778" i="1" s="1"/>
  <c r="W778" i="1" s="1"/>
  <c r="O779" i="1"/>
  <c r="O780" i="1"/>
  <c r="O781" i="1"/>
  <c r="O782" i="1"/>
  <c r="P782" i="1" s="1"/>
  <c r="Q782" i="1" s="1"/>
  <c r="W782" i="1" s="1"/>
  <c r="O783" i="1"/>
  <c r="O784" i="1"/>
  <c r="O785" i="1"/>
  <c r="O786" i="1"/>
  <c r="P786" i="1" s="1"/>
  <c r="Q786" i="1" s="1"/>
  <c r="W786" i="1" s="1"/>
  <c r="O787" i="1"/>
  <c r="O788" i="1"/>
  <c r="O789" i="1"/>
  <c r="O790" i="1"/>
  <c r="P790" i="1" s="1"/>
  <c r="Q790" i="1" s="1"/>
  <c r="W790" i="1" s="1"/>
  <c r="O791" i="1"/>
  <c r="O792" i="1"/>
  <c r="O793" i="1"/>
  <c r="O794" i="1"/>
  <c r="P794" i="1" s="1"/>
  <c r="Q794" i="1" s="1"/>
  <c r="W794" i="1" s="1"/>
  <c r="O795" i="1"/>
  <c r="O796" i="1"/>
  <c r="O797" i="1"/>
  <c r="O798" i="1"/>
  <c r="P798" i="1" s="1"/>
  <c r="Q798" i="1" s="1"/>
  <c r="W798" i="1" s="1"/>
  <c r="O799" i="1"/>
  <c r="O800" i="1"/>
  <c r="O801" i="1"/>
  <c r="O802" i="1"/>
  <c r="P802" i="1" s="1"/>
  <c r="Q802" i="1" s="1"/>
  <c r="W802" i="1" s="1"/>
  <c r="O803" i="1"/>
  <c r="O804" i="1"/>
  <c r="O805" i="1"/>
  <c r="O806" i="1"/>
  <c r="P806" i="1" s="1"/>
  <c r="Q806" i="1" s="1"/>
  <c r="W806" i="1" s="1"/>
  <c r="O807" i="1"/>
  <c r="O808" i="1"/>
  <c r="O809" i="1"/>
  <c r="O810" i="1"/>
  <c r="P810" i="1" s="1"/>
  <c r="Q810" i="1" s="1"/>
  <c r="W810" i="1" s="1"/>
  <c r="O811" i="1"/>
  <c r="O812" i="1"/>
  <c r="O813" i="1"/>
  <c r="O814" i="1"/>
  <c r="P814" i="1" s="1"/>
  <c r="Q814" i="1" s="1"/>
  <c r="W814" i="1" s="1"/>
  <c r="O815" i="1"/>
  <c r="O816" i="1"/>
  <c r="O817" i="1"/>
  <c r="O818" i="1"/>
  <c r="P818" i="1" s="1"/>
  <c r="Q818" i="1" s="1"/>
  <c r="W818" i="1" s="1"/>
  <c r="O819" i="1"/>
  <c r="O820" i="1"/>
  <c r="O821" i="1"/>
  <c r="O822" i="1"/>
  <c r="P822" i="1" s="1"/>
  <c r="Q822" i="1" s="1"/>
  <c r="W822" i="1" s="1"/>
  <c r="O823" i="1"/>
  <c r="O824" i="1"/>
  <c r="O825" i="1"/>
  <c r="O826" i="1"/>
  <c r="P826" i="1" s="1"/>
  <c r="Q826" i="1" s="1"/>
  <c r="W826" i="1" s="1"/>
  <c r="O827" i="1"/>
  <c r="O828" i="1"/>
  <c r="O829" i="1"/>
  <c r="O830" i="1"/>
  <c r="P830" i="1" s="1"/>
  <c r="Q830" i="1" s="1"/>
  <c r="W830" i="1" s="1"/>
  <c r="O831" i="1"/>
  <c r="O832" i="1"/>
  <c r="O833" i="1"/>
  <c r="O834" i="1"/>
  <c r="P834" i="1" s="1"/>
  <c r="Q834" i="1" s="1"/>
  <c r="W834" i="1" s="1"/>
  <c r="O835" i="1"/>
  <c r="O836" i="1"/>
  <c r="O837" i="1"/>
  <c r="O838" i="1"/>
  <c r="P838" i="1" s="1"/>
  <c r="Q838" i="1" s="1"/>
  <c r="W838" i="1" s="1"/>
  <c r="O839" i="1"/>
  <c r="O840" i="1"/>
  <c r="O841" i="1"/>
  <c r="O842" i="1"/>
  <c r="P842" i="1" s="1"/>
  <c r="Q842" i="1" s="1"/>
  <c r="W842" i="1" s="1"/>
  <c r="O843" i="1"/>
  <c r="O844" i="1"/>
  <c r="O845" i="1"/>
  <c r="O846" i="1"/>
  <c r="P846" i="1" s="1"/>
  <c r="Q846" i="1" s="1"/>
  <c r="W846" i="1" s="1"/>
  <c r="O847" i="1"/>
  <c r="O848" i="1"/>
  <c r="O849" i="1"/>
  <c r="O850" i="1"/>
  <c r="P850" i="1" s="1"/>
  <c r="Q850" i="1" s="1"/>
  <c r="W850" i="1" s="1"/>
  <c r="O851" i="1"/>
  <c r="O852" i="1"/>
  <c r="O853" i="1"/>
  <c r="O854" i="1"/>
  <c r="P854" i="1" s="1"/>
  <c r="Q854" i="1" s="1"/>
  <c r="W854" i="1" s="1"/>
  <c r="O855" i="1"/>
  <c r="O856" i="1"/>
  <c r="O857" i="1"/>
  <c r="O858" i="1"/>
  <c r="P858" i="1" s="1"/>
  <c r="Q858" i="1" s="1"/>
  <c r="W858" i="1" s="1"/>
  <c r="O859" i="1"/>
  <c r="O860" i="1"/>
  <c r="O861" i="1"/>
  <c r="O862" i="1"/>
  <c r="P862" i="1" s="1"/>
  <c r="Q862" i="1" s="1"/>
  <c r="W862" i="1" s="1"/>
  <c r="O863" i="1"/>
  <c r="O864" i="1"/>
  <c r="O865" i="1"/>
  <c r="O866" i="1"/>
  <c r="P866" i="1" s="1"/>
  <c r="Q866" i="1" s="1"/>
  <c r="W866" i="1" s="1"/>
  <c r="O867" i="1"/>
  <c r="O868" i="1"/>
  <c r="O869" i="1"/>
  <c r="O870" i="1"/>
  <c r="P870" i="1" s="1"/>
  <c r="Q870" i="1" s="1"/>
  <c r="W870" i="1" s="1"/>
  <c r="O871" i="1"/>
  <c r="O872" i="1"/>
  <c r="O873" i="1"/>
  <c r="O874" i="1"/>
  <c r="P874" i="1" s="1"/>
  <c r="Q874" i="1" s="1"/>
  <c r="W874" i="1" s="1"/>
  <c r="O875" i="1"/>
  <c r="O876" i="1"/>
  <c r="O877" i="1"/>
  <c r="O878" i="1"/>
  <c r="P878" i="1" s="1"/>
  <c r="Q878" i="1" s="1"/>
  <c r="W878" i="1" s="1"/>
  <c r="O879" i="1"/>
  <c r="O880" i="1"/>
  <c r="O881" i="1"/>
  <c r="O882" i="1"/>
  <c r="P882" i="1" s="1"/>
  <c r="Q882" i="1" s="1"/>
  <c r="W882" i="1" s="1"/>
  <c r="O883" i="1"/>
  <c r="O884" i="1"/>
  <c r="O885" i="1"/>
  <c r="O886" i="1"/>
  <c r="P886" i="1" s="1"/>
  <c r="Q886" i="1" s="1"/>
  <c r="W886" i="1" s="1"/>
  <c r="O887" i="1"/>
  <c r="O888" i="1"/>
  <c r="O889" i="1"/>
  <c r="O890" i="1"/>
  <c r="P890" i="1" s="1"/>
  <c r="Q890" i="1" s="1"/>
  <c r="W890" i="1" s="1"/>
  <c r="O891" i="1"/>
  <c r="O892" i="1"/>
  <c r="O893" i="1"/>
  <c r="O894" i="1"/>
  <c r="P894" i="1" s="1"/>
  <c r="Q894" i="1" s="1"/>
  <c r="W894" i="1" s="1"/>
  <c r="O895" i="1"/>
  <c r="O896" i="1"/>
  <c r="O897" i="1"/>
  <c r="O898" i="1"/>
  <c r="P898" i="1" s="1"/>
  <c r="Q898" i="1" s="1"/>
  <c r="W898" i="1" s="1"/>
  <c r="O899" i="1"/>
  <c r="O900" i="1"/>
  <c r="O901" i="1"/>
  <c r="O902" i="1"/>
  <c r="P902" i="1" s="1"/>
  <c r="Q902" i="1" s="1"/>
  <c r="W902" i="1" s="1"/>
  <c r="O903" i="1"/>
  <c r="O904" i="1"/>
  <c r="O905" i="1"/>
  <c r="O906" i="1"/>
  <c r="P906" i="1" s="1"/>
  <c r="Q906" i="1" s="1"/>
  <c r="W906" i="1" s="1"/>
  <c r="O907" i="1"/>
  <c r="O908" i="1"/>
  <c r="O909" i="1"/>
  <c r="O910" i="1"/>
  <c r="P910" i="1" s="1"/>
  <c r="Q910" i="1" s="1"/>
  <c r="W910" i="1" s="1"/>
  <c r="O911" i="1"/>
  <c r="O912" i="1"/>
  <c r="O913" i="1"/>
  <c r="O914" i="1"/>
  <c r="P914" i="1" s="1"/>
  <c r="Q914" i="1" s="1"/>
  <c r="W914" i="1" s="1"/>
  <c r="O915" i="1"/>
  <c r="O916" i="1"/>
  <c r="O917" i="1"/>
  <c r="O918" i="1"/>
  <c r="P918" i="1" s="1"/>
  <c r="Q918" i="1" s="1"/>
  <c r="W918" i="1" s="1"/>
  <c r="O919" i="1"/>
  <c r="O920" i="1"/>
  <c r="O921" i="1"/>
  <c r="O922" i="1"/>
  <c r="P922" i="1" s="1"/>
  <c r="Q922" i="1" s="1"/>
  <c r="W922" i="1" s="1"/>
  <c r="O923" i="1"/>
  <c r="O924" i="1"/>
  <c r="O925" i="1"/>
  <c r="O926" i="1"/>
  <c r="P926" i="1" s="1"/>
  <c r="Q926" i="1" s="1"/>
  <c r="W926" i="1" s="1"/>
  <c r="O927" i="1"/>
  <c r="O928" i="1"/>
  <c r="O929" i="1"/>
  <c r="O930" i="1"/>
  <c r="P930" i="1" s="1"/>
  <c r="Q930" i="1" s="1"/>
  <c r="W930" i="1" s="1"/>
  <c r="O931" i="1"/>
  <c r="O932" i="1"/>
  <c r="O933" i="1"/>
  <c r="O934" i="1"/>
  <c r="P934" i="1" s="1"/>
  <c r="Q934" i="1" s="1"/>
  <c r="W934" i="1" s="1"/>
  <c r="O935" i="1"/>
  <c r="O936" i="1"/>
  <c r="O937" i="1"/>
  <c r="O938" i="1"/>
  <c r="P938" i="1" s="1"/>
  <c r="Q938" i="1" s="1"/>
  <c r="W938" i="1" s="1"/>
  <c r="O939" i="1"/>
  <c r="O940" i="1"/>
  <c r="O941" i="1"/>
  <c r="O942" i="1"/>
  <c r="P942" i="1" s="1"/>
  <c r="Q942" i="1" s="1"/>
  <c r="W942" i="1" s="1"/>
  <c r="O943" i="1"/>
  <c r="O944" i="1"/>
  <c r="O945" i="1"/>
  <c r="O946" i="1"/>
  <c r="P946" i="1" s="1"/>
  <c r="Q946" i="1" s="1"/>
  <c r="W946" i="1" s="1"/>
  <c r="O947" i="1"/>
  <c r="O948" i="1"/>
  <c r="O949" i="1"/>
  <c r="O950" i="1"/>
  <c r="P950" i="1" s="1"/>
  <c r="Q950" i="1" s="1"/>
  <c r="W950" i="1" s="1"/>
  <c r="O951" i="1"/>
  <c r="O952" i="1"/>
  <c r="O953" i="1"/>
  <c r="O954" i="1"/>
  <c r="P954" i="1" s="1"/>
  <c r="Q954" i="1" s="1"/>
  <c r="W954" i="1" s="1"/>
  <c r="O955" i="1"/>
  <c r="O956" i="1"/>
  <c r="O957" i="1"/>
  <c r="O958" i="1"/>
  <c r="P958" i="1" s="1"/>
  <c r="Q958" i="1" s="1"/>
  <c r="W958" i="1" s="1"/>
  <c r="O959" i="1"/>
  <c r="O960" i="1"/>
  <c r="O961" i="1"/>
  <c r="O962" i="1"/>
  <c r="P962" i="1" s="1"/>
  <c r="Q962" i="1" s="1"/>
  <c r="W962" i="1" s="1"/>
  <c r="O963" i="1"/>
  <c r="O964" i="1"/>
  <c r="O965" i="1"/>
  <c r="O966" i="1"/>
  <c r="P966" i="1" s="1"/>
  <c r="Q966" i="1" s="1"/>
  <c r="W966" i="1" s="1"/>
  <c r="O967" i="1"/>
  <c r="O968" i="1"/>
  <c r="O969" i="1"/>
  <c r="O970" i="1"/>
  <c r="P970" i="1" s="1"/>
  <c r="Q970" i="1" s="1"/>
  <c r="W970" i="1" s="1"/>
  <c r="O971" i="1"/>
  <c r="O972" i="1"/>
  <c r="O973" i="1"/>
  <c r="O974" i="1"/>
  <c r="P974" i="1" s="1"/>
  <c r="Q974" i="1" s="1"/>
  <c r="W974" i="1" s="1"/>
  <c r="O975" i="1"/>
  <c r="O976" i="1"/>
  <c r="O977" i="1"/>
  <c r="O978" i="1"/>
  <c r="P978" i="1" s="1"/>
  <c r="Q978" i="1" s="1"/>
  <c r="W978" i="1" s="1"/>
  <c r="O979" i="1"/>
  <c r="O980" i="1"/>
  <c r="O981" i="1"/>
  <c r="O982" i="1"/>
  <c r="P982" i="1" s="1"/>
  <c r="Q982" i="1" s="1"/>
  <c r="W982" i="1" s="1"/>
  <c r="O983" i="1"/>
  <c r="O984" i="1"/>
  <c r="O985" i="1"/>
  <c r="O986" i="1"/>
  <c r="P986" i="1" s="1"/>
  <c r="Q986" i="1" s="1"/>
  <c r="W986" i="1" s="1"/>
  <c r="O987" i="1"/>
  <c r="O988" i="1"/>
  <c r="O989" i="1"/>
  <c r="O990" i="1"/>
  <c r="P990" i="1" s="1"/>
  <c r="Q990" i="1" s="1"/>
  <c r="W990" i="1" s="1"/>
  <c r="O991" i="1"/>
  <c r="O992" i="1"/>
  <c r="O993" i="1"/>
  <c r="O994" i="1"/>
  <c r="P994" i="1" s="1"/>
  <c r="Q994" i="1" s="1"/>
  <c r="W994" i="1" s="1"/>
  <c r="O995" i="1"/>
  <c r="O996" i="1"/>
  <c r="O997" i="1"/>
  <c r="O998" i="1"/>
  <c r="P998" i="1" s="1"/>
  <c r="Q998" i="1" s="1"/>
  <c r="W998" i="1" s="1"/>
  <c r="O999" i="1"/>
  <c r="O1000" i="1"/>
  <c r="O1001" i="1"/>
  <c r="O2" i="1"/>
  <c r="P2" i="1" s="1"/>
  <c r="Q2" i="1" s="1"/>
  <c r="W2" i="1" s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2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P3" i="1"/>
  <c r="Q3" i="1" s="1"/>
  <c r="W3" i="1" s="1"/>
  <c r="Q304" i="1"/>
  <c r="W304" i="1" s="1"/>
  <c r="Q347" i="1"/>
  <c r="W347" i="1" s="1"/>
  <c r="Q363" i="1"/>
  <c r="W363" i="1" s="1"/>
  <c r="Q379" i="1"/>
  <c r="W379" i="1" s="1"/>
  <c r="Q395" i="1"/>
  <c r="W395" i="1" s="1"/>
  <c r="Q411" i="1"/>
  <c r="W411" i="1" s="1"/>
  <c r="Q427" i="1"/>
  <c r="W427" i="1" s="1"/>
  <c r="Q443" i="1"/>
  <c r="W443" i="1" s="1"/>
  <c r="Q459" i="1"/>
  <c r="W459" i="1" s="1"/>
  <c r="Q475" i="1"/>
  <c r="W475" i="1" s="1"/>
  <c r="Q491" i="1"/>
  <c r="W491" i="1" s="1"/>
  <c r="Q507" i="1"/>
  <c r="W507" i="1" s="1"/>
  <c r="Q523" i="1"/>
  <c r="W523" i="1" s="1"/>
  <c r="Q539" i="1"/>
  <c r="W539" i="1" s="1"/>
  <c r="Q555" i="1"/>
  <c r="W555" i="1" s="1"/>
  <c r="Q571" i="1"/>
  <c r="W571" i="1" s="1"/>
  <c r="Q587" i="1"/>
  <c r="W587" i="1" s="1"/>
  <c r="Q603" i="1"/>
  <c r="W603" i="1" s="1"/>
  <c r="Q619" i="1"/>
  <c r="W619" i="1" s="1"/>
  <c r="Q635" i="1"/>
  <c r="W635" i="1" s="1"/>
  <c r="Q651" i="1"/>
  <c r="W651" i="1" s="1"/>
  <c r="Q667" i="1"/>
  <c r="W667" i="1" s="1"/>
  <c r="Q683" i="1"/>
  <c r="W683" i="1" s="1"/>
  <c r="Q699" i="1"/>
  <c r="W699" i="1" s="1"/>
  <c r="Q715" i="1"/>
  <c r="W715" i="1" s="1"/>
  <c r="Q719" i="1"/>
  <c r="W719" i="1" s="1"/>
  <c r="Q731" i="1"/>
  <c r="W731" i="1" s="1"/>
  <c r="Q735" i="1"/>
  <c r="W735" i="1" s="1"/>
  <c r="Q747" i="1"/>
  <c r="W747" i="1" s="1"/>
  <c r="Q751" i="1"/>
  <c r="W751" i="1" s="1"/>
  <c r="Q763" i="1"/>
  <c r="W763" i="1" s="1"/>
  <c r="Q767" i="1"/>
  <c r="W767" i="1" s="1"/>
  <c r="Q779" i="1"/>
  <c r="W779" i="1" s="1"/>
  <c r="Q783" i="1"/>
  <c r="W783" i="1" s="1"/>
  <c r="Q795" i="1"/>
  <c r="W795" i="1" s="1"/>
  <c r="Q799" i="1"/>
  <c r="W799" i="1" s="1"/>
  <c r="Q811" i="1"/>
  <c r="W811" i="1" s="1"/>
  <c r="Q815" i="1"/>
  <c r="W815" i="1" s="1"/>
  <c r="Q827" i="1"/>
  <c r="W827" i="1" s="1"/>
  <c r="Q835" i="1"/>
  <c r="W835" i="1" s="1"/>
  <c r="Q840" i="1"/>
  <c r="W840" i="1" s="1"/>
  <c r="Q847" i="1"/>
  <c r="W847" i="1" s="1"/>
  <c r="Q851" i="1"/>
  <c r="W851" i="1" s="1"/>
  <c r="Q856" i="1"/>
  <c r="W856" i="1" s="1"/>
  <c r="Q863" i="1"/>
  <c r="W863" i="1" s="1"/>
  <c r="Q867" i="1"/>
  <c r="W867" i="1" s="1"/>
  <c r="Q872" i="1"/>
  <c r="W872" i="1" s="1"/>
  <c r="Q879" i="1"/>
  <c r="W879" i="1" s="1"/>
  <c r="Q883" i="1"/>
  <c r="W883" i="1" s="1"/>
  <c r="Q888" i="1"/>
  <c r="W888" i="1" s="1"/>
  <c r="Q895" i="1"/>
  <c r="W895" i="1" s="1"/>
  <c r="Q899" i="1"/>
  <c r="W899" i="1" s="1"/>
  <c r="Q904" i="1"/>
  <c r="W904" i="1" s="1"/>
  <c r="Q911" i="1"/>
  <c r="W911" i="1" s="1"/>
  <c r="Q915" i="1"/>
  <c r="W915" i="1" s="1"/>
  <c r="Q920" i="1"/>
  <c r="W920" i="1" s="1"/>
  <c r="Q927" i="1"/>
  <c r="W927" i="1" s="1"/>
  <c r="Q931" i="1"/>
  <c r="W931" i="1" s="1"/>
  <c r="Q935" i="1"/>
  <c r="W935" i="1" s="1"/>
  <c r="Q939" i="1"/>
  <c r="W939" i="1" s="1"/>
  <c r="Q943" i="1"/>
  <c r="W943" i="1" s="1"/>
  <c r="Q947" i="1"/>
  <c r="W947" i="1" s="1"/>
  <c r="Q951" i="1"/>
  <c r="W951" i="1" s="1"/>
  <c r="Q955" i="1"/>
  <c r="W955" i="1" s="1"/>
  <c r="Q959" i="1"/>
  <c r="W959" i="1" s="1"/>
  <c r="Q963" i="1"/>
  <c r="W963" i="1" s="1"/>
  <c r="Q967" i="1"/>
  <c r="W967" i="1" s="1"/>
  <c r="Q971" i="1"/>
  <c r="W971" i="1" s="1"/>
  <c r="Q975" i="1"/>
  <c r="W975" i="1" s="1"/>
  <c r="Q979" i="1"/>
  <c r="W979" i="1" s="1"/>
  <c r="Q983" i="1"/>
  <c r="W983" i="1" s="1"/>
  <c r="Q987" i="1"/>
  <c r="W987" i="1" s="1"/>
  <c r="Q991" i="1"/>
  <c r="W991" i="1" s="1"/>
  <c r="Q995" i="1"/>
  <c r="W995" i="1" s="1"/>
  <c r="Q999" i="1"/>
  <c r="W999" i="1" s="1"/>
  <c r="P1001" i="1"/>
  <c r="Q1001" i="1" s="1"/>
  <c r="W1001" i="1" s="1"/>
  <c r="P1000" i="1"/>
  <c r="Q1000" i="1" s="1"/>
  <c r="W1000" i="1" s="1"/>
  <c r="P999" i="1"/>
  <c r="P997" i="1"/>
  <c r="Q997" i="1" s="1"/>
  <c r="W997" i="1" s="1"/>
  <c r="P996" i="1"/>
  <c r="Q996" i="1" s="1"/>
  <c r="W996" i="1" s="1"/>
  <c r="P995" i="1"/>
  <c r="P993" i="1"/>
  <c r="Q993" i="1" s="1"/>
  <c r="W993" i="1" s="1"/>
  <c r="P992" i="1"/>
  <c r="Q992" i="1" s="1"/>
  <c r="W992" i="1" s="1"/>
  <c r="P991" i="1"/>
  <c r="P989" i="1"/>
  <c r="Q989" i="1" s="1"/>
  <c r="W989" i="1" s="1"/>
  <c r="P988" i="1"/>
  <c r="Q988" i="1" s="1"/>
  <c r="W988" i="1" s="1"/>
  <c r="P987" i="1"/>
  <c r="P985" i="1"/>
  <c r="Q985" i="1" s="1"/>
  <c r="W985" i="1" s="1"/>
  <c r="P984" i="1"/>
  <c r="Q984" i="1" s="1"/>
  <c r="W984" i="1" s="1"/>
  <c r="P983" i="1"/>
  <c r="P981" i="1"/>
  <c r="Q981" i="1" s="1"/>
  <c r="W981" i="1" s="1"/>
  <c r="P980" i="1"/>
  <c r="Q980" i="1" s="1"/>
  <c r="W980" i="1" s="1"/>
  <c r="P979" i="1"/>
  <c r="P977" i="1"/>
  <c r="Q977" i="1" s="1"/>
  <c r="W977" i="1" s="1"/>
  <c r="P976" i="1"/>
  <c r="Q976" i="1" s="1"/>
  <c r="W976" i="1" s="1"/>
  <c r="P975" i="1"/>
  <c r="P973" i="1"/>
  <c r="Q973" i="1" s="1"/>
  <c r="W973" i="1" s="1"/>
  <c r="P972" i="1"/>
  <c r="Q972" i="1" s="1"/>
  <c r="W972" i="1" s="1"/>
  <c r="P971" i="1"/>
  <c r="P969" i="1"/>
  <c r="Q969" i="1" s="1"/>
  <c r="W969" i="1" s="1"/>
  <c r="P968" i="1"/>
  <c r="Q968" i="1" s="1"/>
  <c r="W968" i="1" s="1"/>
  <c r="P967" i="1"/>
  <c r="P965" i="1"/>
  <c r="Q965" i="1" s="1"/>
  <c r="W965" i="1" s="1"/>
  <c r="P964" i="1"/>
  <c r="Q964" i="1" s="1"/>
  <c r="W964" i="1" s="1"/>
  <c r="P963" i="1"/>
  <c r="P961" i="1"/>
  <c r="Q961" i="1" s="1"/>
  <c r="W961" i="1" s="1"/>
  <c r="P960" i="1"/>
  <c r="Q960" i="1" s="1"/>
  <c r="W960" i="1" s="1"/>
  <c r="P959" i="1"/>
  <c r="P957" i="1"/>
  <c r="Q957" i="1" s="1"/>
  <c r="W957" i="1" s="1"/>
  <c r="P956" i="1"/>
  <c r="Q956" i="1" s="1"/>
  <c r="W956" i="1" s="1"/>
  <c r="P955" i="1"/>
  <c r="P953" i="1"/>
  <c r="Q953" i="1" s="1"/>
  <c r="W953" i="1" s="1"/>
  <c r="P952" i="1"/>
  <c r="Q952" i="1" s="1"/>
  <c r="W952" i="1" s="1"/>
  <c r="P951" i="1"/>
  <c r="P949" i="1"/>
  <c r="Q949" i="1" s="1"/>
  <c r="W949" i="1" s="1"/>
  <c r="P948" i="1"/>
  <c r="Q948" i="1" s="1"/>
  <c r="W948" i="1" s="1"/>
  <c r="P947" i="1"/>
  <c r="P945" i="1"/>
  <c r="Q945" i="1" s="1"/>
  <c r="W945" i="1" s="1"/>
  <c r="P944" i="1"/>
  <c r="Q944" i="1" s="1"/>
  <c r="W944" i="1" s="1"/>
  <c r="P943" i="1"/>
  <c r="P941" i="1"/>
  <c r="Q941" i="1" s="1"/>
  <c r="W941" i="1" s="1"/>
  <c r="P940" i="1"/>
  <c r="Q940" i="1" s="1"/>
  <c r="W940" i="1" s="1"/>
  <c r="P939" i="1"/>
  <c r="P937" i="1"/>
  <c r="Q937" i="1" s="1"/>
  <c r="W937" i="1" s="1"/>
  <c r="P936" i="1"/>
  <c r="Q936" i="1" s="1"/>
  <c r="W936" i="1" s="1"/>
  <c r="P935" i="1"/>
  <c r="P933" i="1"/>
  <c r="Q933" i="1" s="1"/>
  <c r="W933" i="1" s="1"/>
  <c r="P932" i="1"/>
  <c r="Q932" i="1" s="1"/>
  <c r="W932" i="1" s="1"/>
  <c r="P931" i="1"/>
  <c r="P929" i="1"/>
  <c r="Q929" i="1" s="1"/>
  <c r="W929" i="1" s="1"/>
  <c r="P928" i="1"/>
  <c r="Q928" i="1" s="1"/>
  <c r="W928" i="1" s="1"/>
  <c r="P927" i="1"/>
  <c r="P925" i="1"/>
  <c r="Q925" i="1" s="1"/>
  <c r="W925" i="1" s="1"/>
  <c r="P924" i="1"/>
  <c r="Q924" i="1" s="1"/>
  <c r="W924" i="1" s="1"/>
  <c r="P923" i="1"/>
  <c r="Q923" i="1" s="1"/>
  <c r="W923" i="1" s="1"/>
  <c r="P921" i="1"/>
  <c r="Q921" i="1" s="1"/>
  <c r="W921" i="1" s="1"/>
  <c r="P920" i="1"/>
  <c r="P919" i="1"/>
  <c r="Q919" i="1" s="1"/>
  <c r="W919" i="1" s="1"/>
  <c r="P917" i="1"/>
  <c r="Q917" i="1" s="1"/>
  <c r="W917" i="1" s="1"/>
  <c r="P916" i="1"/>
  <c r="Q916" i="1" s="1"/>
  <c r="W916" i="1" s="1"/>
  <c r="P915" i="1"/>
  <c r="P913" i="1"/>
  <c r="Q913" i="1" s="1"/>
  <c r="W913" i="1" s="1"/>
  <c r="P912" i="1"/>
  <c r="Q912" i="1" s="1"/>
  <c r="W912" i="1" s="1"/>
  <c r="P911" i="1"/>
  <c r="P909" i="1"/>
  <c r="Q909" i="1" s="1"/>
  <c r="W909" i="1" s="1"/>
  <c r="P908" i="1"/>
  <c r="Q908" i="1" s="1"/>
  <c r="W908" i="1" s="1"/>
  <c r="P907" i="1"/>
  <c r="Q907" i="1" s="1"/>
  <c r="W907" i="1" s="1"/>
  <c r="P905" i="1"/>
  <c r="Q905" i="1" s="1"/>
  <c r="W905" i="1" s="1"/>
  <c r="P904" i="1"/>
  <c r="P903" i="1"/>
  <c r="Q903" i="1" s="1"/>
  <c r="W903" i="1" s="1"/>
  <c r="P901" i="1"/>
  <c r="Q901" i="1" s="1"/>
  <c r="W901" i="1" s="1"/>
  <c r="P900" i="1"/>
  <c r="Q900" i="1" s="1"/>
  <c r="W900" i="1" s="1"/>
  <c r="P899" i="1"/>
  <c r="P897" i="1"/>
  <c r="Q897" i="1" s="1"/>
  <c r="W897" i="1" s="1"/>
  <c r="P896" i="1"/>
  <c r="Q896" i="1" s="1"/>
  <c r="W896" i="1" s="1"/>
  <c r="P895" i="1"/>
  <c r="P893" i="1"/>
  <c r="Q893" i="1" s="1"/>
  <c r="W893" i="1" s="1"/>
  <c r="P892" i="1"/>
  <c r="Q892" i="1" s="1"/>
  <c r="W892" i="1" s="1"/>
  <c r="P891" i="1"/>
  <c r="Q891" i="1" s="1"/>
  <c r="W891" i="1" s="1"/>
  <c r="P889" i="1"/>
  <c r="Q889" i="1" s="1"/>
  <c r="W889" i="1" s="1"/>
  <c r="P888" i="1"/>
  <c r="P887" i="1"/>
  <c r="Q887" i="1" s="1"/>
  <c r="W887" i="1" s="1"/>
  <c r="P885" i="1"/>
  <c r="Q885" i="1" s="1"/>
  <c r="W885" i="1" s="1"/>
  <c r="P884" i="1"/>
  <c r="Q884" i="1" s="1"/>
  <c r="W884" i="1" s="1"/>
  <c r="P883" i="1"/>
  <c r="P881" i="1"/>
  <c r="Q881" i="1" s="1"/>
  <c r="W881" i="1" s="1"/>
  <c r="P880" i="1"/>
  <c r="Q880" i="1" s="1"/>
  <c r="W880" i="1" s="1"/>
  <c r="P879" i="1"/>
  <c r="P877" i="1"/>
  <c r="Q877" i="1" s="1"/>
  <c r="W877" i="1" s="1"/>
  <c r="P876" i="1"/>
  <c r="Q876" i="1" s="1"/>
  <c r="W876" i="1" s="1"/>
  <c r="P875" i="1"/>
  <c r="Q875" i="1" s="1"/>
  <c r="W875" i="1" s="1"/>
  <c r="P873" i="1"/>
  <c r="Q873" i="1" s="1"/>
  <c r="W873" i="1" s="1"/>
  <c r="P872" i="1"/>
  <c r="P871" i="1"/>
  <c r="Q871" i="1" s="1"/>
  <c r="W871" i="1" s="1"/>
  <c r="P869" i="1"/>
  <c r="Q869" i="1" s="1"/>
  <c r="W869" i="1" s="1"/>
  <c r="P868" i="1"/>
  <c r="Q868" i="1" s="1"/>
  <c r="W868" i="1" s="1"/>
  <c r="P867" i="1"/>
  <c r="P865" i="1"/>
  <c r="Q865" i="1" s="1"/>
  <c r="W865" i="1" s="1"/>
  <c r="P864" i="1"/>
  <c r="Q864" i="1" s="1"/>
  <c r="W864" i="1" s="1"/>
  <c r="P863" i="1"/>
  <c r="P861" i="1"/>
  <c r="Q861" i="1" s="1"/>
  <c r="W861" i="1" s="1"/>
  <c r="P860" i="1"/>
  <c r="Q860" i="1" s="1"/>
  <c r="W860" i="1" s="1"/>
  <c r="P859" i="1"/>
  <c r="Q859" i="1" s="1"/>
  <c r="W859" i="1" s="1"/>
  <c r="P857" i="1"/>
  <c r="Q857" i="1" s="1"/>
  <c r="W857" i="1" s="1"/>
  <c r="P856" i="1"/>
  <c r="P855" i="1"/>
  <c r="Q855" i="1" s="1"/>
  <c r="W855" i="1" s="1"/>
  <c r="P853" i="1"/>
  <c r="Q853" i="1" s="1"/>
  <c r="W853" i="1" s="1"/>
  <c r="P852" i="1"/>
  <c r="Q852" i="1" s="1"/>
  <c r="W852" i="1" s="1"/>
  <c r="P851" i="1"/>
  <c r="P849" i="1"/>
  <c r="Q849" i="1" s="1"/>
  <c r="W849" i="1" s="1"/>
  <c r="P848" i="1"/>
  <c r="Q848" i="1" s="1"/>
  <c r="W848" i="1" s="1"/>
  <c r="P847" i="1"/>
  <c r="P845" i="1"/>
  <c r="Q845" i="1" s="1"/>
  <c r="W845" i="1" s="1"/>
  <c r="P844" i="1"/>
  <c r="Q844" i="1" s="1"/>
  <c r="W844" i="1" s="1"/>
  <c r="P843" i="1"/>
  <c r="Q843" i="1" s="1"/>
  <c r="W843" i="1" s="1"/>
  <c r="P841" i="1"/>
  <c r="Q841" i="1" s="1"/>
  <c r="W841" i="1" s="1"/>
  <c r="P840" i="1"/>
  <c r="P839" i="1"/>
  <c r="Q839" i="1" s="1"/>
  <c r="W839" i="1" s="1"/>
  <c r="P837" i="1"/>
  <c r="Q837" i="1" s="1"/>
  <c r="W837" i="1" s="1"/>
  <c r="P836" i="1"/>
  <c r="Q836" i="1" s="1"/>
  <c r="W836" i="1" s="1"/>
  <c r="P835" i="1"/>
  <c r="P833" i="1"/>
  <c r="Q833" i="1" s="1"/>
  <c r="W833" i="1" s="1"/>
  <c r="P832" i="1"/>
  <c r="Q832" i="1" s="1"/>
  <c r="W832" i="1" s="1"/>
  <c r="P831" i="1"/>
  <c r="Q831" i="1" s="1"/>
  <c r="W831" i="1" s="1"/>
  <c r="P829" i="1"/>
  <c r="Q829" i="1" s="1"/>
  <c r="W829" i="1" s="1"/>
  <c r="P828" i="1"/>
  <c r="Q828" i="1" s="1"/>
  <c r="W828" i="1" s="1"/>
  <c r="P827" i="1"/>
  <c r="P825" i="1"/>
  <c r="Q825" i="1" s="1"/>
  <c r="W825" i="1" s="1"/>
  <c r="P824" i="1"/>
  <c r="Q824" i="1" s="1"/>
  <c r="W824" i="1" s="1"/>
  <c r="P823" i="1"/>
  <c r="Q823" i="1" s="1"/>
  <c r="W823" i="1" s="1"/>
  <c r="P821" i="1"/>
  <c r="Q821" i="1" s="1"/>
  <c r="W821" i="1" s="1"/>
  <c r="P820" i="1"/>
  <c r="Q820" i="1" s="1"/>
  <c r="W820" i="1" s="1"/>
  <c r="P819" i="1"/>
  <c r="Q819" i="1" s="1"/>
  <c r="W819" i="1" s="1"/>
  <c r="P817" i="1"/>
  <c r="Q817" i="1" s="1"/>
  <c r="W817" i="1" s="1"/>
  <c r="P816" i="1"/>
  <c r="Q816" i="1" s="1"/>
  <c r="W816" i="1" s="1"/>
  <c r="P815" i="1"/>
  <c r="P813" i="1"/>
  <c r="Q813" i="1" s="1"/>
  <c r="W813" i="1" s="1"/>
  <c r="P812" i="1"/>
  <c r="Q812" i="1" s="1"/>
  <c r="W812" i="1" s="1"/>
  <c r="P811" i="1"/>
  <c r="P809" i="1"/>
  <c r="Q809" i="1" s="1"/>
  <c r="W809" i="1" s="1"/>
  <c r="P808" i="1"/>
  <c r="Q808" i="1" s="1"/>
  <c r="W808" i="1" s="1"/>
  <c r="P807" i="1"/>
  <c r="Q807" i="1" s="1"/>
  <c r="W807" i="1" s="1"/>
  <c r="P805" i="1"/>
  <c r="Q805" i="1" s="1"/>
  <c r="W805" i="1" s="1"/>
  <c r="P804" i="1"/>
  <c r="Q804" i="1" s="1"/>
  <c r="W804" i="1" s="1"/>
  <c r="P803" i="1"/>
  <c r="Q803" i="1" s="1"/>
  <c r="W803" i="1" s="1"/>
  <c r="P801" i="1"/>
  <c r="Q801" i="1" s="1"/>
  <c r="W801" i="1" s="1"/>
  <c r="P800" i="1"/>
  <c r="Q800" i="1" s="1"/>
  <c r="W800" i="1" s="1"/>
  <c r="P799" i="1"/>
  <c r="P797" i="1"/>
  <c r="Q797" i="1" s="1"/>
  <c r="W797" i="1" s="1"/>
  <c r="P796" i="1"/>
  <c r="Q796" i="1" s="1"/>
  <c r="W796" i="1" s="1"/>
  <c r="P795" i="1"/>
  <c r="P793" i="1"/>
  <c r="Q793" i="1" s="1"/>
  <c r="W793" i="1" s="1"/>
  <c r="P792" i="1"/>
  <c r="Q792" i="1" s="1"/>
  <c r="W792" i="1" s="1"/>
  <c r="P791" i="1"/>
  <c r="Q791" i="1" s="1"/>
  <c r="W791" i="1" s="1"/>
  <c r="P789" i="1"/>
  <c r="Q789" i="1" s="1"/>
  <c r="W789" i="1" s="1"/>
  <c r="P788" i="1"/>
  <c r="Q788" i="1" s="1"/>
  <c r="W788" i="1" s="1"/>
  <c r="P787" i="1"/>
  <c r="Q787" i="1" s="1"/>
  <c r="W787" i="1" s="1"/>
  <c r="P785" i="1"/>
  <c r="Q785" i="1" s="1"/>
  <c r="W785" i="1" s="1"/>
  <c r="P784" i="1"/>
  <c r="Q784" i="1" s="1"/>
  <c r="W784" i="1" s="1"/>
  <c r="P783" i="1"/>
  <c r="P781" i="1"/>
  <c r="Q781" i="1" s="1"/>
  <c r="W781" i="1" s="1"/>
  <c r="P780" i="1"/>
  <c r="Q780" i="1" s="1"/>
  <c r="W780" i="1" s="1"/>
  <c r="P779" i="1"/>
  <c r="P777" i="1"/>
  <c r="Q777" i="1" s="1"/>
  <c r="W777" i="1" s="1"/>
  <c r="P776" i="1"/>
  <c r="Q776" i="1" s="1"/>
  <c r="W776" i="1" s="1"/>
  <c r="P775" i="1"/>
  <c r="Q775" i="1" s="1"/>
  <c r="W775" i="1" s="1"/>
  <c r="P773" i="1"/>
  <c r="Q773" i="1" s="1"/>
  <c r="W773" i="1" s="1"/>
  <c r="P772" i="1"/>
  <c r="Q772" i="1" s="1"/>
  <c r="W772" i="1" s="1"/>
  <c r="P771" i="1"/>
  <c r="Q771" i="1" s="1"/>
  <c r="W771" i="1" s="1"/>
  <c r="P769" i="1"/>
  <c r="Q769" i="1" s="1"/>
  <c r="W769" i="1" s="1"/>
  <c r="P768" i="1"/>
  <c r="Q768" i="1" s="1"/>
  <c r="W768" i="1" s="1"/>
  <c r="P767" i="1"/>
  <c r="P765" i="1"/>
  <c r="Q765" i="1" s="1"/>
  <c r="W765" i="1" s="1"/>
  <c r="P764" i="1"/>
  <c r="Q764" i="1" s="1"/>
  <c r="W764" i="1" s="1"/>
  <c r="P763" i="1"/>
  <c r="P761" i="1"/>
  <c r="Q761" i="1" s="1"/>
  <c r="W761" i="1" s="1"/>
  <c r="P760" i="1"/>
  <c r="Q760" i="1" s="1"/>
  <c r="W760" i="1" s="1"/>
  <c r="P759" i="1"/>
  <c r="Q759" i="1" s="1"/>
  <c r="W759" i="1" s="1"/>
  <c r="P757" i="1"/>
  <c r="Q757" i="1" s="1"/>
  <c r="W757" i="1" s="1"/>
  <c r="P756" i="1"/>
  <c r="Q756" i="1" s="1"/>
  <c r="W756" i="1" s="1"/>
  <c r="P755" i="1"/>
  <c r="Q755" i="1" s="1"/>
  <c r="W755" i="1" s="1"/>
  <c r="P753" i="1"/>
  <c r="Q753" i="1" s="1"/>
  <c r="W753" i="1" s="1"/>
  <c r="P752" i="1"/>
  <c r="Q752" i="1" s="1"/>
  <c r="W752" i="1" s="1"/>
  <c r="P751" i="1"/>
  <c r="P749" i="1"/>
  <c r="Q749" i="1" s="1"/>
  <c r="W749" i="1" s="1"/>
  <c r="P748" i="1"/>
  <c r="Q748" i="1" s="1"/>
  <c r="W748" i="1" s="1"/>
  <c r="P747" i="1"/>
  <c r="P745" i="1"/>
  <c r="Q745" i="1" s="1"/>
  <c r="W745" i="1" s="1"/>
  <c r="P744" i="1"/>
  <c r="Q744" i="1" s="1"/>
  <c r="W744" i="1" s="1"/>
  <c r="P743" i="1"/>
  <c r="Q743" i="1" s="1"/>
  <c r="W743" i="1" s="1"/>
  <c r="P741" i="1"/>
  <c r="Q741" i="1" s="1"/>
  <c r="W741" i="1" s="1"/>
  <c r="P740" i="1"/>
  <c r="Q740" i="1" s="1"/>
  <c r="W740" i="1" s="1"/>
  <c r="P739" i="1"/>
  <c r="Q739" i="1" s="1"/>
  <c r="W739" i="1" s="1"/>
  <c r="P737" i="1"/>
  <c r="Q737" i="1" s="1"/>
  <c r="W737" i="1" s="1"/>
  <c r="P736" i="1"/>
  <c r="Q736" i="1" s="1"/>
  <c r="W736" i="1" s="1"/>
  <c r="P735" i="1"/>
  <c r="P733" i="1"/>
  <c r="Q733" i="1" s="1"/>
  <c r="W733" i="1" s="1"/>
  <c r="P732" i="1"/>
  <c r="Q732" i="1" s="1"/>
  <c r="W732" i="1" s="1"/>
  <c r="P731" i="1"/>
  <c r="P729" i="1"/>
  <c r="Q729" i="1" s="1"/>
  <c r="W729" i="1" s="1"/>
  <c r="P728" i="1"/>
  <c r="Q728" i="1" s="1"/>
  <c r="W728" i="1" s="1"/>
  <c r="P727" i="1"/>
  <c r="Q727" i="1" s="1"/>
  <c r="W727" i="1" s="1"/>
  <c r="P725" i="1"/>
  <c r="Q725" i="1" s="1"/>
  <c r="W725" i="1" s="1"/>
  <c r="P724" i="1"/>
  <c r="Q724" i="1" s="1"/>
  <c r="W724" i="1" s="1"/>
  <c r="P723" i="1"/>
  <c r="Q723" i="1" s="1"/>
  <c r="W723" i="1" s="1"/>
  <c r="P721" i="1"/>
  <c r="Q721" i="1" s="1"/>
  <c r="W721" i="1" s="1"/>
  <c r="P720" i="1"/>
  <c r="Q720" i="1" s="1"/>
  <c r="W720" i="1" s="1"/>
  <c r="P719" i="1"/>
  <c r="P717" i="1"/>
  <c r="Q717" i="1" s="1"/>
  <c r="W717" i="1" s="1"/>
  <c r="P716" i="1"/>
  <c r="Q716" i="1" s="1"/>
  <c r="W716" i="1" s="1"/>
  <c r="P715" i="1"/>
  <c r="P713" i="1"/>
  <c r="Q713" i="1" s="1"/>
  <c r="W713" i="1" s="1"/>
  <c r="P712" i="1"/>
  <c r="Q712" i="1" s="1"/>
  <c r="W712" i="1" s="1"/>
  <c r="P711" i="1"/>
  <c r="Q711" i="1" s="1"/>
  <c r="W711" i="1" s="1"/>
  <c r="P709" i="1"/>
  <c r="Q709" i="1" s="1"/>
  <c r="W709" i="1" s="1"/>
  <c r="P708" i="1"/>
  <c r="Q708" i="1" s="1"/>
  <c r="W708" i="1" s="1"/>
  <c r="P707" i="1"/>
  <c r="Q707" i="1" s="1"/>
  <c r="W707" i="1" s="1"/>
  <c r="P705" i="1"/>
  <c r="Q705" i="1" s="1"/>
  <c r="W705" i="1" s="1"/>
  <c r="P704" i="1"/>
  <c r="Q704" i="1" s="1"/>
  <c r="W704" i="1" s="1"/>
  <c r="P703" i="1"/>
  <c r="Q703" i="1" s="1"/>
  <c r="W703" i="1" s="1"/>
  <c r="P701" i="1"/>
  <c r="Q701" i="1" s="1"/>
  <c r="W701" i="1" s="1"/>
  <c r="P700" i="1"/>
  <c r="Q700" i="1" s="1"/>
  <c r="W700" i="1" s="1"/>
  <c r="P699" i="1"/>
  <c r="P697" i="1"/>
  <c r="Q697" i="1" s="1"/>
  <c r="W697" i="1" s="1"/>
  <c r="P696" i="1"/>
  <c r="Q696" i="1" s="1"/>
  <c r="W696" i="1" s="1"/>
  <c r="P695" i="1"/>
  <c r="Q695" i="1" s="1"/>
  <c r="W695" i="1" s="1"/>
  <c r="P693" i="1"/>
  <c r="Q693" i="1" s="1"/>
  <c r="W693" i="1" s="1"/>
  <c r="P692" i="1"/>
  <c r="Q692" i="1" s="1"/>
  <c r="W692" i="1" s="1"/>
  <c r="P691" i="1"/>
  <c r="Q691" i="1" s="1"/>
  <c r="W691" i="1" s="1"/>
  <c r="P689" i="1"/>
  <c r="Q689" i="1" s="1"/>
  <c r="W689" i="1" s="1"/>
  <c r="P688" i="1"/>
  <c r="Q688" i="1" s="1"/>
  <c r="W688" i="1" s="1"/>
  <c r="P687" i="1"/>
  <c r="Q687" i="1" s="1"/>
  <c r="W687" i="1" s="1"/>
  <c r="P685" i="1"/>
  <c r="Q685" i="1" s="1"/>
  <c r="W685" i="1" s="1"/>
  <c r="P684" i="1"/>
  <c r="Q684" i="1" s="1"/>
  <c r="W684" i="1" s="1"/>
  <c r="P683" i="1"/>
  <c r="P681" i="1"/>
  <c r="Q681" i="1" s="1"/>
  <c r="W681" i="1" s="1"/>
  <c r="P680" i="1"/>
  <c r="Q680" i="1" s="1"/>
  <c r="W680" i="1" s="1"/>
  <c r="P679" i="1"/>
  <c r="Q679" i="1" s="1"/>
  <c r="W679" i="1" s="1"/>
  <c r="P677" i="1"/>
  <c r="Q677" i="1" s="1"/>
  <c r="W677" i="1" s="1"/>
  <c r="P676" i="1"/>
  <c r="Q676" i="1" s="1"/>
  <c r="W676" i="1" s="1"/>
  <c r="P675" i="1"/>
  <c r="Q675" i="1" s="1"/>
  <c r="W675" i="1" s="1"/>
  <c r="P673" i="1"/>
  <c r="Q673" i="1" s="1"/>
  <c r="W673" i="1" s="1"/>
  <c r="P672" i="1"/>
  <c r="Q672" i="1" s="1"/>
  <c r="W672" i="1" s="1"/>
  <c r="P671" i="1"/>
  <c r="Q671" i="1" s="1"/>
  <c r="W671" i="1" s="1"/>
  <c r="P669" i="1"/>
  <c r="Q669" i="1" s="1"/>
  <c r="W669" i="1" s="1"/>
  <c r="P668" i="1"/>
  <c r="Q668" i="1" s="1"/>
  <c r="W668" i="1" s="1"/>
  <c r="P667" i="1"/>
  <c r="P665" i="1"/>
  <c r="Q665" i="1" s="1"/>
  <c r="W665" i="1" s="1"/>
  <c r="P664" i="1"/>
  <c r="Q664" i="1" s="1"/>
  <c r="W664" i="1" s="1"/>
  <c r="P663" i="1"/>
  <c r="Q663" i="1" s="1"/>
  <c r="W663" i="1" s="1"/>
  <c r="P661" i="1"/>
  <c r="Q661" i="1" s="1"/>
  <c r="W661" i="1" s="1"/>
  <c r="P660" i="1"/>
  <c r="Q660" i="1" s="1"/>
  <c r="W660" i="1" s="1"/>
  <c r="P659" i="1"/>
  <c r="Q659" i="1" s="1"/>
  <c r="W659" i="1" s="1"/>
  <c r="P657" i="1"/>
  <c r="Q657" i="1" s="1"/>
  <c r="W657" i="1" s="1"/>
  <c r="P656" i="1"/>
  <c r="Q656" i="1" s="1"/>
  <c r="W656" i="1" s="1"/>
  <c r="P655" i="1"/>
  <c r="Q655" i="1" s="1"/>
  <c r="W655" i="1" s="1"/>
  <c r="P653" i="1"/>
  <c r="Q653" i="1" s="1"/>
  <c r="W653" i="1" s="1"/>
  <c r="P652" i="1"/>
  <c r="Q652" i="1" s="1"/>
  <c r="W652" i="1" s="1"/>
  <c r="P651" i="1"/>
  <c r="P649" i="1"/>
  <c r="Q649" i="1" s="1"/>
  <c r="W649" i="1" s="1"/>
  <c r="P648" i="1"/>
  <c r="Q648" i="1" s="1"/>
  <c r="W648" i="1" s="1"/>
  <c r="P647" i="1"/>
  <c r="Q647" i="1" s="1"/>
  <c r="W647" i="1" s="1"/>
  <c r="P645" i="1"/>
  <c r="Q645" i="1" s="1"/>
  <c r="W645" i="1" s="1"/>
  <c r="P644" i="1"/>
  <c r="Q644" i="1" s="1"/>
  <c r="W644" i="1" s="1"/>
  <c r="P643" i="1"/>
  <c r="Q643" i="1" s="1"/>
  <c r="W643" i="1" s="1"/>
  <c r="P641" i="1"/>
  <c r="Q641" i="1" s="1"/>
  <c r="W641" i="1" s="1"/>
  <c r="P640" i="1"/>
  <c r="Q640" i="1" s="1"/>
  <c r="W640" i="1" s="1"/>
  <c r="P639" i="1"/>
  <c r="Q639" i="1" s="1"/>
  <c r="W639" i="1" s="1"/>
  <c r="P637" i="1"/>
  <c r="Q637" i="1" s="1"/>
  <c r="W637" i="1" s="1"/>
  <c r="P636" i="1"/>
  <c r="Q636" i="1" s="1"/>
  <c r="W636" i="1" s="1"/>
  <c r="P635" i="1"/>
  <c r="P633" i="1"/>
  <c r="Q633" i="1" s="1"/>
  <c r="W633" i="1" s="1"/>
  <c r="P632" i="1"/>
  <c r="Q632" i="1" s="1"/>
  <c r="W632" i="1" s="1"/>
  <c r="P631" i="1"/>
  <c r="Q631" i="1" s="1"/>
  <c r="W631" i="1" s="1"/>
  <c r="P629" i="1"/>
  <c r="Q629" i="1" s="1"/>
  <c r="W629" i="1" s="1"/>
  <c r="P628" i="1"/>
  <c r="Q628" i="1" s="1"/>
  <c r="W628" i="1" s="1"/>
  <c r="P627" i="1"/>
  <c r="Q627" i="1" s="1"/>
  <c r="W627" i="1" s="1"/>
  <c r="P625" i="1"/>
  <c r="Q625" i="1" s="1"/>
  <c r="W625" i="1" s="1"/>
  <c r="P624" i="1"/>
  <c r="Q624" i="1" s="1"/>
  <c r="W624" i="1" s="1"/>
  <c r="P623" i="1"/>
  <c r="Q623" i="1" s="1"/>
  <c r="W623" i="1" s="1"/>
  <c r="P621" i="1"/>
  <c r="Q621" i="1" s="1"/>
  <c r="W621" i="1" s="1"/>
  <c r="P620" i="1"/>
  <c r="Q620" i="1" s="1"/>
  <c r="W620" i="1" s="1"/>
  <c r="P619" i="1"/>
  <c r="P617" i="1"/>
  <c r="Q617" i="1" s="1"/>
  <c r="W617" i="1" s="1"/>
  <c r="P616" i="1"/>
  <c r="Q616" i="1" s="1"/>
  <c r="W616" i="1" s="1"/>
  <c r="P615" i="1"/>
  <c r="Q615" i="1" s="1"/>
  <c r="W615" i="1" s="1"/>
  <c r="P613" i="1"/>
  <c r="Q613" i="1" s="1"/>
  <c r="W613" i="1" s="1"/>
  <c r="P612" i="1"/>
  <c r="Q612" i="1" s="1"/>
  <c r="W612" i="1" s="1"/>
  <c r="P611" i="1"/>
  <c r="Q611" i="1" s="1"/>
  <c r="W611" i="1" s="1"/>
  <c r="P609" i="1"/>
  <c r="Q609" i="1" s="1"/>
  <c r="W609" i="1" s="1"/>
  <c r="P608" i="1"/>
  <c r="Q608" i="1" s="1"/>
  <c r="W608" i="1" s="1"/>
  <c r="P607" i="1"/>
  <c r="Q607" i="1" s="1"/>
  <c r="W607" i="1" s="1"/>
  <c r="P605" i="1"/>
  <c r="Q605" i="1" s="1"/>
  <c r="W605" i="1" s="1"/>
  <c r="P604" i="1"/>
  <c r="Q604" i="1" s="1"/>
  <c r="W604" i="1" s="1"/>
  <c r="P603" i="1"/>
  <c r="P601" i="1"/>
  <c r="Q601" i="1" s="1"/>
  <c r="W601" i="1" s="1"/>
  <c r="P600" i="1"/>
  <c r="Q600" i="1" s="1"/>
  <c r="W600" i="1" s="1"/>
  <c r="P599" i="1"/>
  <c r="Q599" i="1" s="1"/>
  <c r="W599" i="1" s="1"/>
  <c r="P597" i="1"/>
  <c r="Q597" i="1" s="1"/>
  <c r="W597" i="1" s="1"/>
  <c r="P596" i="1"/>
  <c r="Q596" i="1" s="1"/>
  <c r="W596" i="1" s="1"/>
  <c r="P595" i="1"/>
  <c r="Q595" i="1" s="1"/>
  <c r="W595" i="1" s="1"/>
  <c r="P593" i="1"/>
  <c r="Q593" i="1" s="1"/>
  <c r="W593" i="1" s="1"/>
  <c r="P592" i="1"/>
  <c r="Q592" i="1" s="1"/>
  <c r="W592" i="1" s="1"/>
  <c r="P591" i="1"/>
  <c r="Q591" i="1" s="1"/>
  <c r="W591" i="1" s="1"/>
  <c r="P589" i="1"/>
  <c r="Q589" i="1" s="1"/>
  <c r="W589" i="1" s="1"/>
  <c r="P588" i="1"/>
  <c r="Q588" i="1" s="1"/>
  <c r="W588" i="1" s="1"/>
  <c r="P587" i="1"/>
  <c r="P585" i="1"/>
  <c r="Q585" i="1" s="1"/>
  <c r="W585" i="1" s="1"/>
  <c r="P584" i="1"/>
  <c r="Q584" i="1" s="1"/>
  <c r="W584" i="1" s="1"/>
  <c r="P583" i="1"/>
  <c r="Q583" i="1" s="1"/>
  <c r="W583" i="1" s="1"/>
  <c r="P581" i="1"/>
  <c r="Q581" i="1" s="1"/>
  <c r="W581" i="1" s="1"/>
  <c r="P580" i="1"/>
  <c r="Q580" i="1" s="1"/>
  <c r="W580" i="1" s="1"/>
  <c r="P579" i="1"/>
  <c r="Q579" i="1" s="1"/>
  <c r="W579" i="1" s="1"/>
  <c r="P577" i="1"/>
  <c r="Q577" i="1" s="1"/>
  <c r="W577" i="1" s="1"/>
  <c r="P576" i="1"/>
  <c r="Q576" i="1" s="1"/>
  <c r="W576" i="1" s="1"/>
  <c r="P575" i="1"/>
  <c r="Q575" i="1" s="1"/>
  <c r="W575" i="1" s="1"/>
  <c r="P573" i="1"/>
  <c r="Q573" i="1" s="1"/>
  <c r="W573" i="1" s="1"/>
  <c r="P572" i="1"/>
  <c r="Q572" i="1" s="1"/>
  <c r="W572" i="1" s="1"/>
  <c r="P571" i="1"/>
  <c r="P569" i="1"/>
  <c r="Q569" i="1" s="1"/>
  <c r="W569" i="1" s="1"/>
  <c r="P568" i="1"/>
  <c r="Q568" i="1" s="1"/>
  <c r="W568" i="1" s="1"/>
  <c r="P567" i="1"/>
  <c r="Q567" i="1" s="1"/>
  <c r="W567" i="1" s="1"/>
  <c r="P565" i="1"/>
  <c r="Q565" i="1" s="1"/>
  <c r="W565" i="1" s="1"/>
  <c r="P564" i="1"/>
  <c r="Q564" i="1" s="1"/>
  <c r="W564" i="1" s="1"/>
  <c r="P563" i="1"/>
  <c r="Q563" i="1" s="1"/>
  <c r="W563" i="1" s="1"/>
  <c r="P561" i="1"/>
  <c r="Q561" i="1" s="1"/>
  <c r="W561" i="1" s="1"/>
  <c r="P560" i="1"/>
  <c r="Q560" i="1" s="1"/>
  <c r="W560" i="1" s="1"/>
  <c r="P559" i="1"/>
  <c r="Q559" i="1" s="1"/>
  <c r="W559" i="1" s="1"/>
  <c r="P557" i="1"/>
  <c r="Q557" i="1" s="1"/>
  <c r="W557" i="1" s="1"/>
  <c r="P556" i="1"/>
  <c r="Q556" i="1" s="1"/>
  <c r="W556" i="1" s="1"/>
  <c r="P555" i="1"/>
  <c r="P553" i="1"/>
  <c r="Q553" i="1" s="1"/>
  <c r="W553" i="1" s="1"/>
  <c r="P552" i="1"/>
  <c r="Q552" i="1" s="1"/>
  <c r="W552" i="1" s="1"/>
  <c r="P551" i="1"/>
  <c r="Q551" i="1" s="1"/>
  <c r="W551" i="1" s="1"/>
  <c r="P549" i="1"/>
  <c r="Q549" i="1" s="1"/>
  <c r="W549" i="1" s="1"/>
  <c r="P548" i="1"/>
  <c r="Q548" i="1" s="1"/>
  <c r="W548" i="1" s="1"/>
  <c r="P547" i="1"/>
  <c r="Q547" i="1" s="1"/>
  <c r="W547" i="1" s="1"/>
  <c r="P545" i="1"/>
  <c r="Q545" i="1" s="1"/>
  <c r="W545" i="1" s="1"/>
  <c r="P544" i="1"/>
  <c r="Q544" i="1" s="1"/>
  <c r="W544" i="1" s="1"/>
  <c r="P543" i="1"/>
  <c r="Q543" i="1" s="1"/>
  <c r="W543" i="1" s="1"/>
  <c r="P541" i="1"/>
  <c r="Q541" i="1" s="1"/>
  <c r="W541" i="1" s="1"/>
  <c r="P540" i="1"/>
  <c r="Q540" i="1" s="1"/>
  <c r="W540" i="1" s="1"/>
  <c r="P539" i="1"/>
  <c r="P537" i="1"/>
  <c r="Q537" i="1" s="1"/>
  <c r="W537" i="1" s="1"/>
  <c r="P536" i="1"/>
  <c r="Q536" i="1" s="1"/>
  <c r="W536" i="1" s="1"/>
  <c r="P535" i="1"/>
  <c r="Q535" i="1" s="1"/>
  <c r="W535" i="1" s="1"/>
  <c r="P533" i="1"/>
  <c r="Q533" i="1" s="1"/>
  <c r="W533" i="1" s="1"/>
  <c r="P532" i="1"/>
  <c r="Q532" i="1" s="1"/>
  <c r="W532" i="1" s="1"/>
  <c r="P531" i="1"/>
  <c r="Q531" i="1" s="1"/>
  <c r="W531" i="1" s="1"/>
  <c r="P529" i="1"/>
  <c r="Q529" i="1" s="1"/>
  <c r="W529" i="1" s="1"/>
  <c r="P528" i="1"/>
  <c r="Q528" i="1" s="1"/>
  <c r="W528" i="1" s="1"/>
  <c r="P527" i="1"/>
  <c r="Q527" i="1" s="1"/>
  <c r="W527" i="1" s="1"/>
  <c r="P525" i="1"/>
  <c r="Q525" i="1" s="1"/>
  <c r="W525" i="1" s="1"/>
  <c r="P524" i="1"/>
  <c r="Q524" i="1" s="1"/>
  <c r="W524" i="1" s="1"/>
  <c r="P523" i="1"/>
  <c r="P521" i="1"/>
  <c r="Q521" i="1" s="1"/>
  <c r="W521" i="1" s="1"/>
  <c r="P520" i="1"/>
  <c r="Q520" i="1" s="1"/>
  <c r="W520" i="1" s="1"/>
  <c r="P519" i="1"/>
  <c r="Q519" i="1" s="1"/>
  <c r="W519" i="1" s="1"/>
  <c r="P517" i="1"/>
  <c r="Q517" i="1" s="1"/>
  <c r="W517" i="1" s="1"/>
  <c r="P516" i="1"/>
  <c r="Q516" i="1" s="1"/>
  <c r="W516" i="1" s="1"/>
  <c r="P515" i="1"/>
  <c r="Q515" i="1" s="1"/>
  <c r="W515" i="1" s="1"/>
  <c r="P513" i="1"/>
  <c r="Q513" i="1" s="1"/>
  <c r="W513" i="1" s="1"/>
  <c r="P512" i="1"/>
  <c r="Q512" i="1" s="1"/>
  <c r="W512" i="1" s="1"/>
  <c r="P511" i="1"/>
  <c r="Q511" i="1" s="1"/>
  <c r="W511" i="1" s="1"/>
  <c r="P509" i="1"/>
  <c r="Q509" i="1" s="1"/>
  <c r="W509" i="1" s="1"/>
  <c r="P508" i="1"/>
  <c r="Q508" i="1" s="1"/>
  <c r="W508" i="1" s="1"/>
  <c r="P507" i="1"/>
  <c r="P505" i="1"/>
  <c r="Q505" i="1" s="1"/>
  <c r="W505" i="1" s="1"/>
  <c r="P504" i="1"/>
  <c r="Q504" i="1" s="1"/>
  <c r="W504" i="1" s="1"/>
  <c r="P503" i="1"/>
  <c r="Q503" i="1" s="1"/>
  <c r="W503" i="1" s="1"/>
  <c r="P501" i="1"/>
  <c r="Q501" i="1" s="1"/>
  <c r="W501" i="1" s="1"/>
  <c r="P500" i="1"/>
  <c r="Q500" i="1" s="1"/>
  <c r="W500" i="1" s="1"/>
  <c r="P499" i="1"/>
  <c r="Q499" i="1" s="1"/>
  <c r="W499" i="1" s="1"/>
  <c r="P497" i="1"/>
  <c r="Q497" i="1" s="1"/>
  <c r="W497" i="1" s="1"/>
  <c r="P496" i="1"/>
  <c r="Q496" i="1" s="1"/>
  <c r="W496" i="1" s="1"/>
  <c r="P495" i="1"/>
  <c r="Q495" i="1" s="1"/>
  <c r="W495" i="1" s="1"/>
  <c r="P493" i="1"/>
  <c r="Q493" i="1" s="1"/>
  <c r="W493" i="1" s="1"/>
  <c r="P492" i="1"/>
  <c r="Q492" i="1" s="1"/>
  <c r="W492" i="1" s="1"/>
  <c r="P491" i="1"/>
  <c r="P489" i="1"/>
  <c r="Q489" i="1" s="1"/>
  <c r="W489" i="1" s="1"/>
  <c r="P488" i="1"/>
  <c r="Q488" i="1" s="1"/>
  <c r="W488" i="1" s="1"/>
  <c r="P487" i="1"/>
  <c r="Q487" i="1" s="1"/>
  <c r="W487" i="1" s="1"/>
  <c r="P485" i="1"/>
  <c r="Q485" i="1" s="1"/>
  <c r="W485" i="1" s="1"/>
  <c r="P484" i="1"/>
  <c r="Q484" i="1" s="1"/>
  <c r="W484" i="1" s="1"/>
  <c r="P483" i="1"/>
  <c r="Q483" i="1" s="1"/>
  <c r="W483" i="1" s="1"/>
  <c r="P481" i="1"/>
  <c r="Q481" i="1" s="1"/>
  <c r="W481" i="1" s="1"/>
  <c r="P480" i="1"/>
  <c r="Q480" i="1" s="1"/>
  <c r="W480" i="1" s="1"/>
  <c r="P479" i="1"/>
  <c r="Q479" i="1" s="1"/>
  <c r="W479" i="1" s="1"/>
  <c r="P477" i="1"/>
  <c r="Q477" i="1" s="1"/>
  <c r="W477" i="1" s="1"/>
  <c r="P476" i="1"/>
  <c r="Q476" i="1" s="1"/>
  <c r="W476" i="1" s="1"/>
  <c r="P475" i="1"/>
  <c r="P473" i="1"/>
  <c r="Q473" i="1" s="1"/>
  <c r="W473" i="1" s="1"/>
  <c r="P472" i="1"/>
  <c r="Q472" i="1" s="1"/>
  <c r="W472" i="1" s="1"/>
  <c r="P471" i="1"/>
  <c r="Q471" i="1" s="1"/>
  <c r="W471" i="1" s="1"/>
  <c r="P469" i="1"/>
  <c r="Q469" i="1" s="1"/>
  <c r="W469" i="1" s="1"/>
  <c r="P468" i="1"/>
  <c r="Q468" i="1" s="1"/>
  <c r="W468" i="1" s="1"/>
  <c r="P467" i="1"/>
  <c r="Q467" i="1" s="1"/>
  <c r="W467" i="1" s="1"/>
  <c r="P465" i="1"/>
  <c r="Q465" i="1" s="1"/>
  <c r="W465" i="1" s="1"/>
  <c r="P464" i="1"/>
  <c r="Q464" i="1" s="1"/>
  <c r="W464" i="1" s="1"/>
  <c r="P463" i="1"/>
  <c r="Q463" i="1" s="1"/>
  <c r="W463" i="1" s="1"/>
  <c r="P461" i="1"/>
  <c r="Q461" i="1" s="1"/>
  <c r="W461" i="1" s="1"/>
  <c r="P460" i="1"/>
  <c r="Q460" i="1" s="1"/>
  <c r="W460" i="1" s="1"/>
  <c r="P459" i="1"/>
  <c r="P457" i="1"/>
  <c r="Q457" i="1" s="1"/>
  <c r="W457" i="1" s="1"/>
  <c r="P456" i="1"/>
  <c r="Q456" i="1" s="1"/>
  <c r="W456" i="1" s="1"/>
  <c r="P455" i="1"/>
  <c r="Q455" i="1" s="1"/>
  <c r="W455" i="1" s="1"/>
  <c r="P453" i="1"/>
  <c r="Q453" i="1" s="1"/>
  <c r="W453" i="1" s="1"/>
  <c r="P452" i="1"/>
  <c r="Q452" i="1" s="1"/>
  <c r="W452" i="1" s="1"/>
  <c r="P451" i="1"/>
  <c r="Q451" i="1" s="1"/>
  <c r="W451" i="1" s="1"/>
  <c r="P449" i="1"/>
  <c r="Q449" i="1" s="1"/>
  <c r="W449" i="1" s="1"/>
  <c r="P448" i="1"/>
  <c r="Q448" i="1" s="1"/>
  <c r="W448" i="1" s="1"/>
  <c r="P447" i="1"/>
  <c r="Q447" i="1" s="1"/>
  <c r="W447" i="1" s="1"/>
  <c r="P445" i="1"/>
  <c r="Q445" i="1" s="1"/>
  <c r="W445" i="1" s="1"/>
  <c r="P444" i="1"/>
  <c r="Q444" i="1" s="1"/>
  <c r="W444" i="1" s="1"/>
  <c r="P443" i="1"/>
  <c r="P441" i="1"/>
  <c r="Q441" i="1" s="1"/>
  <c r="W441" i="1" s="1"/>
  <c r="P440" i="1"/>
  <c r="Q440" i="1" s="1"/>
  <c r="W440" i="1" s="1"/>
  <c r="P439" i="1"/>
  <c r="Q439" i="1" s="1"/>
  <c r="W439" i="1" s="1"/>
  <c r="P437" i="1"/>
  <c r="Q437" i="1" s="1"/>
  <c r="W437" i="1" s="1"/>
  <c r="P436" i="1"/>
  <c r="Q436" i="1" s="1"/>
  <c r="W436" i="1" s="1"/>
  <c r="P435" i="1"/>
  <c r="Q435" i="1" s="1"/>
  <c r="W435" i="1" s="1"/>
  <c r="P433" i="1"/>
  <c r="Q433" i="1" s="1"/>
  <c r="W433" i="1" s="1"/>
  <c r="P432" i="1"/>
  <c r="Q432" i="1" s="1"/>
  <c r="W432" i="1" s="1"/>
  <c r="P431" i="1"/>
  <c r="Q431" i="1" s="1"/>
  <c r="W431" i="1" s="1"/>
  <c r="P429" i="1"/>
  <c r="Q429" i="1" s="1"/>
  <c r="W429" i="1" s="1"/>
  <c r="P428" i="1"/>
  <c r="Q428" i="1" s="1"/>
  <c r="W428" i="1" s="1"/>
  <c r="P427" i="1"/>
  <c r="P425" i="1"/>
  <c r="Q425" i="1" s="1"/>
  <c r="W425" i="1" s="1"/>
  <c r="P424" i="1"/>
  <c r="Q424" i="1" s="1"/>
  <c r="W424" i="1" s="1"/>
  <c r="P423" i="1"/>
  <c r="Q423" i="1" s="1"/>
  <c r="W423" i="1" s="1"/>
  <c r="P421" i="1"/>
  <c r="Q421" i="1" s="1"/>
  <c r="W421" i="1" s="1"/>
  <c r="P420" i="1"/>
  <c r="Q420" i="1" s="1"/>
  <c r="W420" i="1" s="1"/>
  <c r="P419" i="1"/>
  <c r="Q419" i="1" s="1"/>
  <c r="W419" i="1" s="1"/>
  <c r="P417" i="1"/>
  <c r="Q417" i="1" s="1"/>
  <c r="W417" i="1" s="1"/>
  <c r="P416" i="1"/>
  <c r="Q416" i="1" s="1"/>
  <c r="W416" i="1" s="1"/>
  <c r="P415" i="1"/>
  <c r="Q415" i="1" s="1"/>
  <c r="W415" i="1" s="1"/>
  <c r="P413" i="1"/>
  <c r="Q413" i="1" s="1"/>
  <c r="W413" i="1" s="1"/>
  <c r="P412" i="1"/>
  <c r="Q412" i="1" s="1"/>
  <c r="W412" i="1" s="1"/>
  <c r="P411" i="1"/>
  <c r="P409" i="1"/>
  <c r="Q409" i="1" s="1"/>
  <c r="W409" i="1" s="1"/>
  <c r="P408" i="1"/>
  <c r="Q408" i="1" s="1"/>
  <c r="W408" i="1" s="1"/>
  <c r="P407" i="1"/>
  <c r="Q407" i="1" s="1"/>
  <c r="W407" i="1" s="1"/>
  <c r="P405" i="1"/>
  <c r="Q405" i="1" s="1"/>
  <c r="W405" i="1" s="1"/>
  <c r="P404" i="1"/>
  <c r="Q404" i="1" s="1"/>
  <c r="W404" i="1" s="1"/>
  <c r="P403" i="1"/>
  <c r="Q403" i="1" s="1"/>
  <c r="W403" i="1" s="1"/>
  <c r="P401" i="1"/>
  <c r="Q401" i="1" s="1"/>
  <c r="W401" i="1" s="1"/>
  <c r="P400" i="1"/>
  <c r="Q400" i="1" s="1"/>
  <c r="W400" i="1" s="1"/>
  <c r="P399" i="1"/>
  <c r="Q399" i="1" s="1"/>
  <c r="W399" i="1" s="1"/>
  <c r="P397" i="1"/>
  <c r="Q397" i="1" s="1"/>
  <c r="W397" i="1" s="1"/>
  <c r="P396" i="1"/>
  <c r="Q396" i="1" s="1"/>
  <c r="W396" i="1" s="1"/>
  <c r="P395" i="1"/>
  <c r="P393" i="1"/>
  <c r="Q393" i="1" s="1"/>
  <c r="W393" i="1" s="1"/>
  <c r="P392" i="1"/>
  <c r="Q392" i="1" s="1"/>
  <c r="W392" i="1" s="1"/>
  <c r="P391" i="1"/>
  <c r="Q391" i="1" s="1"/>
  <c r="W391" i="1" s="1"/>
  <c r="P389" i="1"/>
  <c r="Q389" i="1" s="1"/>
  <c r="W389" i="1" s="1"/>
  <c r="P388" i="1"/>
  <c r="Q388" i="1" s="1"/>
  <c r="W388" i="1" s="1"/>
  <c r="P387" i="1"/>
  <c r="Q387" i="1" s="1"/>
  <c r="W387" i="1" s="1"/>
  <c r="P385" i="1"/>
  <c r="Q385" i="1" s="1"/>
  <c r="W385" i="1" s="1"/>
  <c r="P384" i="1"/>
  <c r="Q384" i="1" s="1"/>
  <c r="W384" i="1" s="1"/>
  <c r="P383" i="1"/>
  <c r="Q383" i="1" s="1"/>
  <c r="W383" i="1" s="1"/>
  <c r="P381" i="1"/>
  <c r="Q381" i="1" s="1"/>
  <c r="W381" i="1" s="1"/>
  <c r="P380" i="1"/>
  <c r="Q380" i="1" s="1"/>
  <c r="W380" i="1" s="1"/>
  <c r="P379" i="1"/>
  <c r="P377" i="1"/>
  <c r="Q377" i="1" s="1"/>
  <c r="W377" i="1" s="1"/>
  <c r="P376" i="1"/>
  <c r="Q376" i="1" s="1"/>
  <c r="W376" i="1" s="1"/>
  <c r="P375" i="1"/>
  <c r="Q375" i="1" s="1"/>
  <c r="W375" i="1" s="1"/>
  <c r="P373" i="1"/>
  <c r="Q373" i="1" s="1"/>
  <c r="W373" i="1" s="1"/>
  <c r="P372" i="1"/>
  <c r="Q372" i="1" s="1"/>
  <c r="W372" i="1" s="1"/>
  <c r="P371" i="1"/>
  <c r="Q371" i="1" s="1"/>
  <c r="W371" i="1" s="1"/>
  <c r="P369" i="1"/>
  <c r="Q369" i="1" s="1"/>
  <c r="W369" i="1" s="1"/>
  <c r="P368" i="1"/>
  <c r="Q368" i="1" s="1"/>
  <c r="W368" i="1" s="1"/>
  <c r="P367" i="1"/>
  <c r="Q367" i="1" s="1"/>
  <c r="W367" i="1" s="1"/>
  <c r="P365" i="1"/>
  <c r="Q365" i="1" s="1"/>
  <c r="W365" i="1" s="1"/>
  <c r="P364" i="1"/>
  <c r="Q364" i="1" s="1"/>
  <c r="W364" i="1" s="1"/>
  <c r="P363" i="1"/>
  <c r="P361" i="1"/>
  <c r="Q361" i="1" s="1"/>
  <c r="W361" i="1" s="1"/>
  <c r="P360" i="1"/>
  <c r="Q360" i="1" s="1"/>
  <c r="W360" i="1" s="1"/>
  <c r="P359" i="1"/>
  <c r="Q359" i="1" s="1"/>
  <c r="W359" i="1" s="1"/>
  <c r="P357" i="1"/>
  <c r="Q357" i="1" s="1"/>
  <c r="W357" i="1" s="1"/>
  <c r="P356" i="1"/>
  <c r="Q356" i="1" s="1"/>
  <c r="W356" i="1" s="1"/>
  <c r="P355" i="1"/>
  <c r="Q355" i="1" s="1"/>
  <c r="W355" i="1" s="1"/>
  <c r="P353" i="1"/>
  <c r="Q353" i="1" s="1"/>
  <c r="W353" i="1" s="1"/>
  <c r="P352" i="1"/>
  <c r="Q352" i="1" s="1"/>
  <c r="W352" i="1" s="1"/>
  <c r="P351" i="1"/>
  <c r="Q351" i="1" s="1"/>
  <c r="W351" i="1" s="1"/>
  <c r="P349" i="1"/>
  <c r="Q349" i="1" s="1"/>
  <c r="W349" i="1" s="1"/>
  <c r="P348" i="1"/>
  <c r="Q348" i="1" s="1"/>
  <c r="W348" i="1" s="1"/>
  <c r="P347" i="1"/>
  <c r="P345" i="1"/>
  <c r="Q345" i="1" s="1"/>
  <c r="W345" i="1" s="1"/>
  <c r="P344" i="1"/>
  <c r="Q344" i="1" s="1"/>
  <c r="W344" i="1" s="1"/>
  <c r="P343" i="1"/>
  <c r="Q343" i="1" s="1"/>
  <c r="W343" i="1" s="1"/>
  <c r="P341" i="1"/>
  <c r="Q341" i="1" s="1"/>
  <c r="W341" i="1" s="1"/>
  <c r="P340" i="1"/>
  <c r="Q340" i="1" s="1"/>
  <c r="W340" i="1" s="1"/>
  <c r="P339" i="1"/>
  <c r="Q339" i="1" s="1"/>
  <c r="W339" i="1" s="1"/>
  <c r="P337" i="1"/>
  <c r="Q337" i="1" s="1"/>
  <c r="W337" i="1" s="1"/>
  <c r="P336" i="1"/>
  <c r="Q336" i="1" s="1"/>
  <c r="W336" i="1" s="1"/>
  <c r="P335" i="1"/>
  <c r="Q335" i="1" s="1"/>
  <c r="W335" i="1" s="1"/>
  <c r="P333" i="1"/>
  <c r="Q333" i="1" s="1"/>
  <c r="W333" i="1" s="1"/>
  <c r="P332" i="1"/>
  <c r="Q332" i="1" s="1"/>
  <c r="W332" i="1" s="1"/>
  <c r="P331" i="1"/>
  <c r="Q331" i="1" s="1"/>
  <c r="W331" i="1" s="1"/>
  <c r="P329" i="1"/>
  <c r="Q329" i="1" s="1"/>
  <c r="W329" i="1" s="1"/>
  <c r="P328" i="1"/>
  <c r="Q328" i="1" s="1"/>
  <c r="W328" i="1" s="1"/>
  <c r="P327" i="1"/>
  <c r="Q327" i="1" s="1"/>
  <c r="W327" i="1" s="1"/>
  <c r="P325" i="1"/>
  <c r="Q325" i="1" s="1"/>
  <c r="W325" i="1" s="1"/>
  <c r="P324" i="1"/>
  <c r="Q324" i="1" s="1"/>
  <c r="W324" i="1" s="1"/>
  <c r="P323" i="1"/>
  <c r="Q323" i="1" s="1"/>
  <c r="W323" i="1" s="1"/>
  <c r="P321" i="1"/>
  <c r="Q321" i="1" s="1"/>
  <c r="W321" i="1" s="1"/>
  <c r="P320" i="1"/>
  <c r="Q320" i="1" s="1"/>
  <c r="W320" i="1" s="1"/>
  <c r="P319" i="1"/>
  <c r="Q319" i="1" s="1"/>
  <c r="W319" i="1" s="1"/>
  <c r="P317" i="1"/>
  <c r="Q317" i="1" s="1"/>
  <c r="W317" i="1" s="1"/>
  <c r="P316" i="1"/>
  <c r="Q316" i="1" s="1"/>
  <c r="W316" i="1" s="1"/>
  <c r="P315" i="1"/>
  <c r="Q315" i="1" s="1"/>
  <c r="W315" i="1" s="1"/>
  <c r="P313" i="1"/>
  <c r="Q313" i="1" s="1"/>
  <c r="W313" i="1" s="1"/>
  <c r="P312" i="1"/>
  <c r="Q312" i="1" s="1"/>
  <c r="W312" i="1" s="1"/>
  <c r="P311" i="1"/>
  <c r="Q311" i="1" s="1"/>
  <c r="W311" i="1" s="1"/>
  <c r="P309" i="1"/>
  <c r="Q309" i="1" s="1"/>
  <c r="W309" i="1" s="1"/>
  <c r="P308" i="1"/>
  <c r="Q308" i="1" s="1"/>
  <c r="W308" i="1" s="1"/>
  <c r="P307" i="1"/>
  <c r="Q307" i="1" s="1"/>
  <c r="W307" i="1" s="1"/>
  <c r="P305" i="1"/>
  <c r="Q305" i="1" s="1"/>
  <c r="W305" i="1" s="1"/>
  <c r="P304" i="1"/>
  <c r="P303" i="1"/>
  <c r="Q303" i="1" s="1"/>
  <c r="W303" i="1" s="1"/>
  <c r="P301" i="1"/>
  <c r="Q301" i="1" s="1"/>
  <c r="W301" i="1" s="1"/>
  <c r="P300" i="1"/>
  <c r="Q300" i="1" s="1"/>
  <c r="W300" i="1" s="1"/>
  <c r="P299" i="1"/>
  <c r="Q299" i="1" s="1"/>
  <c r="W299" i="1" s="1"/>
  <c r="P297" i="1"/>
  <c r="Q297" i="1" s="1"/>
  <c r="W297" i="1" s="1"/>
  <c r="P296" i="1"/>
  <c r="Q296" i="1" s="1"/>
  <c r="W296" i="1" s="1"/>
  <c r="P295" i="1"/>
  <c r="Q295" i="1" s="1"/>
  <c r="W295" i="1" s="1"/>
  <c r="P293" i="1"/>
  <c r="Q293" i="1" s="1"/>
  <c r="W293" i="1" s="1"/>
  <c r="P292" i="1"/>
  <c r="Q292" i="1" s="1"/>
  <c r="W292" i="1" s="1"/>
  <c r="P291" i="1"/>
  <c r="Q291" i="1" s="1"/>
  <c r="W291" i="1" s="1"/>
  <c r="P289" i="1"/>
  <c r="Q289" i="1" s="1"/>
  <c r="W289" i="1" s="1"/>
  <c r="P288" i="1"/>
  <c r="Q288" i="1" s="1"/>
  <c r="W288" i="1" s="1"/>
  <c r="P287" i="1"/>
  <c r="Q287" i="1" s="1"/>
  <c r="W287" i="1" s="1"/>
  <c r="P285" i="1"/>
  <c r="Q285" i="1" s="1"/>
  <c r="W285" i="1" s="1"/>
  <c r="P284" i="1"/>
  <c r="Q284" i="1" s="1"/>
  <c r="W284" i="1" s="1"/>
  <c r="P283" i="1"/>
  <c r="Q283" i="1" s="1"/>
  <c r="W283" i="1" s="1"/>
  <c r="P281" i="1"/>
  <c r="Q281" i="1" s="1"/>
  <c r="W281" i="1" s="1"/>
  <c r="P280" i="1"/>
  <c r="Q280" i="1" s="1"/>
  <c r="W280" i="1" s="1"/>
  <c r="P279" i="1"/>
  <c r="Q279" i="1" s="1"/>
  <c r="W279" i="1" s="1"/>
  <c r="P277" i="1"/>
  <c r="Q277" i="1" s="1"/>
  <c r="W277" i="1" s="1"/>
  <c r="P276" i="1"/>
  <c r="Q276" i="1" s="1"/>
  <c r="W276" i="1" s="1"/>
  <c r="P275" i="1"/>
  <c r="Q275" i="1" s="1"/>
  <c r="W275" i="1" s="1"/>
  <c r="P273" i="1"/>
  <c r="Q273" i="1" s="1"/>
  <c r="W273" i="1" s="1"/>
  <c r="P272" i="1"/>
  <c r="Q272" i="1" s="1"/>
  <c r="W272" i="1" s="1"/>
  <c r="P271" i="1"/>
  <c r="Q271" i="1" s="1"/>
  <c r="W271" i="1" s="1"/>
  <c r="P269" i="1"/>
  <c r="Q269" i="1" s="1"/>
  <c r="W269" i="1" s="1"/>
  <c r="P268" i="1"/>
  <c r="Q268" i="1" s="1"/>
  <c r="W268" i="1" s="1"/>
  <c r="P267" i="1"/>
  <c r="Q267" i="1" s="1"/>
  <c r="W267" i="1" s="1"/>
  <c r="P265" i="1"/>
  <c r="Q265" i="1" s="1"/>
  <c r="W265" i="1" s="1"/>
  <c r="P264" i="1"/>
  <c r="Q264" i="1" s="1"/>
  <c r="W264" i="1" s="1"/>
  <c r="P263" i="1"/>
  <c r="Q263" i="1" s="1"/>
  <c r="W263" i="1" s="1"/>
  <c r="P261" i="1"/>
  <c r="Q261" i="1" s="1"/>
  <c r="W261" i="1" s="1"/>
  <c r="P260" i="1"/>
  <c r="Q260" i="1" s="1"/>
  <c r="W260" i="1" s="1"/>
  <c r="P259" i="1"/>
  <c r="Q259" i="1" s="1"/>
  <c r="W259" i="1" s="1"/>
  <c r="P257" i="1"/>
  <c r="Q257" i="1" s="1"/>
  <c r="W257" i="1" s="1"/>
  <c r="P256" i="1"/>
  <c r="Q256" i="1" s="1"/>
  <c r="W256" i="1" s="1"/>
  <c r="P255" i="1"/>
  <c r="Q255" i="1" s="1"/>
  <c r="W255" i="1" s="1"/>
  <c r="P253" i="1"/>
  <c r="Q253" i="1" s="1"/>
  <c r="W253" i="1" s="1"/>
  <c r="P252" i="1"/>
  <c r="Q252" i="1" s="1"/>
  <c r="W252" i="1" s="1"/>
  <c r="P251" i="1"/>
  <c r="Q251" i="1" s="1"/>
  <c r="W251" i="1" s="1"/>
  <c r="P249" i="1"/>
  <c r="Q249" i="1" s="1"/>
  <c r="W249" i="1" s="1"/>
  <c r="P248" i="1"/>
  <c r="Q248" i="1" s="1"/>
  <c r="W248" i="1" s="1"/>
  <c r="P247" i="1"/>
  <c r="Q247" i="1" s="1"/>
  <c r="W247" i="1" s="1"/>
  <c r="P245" i="1"/>
  <c r="Q245" i="1" s="1"/>
  <c r="W245" i="1" s="1"/>
  <c r="P244" i="1"/>
  <c r="Q244" i="1" s="1"/>
  <c r="W244" i="1" s="1"/>
  <c r="P243" i="1"/>
  <c r="Q243" i="1" s="1"/>
  <c r="W243" i="1" s="1"/>
  <c r="P241" i="1"/>
  <c r="Q241" i="1" s="1"/>
  <c r="W241" i="1" s="1"/>
  <c r="P240" i="1"/>
  <c r="Q240" i="1" s="1"/>
  <c r="W240" i="1" s="1"/>
  <c r="P239" i="1"/>
  <c r="Q239" i="1" s="1"/>
  <c r="W239" i="1" s="1"/>
  <c r="P237" i="1"/>
  <c r="Q237" i="1" s="1"/>
  <c r="W237" i="1" s="1"/>
  <c r="P236" i="1"/>
  <c r="Q236" i="1" s="1"/>
  <c r="W236" i="1" s="1"/>
  <c r="P235" i="1"/>
  <c r="Q235" i="1" s="1"/>
  <c r="W235" i="1" s="1"/>
  <c r="P233" i="1"/>
  <c r="Q233" i="1" s="1"/>
  <c r="W233" i="1" s="1"/>
  <c r="P232" i="1"/>
  <c r="Q232" i="1" s="1"/>
  <c r="W232" i="1" s="1"/>
  <c r="P231" i="1"/>
  <c r="Q231" i="1" s="1"/>
  <c r="W231" i="1" s="1"/>
  <c r="P229" i="1"/>
  <c r="Q229" i="1" s="1"/>
  <c r="W229" i="1" s="1"/>
  <c r="P228" i="1"/>
  <c r="Q228" i="1" s="1"/>
  <c r="W228" i="1" s="1"/>
  <c r="P227" i="1"/>
  <c r="Q227" i="1" s="1"/>
  <c r="W227" i="1" s="1"/>
  <c r="P225" i="1"/>
  <c r="Q225" i="1" s="1"/>
  <c r="W225" i="1" s="1"/>
  <c r="P224" i="1"/>
  <c r="Q224" i="1" s="1"/>
  <c r="W224" i="1" s="1"/>
  <c r="P223" i="1"/>
  <c r="Q223" i="1" s="1"/>
  <c r="W223" i="1" s="1"/>
  <c r="P221" i="1"/>
  <c r="Q221" i="1" s="1"/>
  <c r="W221" i="1" s="1"/>
  <c r="P220" i="1"/>
  <c r="Q220" i="1" s="1"/>
  <c r="W220" i="1" s="1"/>
  <c r="P219" i="1"/>
  <c r="Q219" i="1" s="1"/>
  <c r="W219" i="1" s="1"/>
  <c r="P217" i="1"/>
  <c r="Q217" i="1" s="1"/>
  <c r="W217" i="1" s="1"/>
  <c r="P216" i="1"/>
  <c r="Q216" i="1" s="1"/>
  <c r="W216" i="1" s="1"/>
  <c r="P215" i="1"/>
  <c r="Q215" i="1" s="1"/>
  <c r="W215" i="1" s="1"/>
  <c r="P213" i="1"/>
  <c r="Q213" i="1" s="1"/>
  <c r="W213" i="1" s="1"/>
  <c r="P212" i="1"/>
  <c r="Q212" i="1" s="1"/>
  <c r="W212" i="1" s="1"/>
  <c r="P211" i="1"/>
  <c r="Q211" i="1" s="1"/>
  <c r="W211" i="1" s="1"/>
  <c r="P209" i="1"/>
  <c r="Q209" i="1" s="1"/>
  <c r="W209" i="1" s="1"/>
  <c r="P208" i="1"/>
  <c r="Q208" i="1" s="1"/>
  <c r="W208" i="1" s="1"/>
  <c r="P207" i="1"/>
  <c r="Q207" i="1" s="1"/>
  <c r="W207" i="1" s="1"/>
  <c r="P205" i="1"/>
  <c r="Q205" i="1" s="1"/>
  <c r="W205" i="1" s="1"/>
  <c r="P204" i="1"/>
  <c r="Q204" i="1" s="1"/>
  <c r="W204" i="1" s="1"/>
  <c r="P203" i="1"/>
  <c r="Q203" i="1" s="1"/>
  <c r="W203" i="1" s="1"/>
  <c r="P201" i="1"/>
  <c r="Q201" i="1" s="1"/>
  <c r="W201" i="1" s="1"/>
  <c r="P200" i="1"/>
  <c r="Q200" i="1" s="1"/>
  <c r="W200" i="1" s="1"/>
  <c r="P199" i="1"/>
  <c r="Q199" i="1" s="1"/>
  <c r="W199" i="1" s="1"/>
  <c r="P197" i="1"/>
  <c r="Q197" i="1" s="1"/>
  <c r="W197" i="1" s="1"/>
  <c r="P196" i="1"/>
  <c r="Q196" i="1" s="1"/>
  <c r="W196" i="1" s="1"/>
  <c r="P195" i="1"/>
  <c r="Q195" i="1" s="1"/>
  <c r="W195" i="1" s="1"/>
  <c r="P193" i="1"/>
  <c r="Q193" i="1" s="1"/>
  <c r="W193" i="1" s="1"/>
  <c r="P192" i="1"/>
  <c r="Q192" i="1" s="1"/>
  <c r="W192" i="1" s="1"/>
  <c r="P191" i="1"/>
  <c r="Q191" i="1" s="1"/>
  <c r="W191" i="1" s="1"/>
  <c r="P189" i="1"/>
  <c r="Q189" i="1" s="1"/>
  <c r="W189" i="1" s="1"/>
  <c r="P188" i="1"/>
  <c r="Q188" i="1" s="1"/>
  <c r="W188" i="1" s="1"/>
  <c r="P187" i="1"/>
  <c r="Q187" i="1" s="1"/>
  <c r="W187" i="1" s="1"/>
  <c r="P185" i="1"/>
  <c r="Q185" i="1" s="1"/>
  <c r="W185" i="1" s="1"/>
  <c r="P184" i="1"/>
  <c r="Q184" i="1" s="1"/>
  <c r="W184" i="1" s="1"/>
  <c r="P183" i="1"/>
  <c r="Q183" i="1" s="1"/>
  <c r="W183" i="1" s="1"/>
  <c r="P181" i="1"/>
  <c r="Q181" i="1" s="1"/>
  <c r="W181" i="1" s="1"/>
  <c r="P180" i="1"/>
  <c r="Q180" i="1" s="1"/>
  <c r="W180" i="1" s="1"/>
  <c r="P179" i="1"/>
  <c r="Q179" i="1" s="1"/>
  <c r="W179" i="1" s="1"/>
  <c r="P177" i="1"/>
  <c r="Q177" i="1" s="1"/>
  <c r="W177" i="1" s="1"/>
  <c r="P176" i="1"/>
  <c r="Q176" i="1" s="1"/>
  <c r="W176" i="1" s="1"/>
  <c r="P175" i="1"/>
  <c r="Q175" i="1" s="1"/>
  <c r="W175" i="1" s="1"/>
  <c r="P173" i="1"/>
  <c r="Q173" i="1" s="1"/>
  <c r="W173" i="1" s="1"/>
  <c r="P172" i="1"/>
  <c r="Q172" i="1" s="1"/>
  <c r="W172" i="1" s="1"/>
  <c r="P171" i="1"/>
  <c r="Q171" i="1" s="1"/>
  <c r="W171" i="1" s="1"/>
  <c r="P169" i="1"/>
  <c r="Q169" i="1" s="1"/>
  <c r="W169" i="1" s="1"/>
  <c r="P168" i="1"/>
  <c r="Q168" i="1" s="1"/>
  <c r="W168" i="1" s="1"/>
  <c r="P167" i="1"/>
  <c r="Q167" i="1" s="1"/>
  <c r="W167" i="1" s="1"/>
  <c r="P165" i="1"/>
  <c r="Q165" i="1" s="1"/>
  <c r="W165" i="1" s="1"/>
  <c r="P164" i="1"/>
  <c r="Q164" i="1" s="1"/>
  <c r="W164" i="1" s="1"/>
  <c r="P163" i="1"/>
  <c r="Q163" i="1" s="1"/>
  <c r="W163" i="1" s="1"/>
  <c r="P161" i="1"/>
  <c r="Q161" i="1" s="1"/>
  <c r="W161" i="1" s="1"/>
  <c r="P160" i="1"/>
  <c r="Q160" i="1" s="1"/>
  <c r="W160" i="1" s="1"/>
  <c r="P159" i="1"/>
  <c r="Q159" i="1" s="1"/>
  <c r="W159" i="1" s="1"/>
  <c r="P157" i="1"/>
  <c r="Q157" i="1" s="1"/>
  <c r="W157" i="1" s="1"/>
  <c r="P156" i="1"/>
  <c r="Q156" i="1" s="1"/>
  <c r="W156" i="1" s="1"/>
  <c r="P155" i="1"/>
  <c r="Q155" i="1" s="1"/>
  <c r="W155" i="1" s="1"/>
  <c r="P153" i="1"/>
  <c r="Q153" i="1" s="1"/>
  <c r="W153" i="1" s="1"/>
  <c r="P152" i="1"/>
  <c r="Q152" i="1" s="1"/>
  <c r="W152" i="1" s="1"/>
  <c r="P151" i="1"/>
  <c r="Q151" i="1" s="1"/>
  <c r="W151" i="1" s="1"/>
  <c r="P149" i="1"/>
  <c r="Q149" i="1" s="1"/>
  <c r="W149" i="1" s="1"/>
  <c r="P148" i="1"/>
  <c r="Q148" i="1" s="1"/>
  <c r="W148" i="1" s="1"/>
  <c r="P147" i="1"/>
  <c r="Q147" i="1" s="1"/>
  <c r="W147" i="1" s="1"/>
  <c r="P145" i="1"/>
  <c r="Q145" i="1" s="1"/>
  <c r="W145" i="1" s="1"/>
  <c r="P144" i="1"/>
  <c r="Q144" i="1" s="1"/>
  <c r="W144" i="1" s="1"/>
  <c r="P143" i="1"/>
  <c r="Q143" i="1" s="1"/>
  <c r="W143" i="1" s="1"/>
  <c r="P141" i="1"/>
  <c r="Q141" i="1" s="1"/>
  <c r="W141" i="1" s="1"/>
  <c r="P140" i="1"/>
  <c r="Q140" i="1" s="1"/>
  <c r="W140" i="1" s="1"/>
  <c r="P139" i="1"/>
  <c r="Q139" i="1" s="1"/>
  <c r="W139" i="1" s="1"/>
  <c r="P137" i="1"/>
  <c r="Q137" i="1" s="1"/>
  <c r="W137" i="1" s="1"/>
  <c r="P136" i="1"/>
  <c r="Q136" i="1" s="1"/>
  <c r="W136" i="1" s="1"/>
  <c r="P135" i="1"/>
  <c r="Q135" i="1" s="1"/>
  <c r="W135" i="1" s="1"/>
  <c r="P133" i="1"/>
  <c r="Q133" i="1" s="1"/>
  <c r="W133" i="1" s="1"/>
  <c r="P132" i="1"/>
  <c r="Q132" i="1" s="1"/>
  <c r="W132" i="1" s="1"/>
  <c r="P131" i="1"/>
  <c r="Q131" i="1" s="1"/>
  <c r="W131" i="1" s="1"/>
  <c r="P129" i="1"/>
  <c r="Q129" i="1" s="1"/>
  <c r="W129" i="1" s="1"/>
  <c r="P128" i="1"/>
  <c r="Q128" i="1" s="1"/>
  <c r="W128" i="1" s="1"/>
  <c r="P127" i="1"/>
  <c r="Q127" i="1" s="1"/>
  <c r="W127" i="1" s="1"/>
  <c r="P125" i="1"/>
  <c r="Q125" i="1" s="1"/>
  <c r="W125" i="1" s="1"/>
  <c r="P124" i="1"/>
  <c r="Q124" i="1" s="1"/>
  <c r="W124" i="1" s="1"/>
  <c r="P123" i="1"/>
  <c r="Q123" i="1" s="1"/>
  <c r="W123" i="1" s="1"/>
  <c r="P121" i="1"/>
  <c r="Q121" i="1" s="1"/>
  <c r="W121" i="1" s="1"/>
  <c r="P120" i="1"/>
  <c r="Q120" i="1" s="1"/>
  <c r="W120" i="1" s="1"/>
  <c r="P119" i="1"/>
  <c r="Q119" i="1" s="1"/>
  <c r="W119" i="1" s="1"/>
  <c r="P117" i="1"/>
  <c r="Q117" i="1" s="1"/>
  <c r="W117" i="1" s="1"/>
  <c r="P116" i="1"/>
  <c r="Q116" i="1" s="1"/>
  <c r="W116" i="1" s="1"/>
  <c r="P115" i="1"/>
  <c r="Q115" i="1" s="1"/>
  <c r="W115" i="1" s="1"/>
  <c r="P113" i="1"/>
  <c r="Q113" i="1" s="1"/>
  <c r="W113" i="1" s="1"/>
  <c r="P112" i="1"/>
  <c r="Q112" i="1" s="1"/>
  <c r="W112" i="1" s="1"/>
  <c r="P111" i="1"/>
  <c r="Q111" i="1" s="1"/>
  <c r="W111" i="1" s="1"/>
  <c r="P109" i="1"/>
  <c r="Q109" i="1" s="1"/>
  <c r="W109" i="1" s="1"/>
  <c r="P108" i="1"/>
  <c r="Q108" i="1" s="1"/>
  <c r="W108" i="1" s="1"/>
  <c r="P107" i="1"/>
  <c r="Q107" i="1" s="1"/>
  <c r="W107" i="1" s="1"/>
  <c r="P105" i="1"/>
  <c r="Q105" i="1" s="1"/>
  <c r="W105" i="1" s="1"/>
  <c r="P104" i="1"/>
  <c r="Q104" i="1" s="1"/>
  <c r="W104" i="1" s="1"/>
  <c r="P103" i="1"/>
  <c r="Q103" i="1" s="1"/>
  <c r="W103" i="1" s="1"/>
  <c r="P101" i="1"/>
  <c r="Q101" i="1" s="1"/>
  <c r="W101" i="1" s="1"/>
  <c r="P100" i="1"/>
  <c r="Q100" i="1" s="1"/>
  <c r="W100" i="1" s="1"/>
  <c r="P99" i="1"/>
  <c r="Q99" i="1" s="1"/>
  <c r="W99" i="1" s="1"/>
  <c r="P97" i="1"/>
  <c r="Q97" i="1" s="1"/>
  <c r="W97" i="1" s="1"/>
  <c r="P96" i="1"/>
  <c r="Q96" i="1" s="1"/>
  <c r="W96" i="1" s="1"/>
  <c r="P95" i="1"/>
  <c r="Q95" i="1" s="1"/>
  <c r="W95" i="1" s="1"/>
  <c r="P93" i="1"/>
  <c r="Q93" i="1" s="1"/>
  <c r="W93" i="1" s="1"/>
  <c r="P92" i="1"/>
  <c r="Q92" i="1" s="1"/>
  <c r="W92" i="1" s="1"/>
  <c r="P91" i="1"/>
  <c r="Q91" i="1" s="1"/>
  <c r="W91" i="1" s="1"/>
  <c r="P89" i="1"/>
  <c r="Q89" i="1" s="1"/>
  <c r="W89" i="1" s="1"/>
  <c r="P88" i="1"/>
  <c r="Q88" i="1" s="1"/>
  <c r="W88" i="1" s="1"/>
  <c r="P87" i="1"/>
  <c r="Q87" i="1" s="1"/>
  <c r="W87" i="1" s="1"/>
  <c r="P85" i="1"/>
  <c r="Q85" i="1" s="1"/>
  <c r="W85" i="1" s="1"/>
  <c r="P84" i="1"/>
  <c r="Q84" i="1" s="1"/>
  <c r="W84" i="1" s="1"/>
  <c r="P83" i="1"/>
  <c r="Q83" i="1" s="1"/>
  <c r="W83" i="1" s="1"/>
  <c r="P81" i="1"/>
  <c r="Q81" i="1" s="1"/>
  <c r="W81" i="1" s="1"/>
  <c r="P80" i="1"/>
  <c r="Q80" i="1" s="1"/>
  <c r="W80" i="1" s="1"/>
  <c r="P79" i="1"/>
  <c r="Q79" i="1" s="1"/>
  <c r="W79" i="1" s="1"/>
  <c r="P77" i="1"/>
  <c r="Q77" i="1" s="1"/>
  <c r="W77" i="1" s="1"/>
  <c r="P76" i="1"/>
  <c r="Q76" i="1" s="1"/>
  <c r="W76" i="1" s="1"/>
  <c r="P75" i="1"/>
  <c r="Q75" i="1" s="1"/>
  <c r="W75" i="1" s="1"/>
  <c r="P73" i="1"/>
  <c r="Q73" i="1" s="1"/>
  <c r="W73" i="1" s="1"/>
  <c r="P72" i="1"/>
  <c r="Q72" i="1" s="1"/>
  <c r="W72" i="1" s="1"/>
  <c r="P71" i="1"/>
  <c r="Q71" i="1" s="1"/>
  <c r="W71" i="1" s="1"/>
  <c r="P69" i="1"/>
  <c r="Q69" i="1" s="1"/>
  <c r="W69" i="1" s="1"/>
  <c r="P68" i="1"/>
  <c r="Q68" i="1" s="1"/>
  <c r="W68" i="1" s="1"/>
  <c r="P67" i="1"/>
  <c r="Q67" i="1" s="1"/>
  <c r="W67" i="1" s="1"/>
  <c r="P65" i="1"/>
  <c r="Q65" i="1" s="1"/>
  <c r="W65" i="1" s="1"/>
  <c r="P64" i="1"/>
  <c r="Q64" i="1" s="1"/>
  <c r="W64" i="1" s="1"/>
  <c r="P63" i="1"/>
  <c r="Q63" i="1" s="1"/>
  <c r="W63" i="1" s="1"/>
  <c r="P61" i="1"/>
  <c r="Q61" i="1" s="1"/>
  <c r="W61" i="1" s="1"/>
  <c r="P60" i="1"/>
  <c r="Q60" i="1" s="1"/>
  <c r="W60" i="1" s="1"/>
  <c r="P59" i="1"/>
  <c r="Q59" i="1" s="1"/>
  <c r="W59" i="1" s="1"/>
  <c r="P57" i="1"/>
  <c r="Q57" i="1" s="1"/>
  <c r="W57" i="1" s="1"/>
  <c r="P56" i="1"/>
  <c r="Q56" i="1" s="1"/>
  <c r="W56" i="1" s="1"/>
  <c r="P55" i="1"/>
  <c r="Q55" i="1" s="1"/>
  <c r="W55" i="1" s="1"/>
  <c r="P53" i="1"/>
  <c r="Q53" i="1" s="1"/>
  <c r="W53" i="1" s="1"/>
  <c r="P52" i="1"/>
  <c r="Q52" i="1" s="1"/>
  <c r="W52" i="1" s="1"/>
  <c r="P51" i="1"/>
  <c r="Q51" i="1" s="1"/>
  <c r="W51" i="1" s="1"/>
  <c r="P49" i="1"/>
  <c r="Q49" i="1" s="1"/>
  <c r="W49" i="1" s="1"/>
  <c r="P48" i="1"/>
  <c r="Q48" i="1" s="1"/>
  <c r="W48" i="1" s="1"/>
  <c r="P47" i="1"/>
  <c r="Q47" i="1" s="1"/>
  <c r="W47" i="1" s="1"/>
  <c r="P45" i="1"/>
  <c r="Q45" i="1" s="1"/>
  <c r="W45" i="1" s="1"/>
  <c r="P44" i="1"/>
  <c r="Q44" i="1" s="1"/>
  <c r="W44" i="1" s="1"/>
  <c r="P43" i="1"/>
  <c r="Q43" i="1" s="1"/>
  <c r="W43" i="1" s="1"/>
  <c r="P41" i="1"/>
  <c r="Q41" i="1" s="1"/>
  <c r="W41" i="1" s="1"/>
  <c r="P40" i="1"/>
  <c r="Q40" i="1" s="1"/>
  <c r="W40" i="1" s="1"/>
  <c r="P39" i="1"/>
  <c r="Q39" i="1" s="1"/>
  <c r="W39" i="1" s="1"/>
  <c r="P37" i="1"/>
  <c r="Q37" i="1" s="1"/>
  <c r="W37" i="1" s="1"/>
  <c r="P36" i="1"/>
  <c r="Q36" i="1" s="1"/>
  <c r="W36" i="1" s="1"/>
  <c r="P35" i="1"/>
  <c r="Q35" i="1" s="1"/>
  <c r="W35" i="1" s="1"/>
  <c r="P33" i="1"/>
  <c r="Q33" i="1" s="1"/>
  <c r="W33" i="1" s="1"/>
  <c r="P32" i="1"/>
  <c r="Q32" i="1" s="1"/>
  <c r="W32" i="1" s="1"/>
  <c r="P31" i="1"/>
  <c r="Q31" i="1" s="1"/>
  <c r="W31" i="1" s="1"/>
  <c r="P29" i="1"/>
  <c r="Q29" i="1" s="1"/>
  <c r="W29" i="1" s="1"/>
  <c r="P28" i="1"/>
  <c r="Q28" i="1" s="1"/>
  <c r="W28" i="1" s="1"/>
  <c r="P27" i="1"/>
  <c r="Q27" i="1" s="1"/>
  <c r="W27" i="1" s="1"/>
  <c r="P25" i="1"/>
  <c r="Q25" i="1" s="1"/>
  <c r="W25" i="1" s="1"/>
  <c r="P24" i="1"/>
  <c r="Q24" i="1" s="1"/>
  <c r="W24" i="1" s="1"/>
  <c r="P23" i="1"/>
  <c r="Q23" i="1" s="1"/>
  <c r="W23" i="1" s="1"/>
  <c r="P21" i="1"/>
  <c r="Q21" i="1" s="1"/>
  <c r="W21" i="1" s="1"/>
  <c r="P20" i="1"/>
  <c r="Q20" i="1" s="1"/>
  <c r="W20" i="1" s="1"/>
  <c r="P19" i="1"/>
  <c r="Q19" i="1" s="1"/>
  <c r="W19" i="1" s="1"/>
  <c r="P17" i="1"/>
  <c r="Q17" i="1" s="1"/>
  <c r="W17" i="1" s="1"/>
  <c r="P16" i="1"/>
  <c r="Q16" i="1" s="1"/>
  <c r="W16" i="1" s="1"/>
  <c r="P15" i="1"/>
  <c r="Q15" i="1" s="1"/>
  <c r="W15" i="1" s="1"/>
  <c r="P13" i="1"/>
  <c r="Q13" i="1" s="1"/>
  <c r="W13" i="1" s="1"/>
  <c r="P12" i="1"/>
  <c r="Q12" i="1" s="1"/>
  <c r="W12" i="1" s="1"/>
  <c r="P11" i="1"/>
  <c r="Q11" i="1" s="1"/>
  <c r="W11" i="1" s="1"/>
  <c r="P9" i="1"/>
  <c r="Q9" i="1" s="1"/>
  <c r="W9" i="1" s="1"/>
  <c r="P8" i="1"/>
  <c r="Q8" i="1" s="1"/>
  <c r="W8" i="1" s="1"/>
  <c r="P7" i="1"/>
  <c r="Q7" i="1" s="1"/>
  <c r="W7" i="1" s="1"/>
  <c r="P5" i="1"/>
  <c r="Q5" i="1" s="1"/>
  <c r="W5" i="1" s="1"/>
  <c r="P4" i="1"/>
  <c r="Q4" i="1" s="1"/>
  <c r="W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3C609E-2BFA-4CBD-BFD0-2A43343AF859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<sst xmlns="http://schemas.openxmlformats.org/spreadsheetml/2006/main" count="19010" uniqueCount="44">
  <si>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</si>
  <si>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</si>
  <si>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</si>
  <si>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</si>
  <si>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</si>
  <si>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</si>
  <si>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</si>
  <si>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</si>
  <si>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</si>
  <si>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</si>
  <si>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</si>
  <si>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</si>
  <si>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</si>
  <si>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NIM</t>
  </si>
  <si>
    <t>Faktor_NIM</t>
  </si>
  <si>
    <t>Performance_Score</t>
  </si>
  <si>
    <t>Kategori_Performance</t>
  </si>
  <si>
    <t>Profit_Per_Unit</t>
  </si>
  <si>
    <t>Total_Profit</t>
  </si>
  <si>
    <t>Profit_Category</t>
  </si>
  <si>
    <t>Discount_Category</t>
  </si>
  <si>
    <t>Sales_Priority</t>
  </si>
  <si>
    <t>Bonus_Amount</t>
  </si>
  <si>
    <t/>
  </si>
  <si>
    <t>Budi Santoso</t>
  </si>
  <si>
    <t>Timur</t>
  </si>
  <si>
    <t>Food</t>
  </si>
  <si>
    <t>Returning</t>
  </si>
  <si>
    <t>Cash</t>
  </si>
  <si>
    <t>Retail</t>
  </si>
  <si>
    <t>Ahmad Fauzan</t>
  </si>
  <si>
    <t>Barat</t>
  </si>
  <si>
    <t>Furniture</t>
  </si>
  <si>
    <t>New</t>
  </si>
  <si>
    <t>Siti Aisyah</t>
  </si>
  <si>
    <t>Clothing</t>
  </si>
  <si>
    <t>Credit Card</t>
  </si>
  <si>
    <t>Online</t>
  </si>
  <si>
    <t>Dewi Lestari</t>
  </si>
  <si>
    <t>Electronics</t>
  </si>
  <si>
    <t>Bank Transfer</t>
  </si>
  <si>
    <t>Rizky Pratama</t>
  </si>
  <si>
    <t>Utara</t>
  </si>
  <si>
    <t>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</si>
</sst>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AA92CE6C-E810-45C2-8427-3289C7EC5D5F}" autoFormatId="16" applyNumberFormats="0" applyBorderFormats="0" applyFontFormats="0" applyPatternFormats="0" applyAlignmentFormats="0" applyWidthHeightFormats="0">
  <queryTableRefresh headersInLastRefresh="0" nextId="14">
    <queryTableFields count="13">
      <queryTableField id="1" name="Product_ID" tableColumnId="1"/>
      <queryTableField id="2" name="Sale_Date" tableColumnId="2"/>
      <queryTableField id="3" name="Sales_Rep" tableColumnId="3"/>
      <queryTableField id="4" name="Region" tableColumnId="4"/>
      <queryTableField id="5" name="Sales_Amount" tableColumnId="5"/>
      <queryTableField id="6" name="Quantity_Sold" tableColumnId="6"/>
      <queryTableField id="7" name="Product_Category" tableColumnId="7"/>
      <queryTableField id="8" name="Unit_Cost" tableColumnId="8"/>
      <queryTableField id="9" name="Unit_Price" tableColumnId="9"/>
      <queryTableField id="10" name="Customer_Type" tableColumnId="10"/>
      <queryTableField id="11" name="Discount" tableColumnId="11"/>
      <queryTableField id="12" name="Payment_Method" tableColumnId="12"/>
      <queryTableField id="13" name="Sales_Channel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C4EA03-4EE2-4CB2-ACC6-CAC84C601913}" name="Sales_Data" displayName="Sales_Data" ref="A2:M1001" tableType="queryTable" headerRowCount="0" totalsRowShown="0">
  <tableColumns count="13">
    <tableColumn id="1" xr3:uid="{44D24B6E-64E3-446B-A773-237A3AA818BE}" uniqueName="1" name="Column1" queryTableFieldId="1" dataDxfId="9"/>
    <tableColumn id="2" xr3:uid="{AB0C470B-9769-49D3-93AD-8F1BF8B7CA84}" uniqueName="2" name="Column2" queryTableFieldId="2" headerRowDxfId="3" dataDxfId="8"/>
    <tableColumn id="3" xr3:uid="{C5C7FE5B-871B-4D5A-BECF-DBD065E8793A}" uniqueName="3" name="Column3" queryTableFieldId="3" dataDxfId="7"/>
    <tableColumn id="4" xr3:uid="{E9D8CBDF-D042-4EFE-B2E7-6DF821B58E3C}" uniqueName="4" name="Column4" queryTableFieldId="4" dataDxfId="6"/>
    <tableColumn id="5" xr3:uid="{A3FA4188-F561-45C6-83DD-1A741841F8E1}" uniqueName="5" name="Column5" queryTableFieldId="5"/>
    <tableColumn id="6" xr3:uid="{59D8F717-D2C7-4605-833D-E81DD1A54023}" uniqueName="6" name="Column6" queryTableFieldId="6"/>
    <tableColumn id="7" xr3:uid="{0142FA26-DAA1-44DF-895F-BA069BEE9140}" uniqueName="7" name="Column7" queryTableFieldId="7" dataDxfId="5"/>
    <tableColumn id="8" xr3:uid="{3655AA12-6AEC-4E6C-9940-D0FD0921480C}" uniqueName="8" name="Column8" queryTableFieldId="8"/>
    <tableColumn id="9" xr3:uid="{BCACFCE8-1C18-47E3-9086-DAB6F12473CD}" uniqueName="9" name="Column9" queryTableFieldId="9"/>
    <tableColumn id="10" xr3:uid="{88E7B022-780E-40DE-B93D-2F70F5CD80D1}" uniqueName="10" name="Column10" queryTableFieldId="10" dataDxfId="2"/>
    <tableColumn id="11" xr3:uid="{A6DD34F6-9893-4937-BAC8-BABAC4C5AABD}" uniqueName="11" name="Column11" queryTableFieldId="11" dataDxfId="0"/>
    <tableColumn id="12" xr3:uid="{0247C4D9-3F08-419F-A162-3E191BC85801}" uniqueName="12" name="Column12" queryTableFieldId="12" dataDxfId="1"/>
    <tableColumn id="13" xr3:uid="{0ACE0925-EAEA-4B24-B931-1BD23CBAAA77}" uniqueName="13" name="Column13" queryTableFieldId="13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1"/>
  <sheetViews>
    <sheetView tabSelected="1" topLeftCell="M1" workbookViewId="0">
      <selection activeCell="P11" sqref="P11"/>
    </sheetView>
  </sheetViews>
  <sheetFormatPr defaultRowHeight="15.5" x14ac:dyDescent="0.35"/>
  <cols>
    <col min="1" max="1" width="12.1640625" bestFit="1" customWidth="1"/>
    <col min="2" max="2" width="13.08203125" style="3" customWidth="1"/>
    <col min="3" max="3" width="14.6640625" customWidth="1"/>
    <col min="4" max="4" width="8.58203125" bestFit="1" customWidth="1"/>
    <col min="5" max="5" width="15" bestFit="1" customWidth="1"/>
    <col min="6" max="6" width="14.6640625" bestFit="1" customWidth="1"/>
    <col min="7" max="7" width="17.9140625" bestFit="1" customWidth="1"/>
    <col min="8" max="8" width="11.08203125" bestFit="1" customWidth="1"/>
    <col min="9" max="9" width="11.58203125" bestFit="1" customWidth="1"/>
    <col min="10" max="10" width="16.08203125" bestFit="1" customWidth="1"/>
    <col min="11" max="11" width="10.1640625" style="3" bestFit="1" customWidth="1"/>
    <col min="12" max="12" width="18" bestFit="1" customWidth="1"/>
    <col min="13" max="13" width="15" bestFit="1" customWidth="1"/>
    <col min="14" max="15" width="12.83203125" customWidth="1"/>
    <col min="16" max="16" width="17.25" style="5" customWidth="1"/>
    <col min="17" max="17" width="19.75" customWidth="1"/>
    <col min="18" max="18" width="13.83203125" customWidth="1"/>
    <col min="19" max="19" width="13.83203125" style="8" customWidth="1"/>
    <col min="20" max="20" width="16.83203125" customWidth="1"/>
    <col min="21" max="21" width="17.5" customWidth="1"/>
    <col min="22" max="22" width="13.25" customWidth="1"/>
    <col min="23" max="23" width="14.83203125" customWidth="1"/>
    <col min="24" max="24" width="10.83203125" customWidth="1"/>
    <col min="25" max="25" width="15.83203125" customWidth="1"/>
    <col min="26" max="26" width="14.83203125" customWidth="1"/>
    <col min="27" max="27" width="15.83203125" customWidth="1"/>
    <col min="28" max="28" width="12.83203125" customWidth="1"/>
    <col min="29" max="29" width="17.83203125" customWidth="1"/>
    <col min="30" max="30" width="20.83203125" customWidth="1"/>
    <col min="31" max="31" width="14.83203125" customWidth="1"/>
    <col min="32" max="32" width="12.83203125" customWidth="1"/>
    <col min="33" max="33" width="15.83203125" customWidth="1"/>
    <col min="34" max="34" width="17.83203125" customWidth="1"/>
    <col min="35" max="35" width="15.83203125" customWidth="1"/>
    <col min="36" max="36" width="13.83203125" customWidth="1"/>
  </cols>
  <sheetData>
    <row r="1" spans="1:36" x14ac:dyDescent="0.3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  <c r="N1" t="s">
        <v>13</v>
      </c>
      <c r="O1" t="s">
        <v>14</v>
      </c>
      <c r="P1" s="5" t="s">
        <v>15</v>
      </c>
      <c r="Q1" t="s">
        <v>16</v>
      </c>
      <c r="R1" t="s">
        <v>17</v>
      </c>
      <c r="S1" s="7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36" ht="16" customHeight="1" x14ac:dyDescent="0.35">
      <c r="A2" s="2">
        <v>1000</v>
      </c>
      <c r="B2" s="4">
        <v>45073</v>
      </c>
      <c r="C2" s="1" t="s">
        <v>24</v>
      </c>
      <c r="D2" s="1" t="s">
        <v>25</v>
      </c>
      <c r="E2">
        <v>355024</v>
      </c>
      <c r="F2">
        <v>36</v>
      </c>
      <c r="G2" s="1" t="s">
        <v>26</v>
      </c>
      <c r="H2">
        <v>12518</v>
      </c>
      <c r="I2">
        <v>19810</v>
      </c>
      <c r="J2" s="1" t="s">
        <v>27</v>
      </c>
      <c r="K2" s="3">
        <v>0</v>
      </c>
      <c r="L2" s="1" t="s">
        <v>28</v>
      </c>
      <c r="M2" s="1" t="s">
        <v>29</v>
      </c>
      <c r="N2" s="3">
        <v>2024010123</v>
      </c>
      <c r="O2" s="3">
        <f>VALUE(RIGHT($N$2,3))/100</f>
        <v>1.23</v>
      </c>
      <c r="P2" s="6">
        <f>E2*$O2</f>
        <v>436679.52</v>
      </c>
      <c r="Q2" s="3" t="str">
        <f>IF(P2&gt;=5000,"Excellent",
   IF(P2&gt;=3000,"Good",
      IF(P2&gt;=1500,"Average","Below Average")))</f>
        <v>Excellent</v>
      </c>
      <c r="R2" s="3">
        <f>I2-H2</f>
        <v>7292</v>
      </c>
      <c r="S2" s="7">
        <f>R2*F2</f>
        <v>262512</v>
      </c>
      <c r="T2" s="3" t="str">
        <f>IF(S2&gt;=1000,"High Profit",
   IF(S2&gt;=500,"Medium Profit","Low Profit"))</f>
        <v>High Profit</v>
      </c>
      <c r="U2" s="3" t="str">
        <f>_xlfn.LET(
  _xlpm.d0, K2,
  _xlpm.d, IF(_xlpm.d0&gt;=1, _xlpm.d0/100, _xlpm.d0),
  IF(_xlpm.d&gt;=0.15, "High Discount",
     IF(_xlpm.d&gt;=0.05, "Medium Discount",
        IF(_xlpm.d&gt;0, "Low Discount", "No Discount")))
)</f>
        <v>No Discount</v>
      </c>
      <c r="V2" s="3" t="str">
        <f>IF(AND(G2="Electronics",F2&gt;=30,M2="Online"),"Priority A",
   IF(AND(OR(G2="Furniture",G2="Electronics"),F2&gt;=20),"Priority B",
      IF(OR(M2="Online",F2&gt;=15),"Priority C","Priority D")))</f>
        <v>Priority C</v>
      </c>
      <c r="W2">
        <f>IF(AND(Q2="Excellent",J2="Returning",T2="High Profit"),E2*0.15,
   IF(AND(Q2="Excellent",J2="New"),E2*0.1,
      IF(AND(OR(Q2="Good",Q2="Excellent"),L2="Cash"),E2*0.08,
         IF(AND(Q2="Good",T2="High Profit"),E2*0.06,
            IF(Q2="Average",E2*0.03,
               IF(Q2="Below Average",E2*0.01,0))))))</f>
        <v>53253.599999999999</v>
      </c>
    </row>
    <row r="3" spans="1:36" x14ac:dyDescent="0.35">
      <c r="A3" s="2">
        <v>1001</v>
      </c>
      <c r="B3" s="4">
        <v>45121</v>
      </c>
      <c r="C3" s="1" t="s">
        <v>30</v>
      </c>
      <c r="D3" s="1" t="s">
        <v>31</v>
      </c>
      <c r="E3">
        <v>23952</v>
      </c>
      <c r="F3">
        <v>44</v>
      </c>
      <c r="G3" s="1" t="s">
        <v>32</v>
      </c>
      <c r="H3">
        <v>16442</v>
      </c>
      <c r="I3">
        <v>24457</v>
      </c>
      <c r="J3" s="1" t="s">
        <v>33</v>
      </c>
      <c r="K3" s="3">
        <v>2</v>
      </c>
      <c r="L3" s="1" t="s">
        <v>28</v>
      </c>
      <c r="M3" s="1" t="s">
        <v>29</v>
      </c>
      <c r="N3" s="3">
        <v>2024010123</v>
      </c>
      <c r="O3" s="3">
        <f t="shared" ref="O3:O66" si="0">VALUE(RIGHT($N$2,3))/100</f>
        <v>1.23</v>
      </c>
      <c r="P3" s="6">
        <f t="shared" ref="P3:P66" si="1">E3*$O3</f>
        <v>29460.959999999999</v>
      </c>
      <c r="Q3" s="3" t="str">
        <f>IF(P3&gt;=5000,"Excellent",
   IF(P3&gt;=3000,"Good",
      IF(P3&gt;=1500,"Average","Below Average")))</f>
        <v>Excellent</v>
      </c>
      <c r="R3" s="3">
        <f t="shared" ref="R3:R66" si="2">I3-H3</f>
        <v>8015</v>
      </c>
      <c r="S3" s="7">
        <f t="shared" ref="S3:S66" si="3">R3*F3</f>
        <v>352660</v>
      </c>
      <c r="T3" s="3" t="str">
        <f t="shared" ref="T3:T66" si="4">IF(S3&gt;=1000,"High Profit",
   IF(S3&gt;=500,"Medium Profit","Low Profit"))</f>
        <v>High Profit</v>
      </c>
      <c r="U3" s="3" t="str">
        <f t="shared" ref="U3:U66" si="5">_xlfn.LET(
  _xlpm.d0, K3,
  _xlpm.d, IF(_xlpm.d0&gt;=1, _xlpm.d0/100, _xlpm.d0),
  IF(_xlpm.d&gt;=0.15, "High Discount",
     IF(_xlpm.d&gt;=0.05, "Medium Discount",
        IF(_xlpm.d&gt;0, "Low Discount", "No Discount")))
)</f>
        <v>Low Discount</v>
      </c>
      <c r="V3" s="3" t="str">
        <f t="shared" ref="V3:V66" si="6">IF(AND(G3="Electronics",F3&gt;=30,M3="Online"),"Priority A",
   IF(AND(OR(G3="Furniture",G3="Electronics"),F3&gt;=20),"Priority B",
      IF(OR(M3="Online",F3&gt;=15),"Priority C","Priority D")))</f>
        <v>Priority B</v>
      </c>
      <c r="W3">
        <f t="shared" ref="W3:W66" si="7">IF(AND(Q3="Excellent",J3="Returning",T3="High Profit"),E3*0.15,
   IF(AND(Q3="Excellent",J3="New"),E3*0.1,
      IF(AND(OR(Q3="Good",Q3="Excellent"),L3="Cash"),E3*0.08,
         IF(AND(Q3="Good",T3="High Profit"),E3*0.06,
            IF(Q3="Average",E3*0.03,
               IF(Q3="Below Average",E3*0.01,0))))))</f>
        <v>2395.2000000000003</v>
      </c>
      <c r="X3" t="s">
        <v>23</v>
      </c>
      <c r="Y3" t="s">
        <v>23</v>
      </c>
      <c r="Z3" t="s">
        <v>23</v>
      </c>
      <c r="AA3" t="s">
        <v>23</v>
      </c>
      <c r="AB3" t="s">
        <v>23</v>
      </c>
      <c r="AC3" t="s">
        <v>23</v>
      </c>
      <c r="AD3" t="s">
        <v>23</v>
      </c>
      <c r="AE3" t="s">
        <v>23</v>
      </c>
      <c r="AF3" t="s">
        <v>23</v>
      </c>
      <c r="AG3" t="s">
        <v>23</v>
      </c>
      <c r="AH3" t="s">
        <v>23</v>
      </c>
      <c r="AI3" t="s">
        <v>23</v>
      </c>
      <c r="AJ3" t="s">
        <v>23</v>
      </c>
    </row>
    <row r="4" spans="1:36" x14ac:dyDescent="0.35">
      <c r="A4" s="2">
        <v>1002</v>
      </c>
      <c r="B4" s="4">
        <v>45120</v>
      </c>
      <c r="C4" s="1" t="s">
        <v>34</v>
      </c>
      <c r="D4" s="1" t="s">
        <v>31</v>
      </c>
      <c r="E4">
        <v>838487</v>
      </c>
      <c r="F4">
        <v>27</v>
      </c>
      <c r="G4" s="1" t="s">
        <v>35</v>
      </c>
      <c r="H4">
        <v>22558</v>
      </c>
      <c r="I4">
        <v>29852</v>
      </c>
      <c r="J4" s="1" t="s">
        <v>27</v>
      </c>
      <c r="K4" s="3">
        <v>1</v>
      </c>
      <c r="L4" s="1" t="s">
        <v>36</v>
      </c>
      <c r="M4" s="1" t="s">
        <v>37</v>
      </c>
      <c r="N4" s="3">
        <v>2024010123</v>
      </c>
      <c r="O4" s="3">
        <f t="shared" si="0"/>
        <v>1.23</v>
      </c>
      <c r="P4" s="6">
        <f t="shared" si="1"/>
        <v>1031339.01</v>
      </c>
      <c r="Q4" s="3" t="str">
        <f t="shared" ref="Q3:Q66" si="8">IF(P4&gt;=5000,"Excellent",
   IF(P4&gt;=3000,"Good",
      IF(P4&gt;=1500,"Average","Below Average")))</f>
        <v>Excellent</v>
      </c>
      <c r="R4" s="3">
        <f t="shared" si="2"/>
        <v>7294</v>
      </c>
      <c r="S4" s="7">
        <f t="shared" si="3"/>
        <v>196938</v>
      </c>
      <c r="T4" s="3" t="str">
        <f t="shared" si="4"/>
        <v>High Profit</v>
      </c>
      <c r="U4" s="3" t="str">
        <f t="shared" si="5"/>
        <v>Low Discount</v>
      </c>
      <c r="V4" s="3" t="str">
        <f t="shared" si="6"/>
        <v>Priority C</v>
      </c>
      <c r="W4">
        <f t="shared" si="7"/>
        <v>125773.04999999999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t="s">
        <v>23</v>
      </c>
      <c r="AE4" t="s">
        <v>23</v>
      </c>
      <c r="AF4" t="s">
        <v>23</v>
      </c>
      <c r="AG4" t="s">
        <v>23</v>
      </c>
      <c r="AH4" t="s">
        <v>23</v>
      </c>
      <c r="AI4" t="s">
        <v>23</v>
      </c>
      <c r="AJ4" t="s">
        <v>23</v>
      </c>
    </row>
    <row r="5" spans="1:36" x14ac:dyDescent="0.35">
      <c r="A5" s="2">
        <v>1003</v>
      </c>
      <c r="B5" s="4">
        <v>45124</v>
      </c>
      <c r="C5" s="1" t="s">
        <v>38</v>
      </c>
      <c r="D5" s="1" t="s">
        <v>31</v>
      </c>
      <c r="E5">
        <v>979315</v>
      </c>
      <c r="F5">
        <v>12</v>
      </c>
      <c r="G5" s="1" t="s">
        <v>39</v>
      </c>
      <c r="H5">
        <v>28828</v>
      </c>
      <c r="I5">
        <v>35293</v>
      </c>
      <c r="J5" s="1" t="s">
        <v>27</v>
      </c>
      <c r="K5" s="3">
        <v>9</v>
      </c>
      <c r="L5" s="1" t="s">
        <v>28</v>
      </c>
      <c r="M5" s="1" t="s">
        <v>37</v>
      </c>
      <c r="N5" s="3">
        <v>2024010123</v>
      </c>
      <c r="O5" s="3">
        <f t="shared" si="0"/>
        <v>1.23</v>
      </c>
      <c r="P5" s="6">
        <f t="shared" si="1"/>
        <v>1204557.45</v>
      </c>
      <c r="Q5" s="3" t="str">
        <f t="shared" si="8"/>
        <v>Excellent</v>
      </c>
      <c r="R5" s="3">
        <f t="shared" si="2"/>
        <v>6465</v>
      </c>
      <c r="S5" s="7">
        <f t="shared" si="3"/>
        <v>77580</v>
      </c>
      <c r="T5" s="3" t="str">
        <f t="shared" si="4"/>
        <v>High Profit</v>
      </c>
      <c r="U5" s="3" t="str">
        <f t="shared" si="5"/>
        <v>Medium Discount</v>
      </c>
      <c r="V5" s="3" t="str">
        <f t="shared" si="6"/>
        <v>Priority C</v>
      </c>
      <c r="W5">
        <f t="shared" si="7"/>
        <v>146897.25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t="s">
        <v>23</v>
      </c>
      <c r="AE5" t="s">
        <v>23</v>
      </c>
      <c r="AF5" t="s">
        <v>23</v>
      </c>
      <c r="AG5" t="s">
        <v>23</v>
      </c>
      <c r="AH5" t="s">
        <v>23</v>
      </c>
      <c r="AI5" t="s">
        <v>23</v>
      </c>
      <c r="AJ5" t="s">
        <v>23</v>
      </c>
    </row>
    <row r="6" spans="1:36" x14ac:dyDescent="0.35">
      <c r="A6" s="2">
        <v>1004</v>
      </c>
      <c r="B6" s="4">
        <v>44980</v>
      </c>
      <c r="C6" s="1" t="s">
        <v>30</v>
      </c>
      <c r="D6" s="1" t="s">
        <v>31</v>
      </c>
      <c r="E6">
        <v>940767</v>
      </c>
      <c r="F6">
        <v>19</v>
      </c>
      <c r="G6" s="1" t="s">
        <v>26</v>
      </c>
      <c r="H6">
        <v>21039</v>
      </c>
      <c r="I6">
        <v>34397</v>
      </c>
      <c r="J6" s="1" t="s">
        <v>33</v>
      </c>
      <c r="K6" s="3">
        <v>12</v>
      </c>
      <c r="L6" s="1" t="s">
        <v>36</v>
      </c>
      <c r="M6" s="1" t="s">
        <v>37</v>
      </c>
      <c r="N6" s="3">
        <v>2024010123</v>
      </c>
      <c r="O6" s="3">
        <f t="shared" si="0"/>
        <v>1.23</v>
      </c>
      <c r="P6" s="6">
        <f t="shared" si="1"/>
        <v>1157143.4099999999</v>
      </c>
      <c r="Q6" s="3" t="str">
        <f t="shared" si="8"/>
        <v>Excellent</v>
      </c>
      <c r="R6" s="3">
        <f t="shared" si="2"/>
        <v>13358</v>
      </c>
      <c r="S6" s="7">
        <f t="shared" si="3"/>
        <v>253802</v>
      </c>
      <c r="T6" s="3" t="str">
        <f t="shared" si="4"/>
        <v>High Profit</v>
      </c>
      <c r="U6" s="3" t="str">
        <f t="shared" si="5"/>
        <v>Medium Discount</v>
      </c>
      <c r="V6" s="3" t="str">
        <f t="shared" si="6"/>
        <v>Priority C</v>
      </c>
      <c r="W6">
        <f t="shared" si="7"/>
        <v>94076.700000000012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t="s">
        <v>23</v>
      </c>
      <c r="AE6" t="s">
        <v>23</v>
      </c>
      <c r="AF6" t="s">
        <v>23</v>
      </c>
      <c r="AG6" t="s">
        <v>23</v>
      </c>
      <c r="AH6" t="s">
        <v>23</v>
      </c>
      <c r="AI6" t="s">
        <v>23</v>
      </c>
      <c r="AJ6" t="s">
        <v>23</v>
      </c>
    </row>
    <row r="7" spans="1:36" x14ac:dyDescent="0.35">
      <c r="A7" s="2">
        <v>1005</v>
      </c>
      <c r="B7" s="4">
        <v>45249</v>
      </c>
      <c r="C7" s="1" t="s">
        <v>30</v>
      </c>
      <c r="D7" s="1" t="s">
        <v>31</v>
      </c>
      <c r="E7">
        <v>151603</v>
      </c>
      <c r="F7">
        <v>32</v>
      </c>
      <c r="G7" s="1" t="s">
        <v>26</v>
      </c>
      <c r="H7">
        <v>19879</v>
      </c>
      <c r="I7">
        <v>27699</v>
      </c>
      <c r="J7" s="1" t="s">
        <v>27</v>
      </c>
      <c r="K7" s="3">
        <v>11</v>
      </c>
      <c r="L7" s="1" t="s">
        <v>40</v>
      </c>
      <c r="M7" s="1" t="s">
        <v>29</v>
      </c>
      <c r="N7" s="3">
        <v>2024010123</v>
      </c>
      <c r="O7" s="3">
        <f t="shared" si="0"/>
        <v>1.23</v>
      </c>
      <c r="P7" s="6">
        <f t="shared" si="1"/>
        <v>186471.69</v>
      </c>
      <c r="Q7" s="3" t="str">
        <f t="shared" si="8"/>
        <v>Excellent</v>
      </c>
      <c r="R7" s="3">
        <f t="shared" si="2"/>
        <v>7820</v>
      </c>
      <c r="S7" s="7">
        <f t="shared" si="3"/>
        <v>250240</v>
      </c>
      <c r="T7" s="3" t="str">
        <f t="shared" si="4"/>
        <v>High Profit</v>
      </c>
      <c r="U7" s="3" t="str">
        <f t="shared" si="5"/>
        <v>Medium Discount</v>
      </c>
      <c r="V7" s="3" t="str">
        <f t="shared" si="6"/>
        <v>Priority C</v>
      </c>
      <c r="W7">
        <f t="shared" si="7"/>
        <v>22740.45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t="s">
        <v>23</v>
      </c>
      <c r="AE7" t="s">
        <v>23</v>
      </c>
      <c r="AF7" t="s">
        <v>23</v>
      </c>
      <c r="AG7" t="s">
        <v>23</v>
      </c>
      <c r="AH7" t="s">
        <v>23</v>
      </c>
      <c r="AI7" t="s">
        <v>23</v>
      </c>
      <c r="AJ7" t="s">
        <v>23</v>
      </c>
    </row>
    <row r="8" spans="1:36" x14ac:dyDescent="0.35">
      <c r="A8" s="2">
        <v>1006</v>
      </c>
      <c r="B8" s="4">
        <v>45117</v>
      </c>
      <c r="C8" s="1" t="s">
        <v>41</v>
      </c>
      <c r="D8" s="1" t="s">
        <v>25</v>
      </c>
      <c r="E8">
        <v>345002</v>
      </c>
      <c r="F8">
        <v>45</v>
      </c>
      <c r="G8" s="1" t="s">
        <v>32</v>
      </c>
      <c r="H8">
        <v>21248</v>
      </c>
      <c r="I8">
        <v>31908</v>
      </c>
      <c r="J8" s="1" t="s">
        <v>33</v>
      </c>
      <c r="K8" s="3">
        <v>15</v>
      </c>
      <c r="L8" s="1" t="s">
        <v>40</v>
      </c>
      <c r="M8" s="1" t="s">
        <v>37</v>
      </c>
      <c r="N8" s="3">
        <v>2024010123</v>
      </c>
      <c r="O8" s="3">
        <f t="shared" si="0"/>
        <v>1.23</v>
      </c>
      <c r="P8" s="6">
        <f t="shared" si="1"/>
        <v>424352.46</v>
      </c>
      <c r="Q8" s="3" t="str">
        <f t="shared" si="8"/>
        <v>Excellent</v>
      </c>
      <c r="R8" s="3">
        <f t="shared" si="2"/>
        <v>10660</v>
      </c>
      <c r="S8" s="7">
        <f t="shared" si="3"/>
        <v>479700</v>
      </c>
      <c r="T8" s="3" t="str">
        <f t="shared" si="4"/>
        <v>High Profit</v>
      </c>
      <c r="U8" s="3" t="str">
        <f t="shared" si="5"/>
        <v>High Discount</v>
      </c>
      <c r="V8" s="3" t="str">
        <f t="shared" si="6"/>
        <v>Priority B</v>
      </c>
      <c r="W8">
        <f t="shared" si="7"/>
        <v>34500.200000000004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t="s">
        <v>23</v>
      </c>
      <c r="AE8" t="s">
        <v>23</v>
      </c>
      <c r="AF8" t="s">
        <v>23</v>
      </c>
      <c r="AG8" t="s">
        <v>23</v>
      </c>
      <c r="AH8" t="s">
        <v>23</v>
      </c>
      <c r="AI8" t="s">
        <v>23</v>
      </c>
      <c r="AJ8" t="s">
        <v>23</v>
      </c>
    </row>
    <row r="9" spans="1:36" x14ac:dyDescent="0.35">
      <c r="A9" s="2">
        <v>1007</v>
      </c>
      <c r="B9" s="4">
        <v>45238</v>
      </c>
      <c r="C9" s="1" t="s">
        <v>24</v>
      </c>
      <c r="D9" s="1" t="s">
        <v>31</v>
      </c>
      <c r="E9">
        <v>749229</v>
      </c>
      <c r="F9">
        <v>36</v>
      </c>
      <c r="G9" s="1" t="s">
        <v>26</v>
      </c>
      <c r="H9">
        <v>11925</v>
      </c>
      <c r="I9">
        <v>23569</v>
      </c>
      <c r="J9" s="1" t="s">
        <v>33</v>
      </c>
      <c r="K9" s="3">
        <v>27</v>
      </c>
      <c r="L9" s="1" t="s">
        <v>36</v>
      </c>
      <c r="M9" s="1" t="s">
        <v>29</v>
      </c>
      <c r="N9" s="3">
        <v>2024010123</v>
      </c>
      <c r="O9" s="3">
        <f t="shared" si="0"/>
        <v>1.23</v>
      </c>
      <c r="P9" s="6">
        <f t="shared" si="1"/>
        <v>921551.67</v>
      </c>
      <c r="Q9" s="3" t="str">
        <f t="shared" si="8"/>
        <v>Excellent</v>
      </c>
      <c r="R9" s="3">
        <f t="shared" si="2"/>
        <v>11644</v>
      </c>
      <c r="S9" s="7">
        <f t="shared" si="3"/>
        <v>419184</v>
      </c>
      <c r="T9" s="3" t="str">
        <f t="shared" si="4"/>
        <v>High Profit</v>
      </c>
      <c r="U9" s="3" t="str">
        <f t="shared" si="5"/>
        <v>High Discount</v>
      </c>
      <c r="V9" s="3" t="str">
        <f t="shared" si="6"/>
        <v>Priority C</v>
      </c>
      <c r="W9">
        <f t="shared" si="7"/>
        <v>74922.900000000009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t="s">
        <v>23</v>
      </c>
      <c r="AE9" t="s">
        <v>23</v>
      </c>
      <c r="AF9" t="s">
        <v>23</v>
      </c>
      <c r="AG9" t="s">
        <v>23</v>
      </c>
      <c r="AH9" t="s">
        <v>23</v>
      </c>
      <c r="AI9" t="s">
        <v>23</v>
      </c>
      <c r="AJ9" t="s">
        <v>23</v>
      </c>
    </row>
    <row r="10" spans="1:36" x14ac:dyDescent="0.35">
      <c r="A10" s="2">
        <v>1008</v>
      </c>
      <c r="B10" s="4">
        <v>45288</v>
      </c>
      <c r="C10" s="1" t="s">
        <v>41</v>
      </c>
      <c r="D10" s="1" t="s">
        <v>25</v>
      </c>
      <c r="E10">
        <v>834214</v>
      </c>
      <c r="F10">
        <v>12</v>
      </c>
      <c r="G10" s="1" t="s">
        <v>35</v>
      </c>
      <c r="H10">
        <v>21477</v>
      </c>
      <c r="I10">
        <v>30272</v>
      </c>
      <c r="J10" s="1" t="s">
        <v>33</v>
      </c>
      <c r="K10" s="3">
        <v>16</v>
      </c>
      <c r="L10" s="1" t="s">
        <v>40</v>
      </c>
      <c r="M10" s="1" t="s">
        <v>29</v>
      </c>
      <c r="N10" s="3">
        <v>2024010123</v>
      </c>
      <c r="O10" s="3">
        <f t="shared" si="0"/>
        <v>1.23</v>
      </c>
      <c r="P10" s="6">
        <f t="shared" si="1"/>
        <v>1026083.22</v>
      </c>
      <c r="Q10" s="3" t="str">
        <f t="shared" si="8"/>
        <v>Excellent</v>
      </c>
      <c r="R10" s="3">
        <f t="shared" si="2"/>
        <v>8795</v>
      </c>
      <c r="S10" s="7">
        <f t="shared" si="3"/>
        <v>105540</v>
      </c>
      <c r="T10" s="3" t="str">
        <f t="shared" si="4"/>
        <v>High Profit</v>
      </c>
      <c r="U10" s="3" t="str">
        <f t="shared" si="5"/>
        <v>High Discount</v>
      </c>
      <c r="V10" s="3" t="str">
        <f t="shared" si="6"/>
        <v>Priority D</v>
      </c>
      <c r="W10">
        <f t="shared" si="7"/>
        <v>83421.400000000009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t="s">
        <v>23</v>
      </c>
      <c r="AE10" t="s">
        <v>23</v>
      </c>
      <c r="AF10" t="s">
        <v>23</v>
      </c>
      <c r="AG10" t="s">
        <v>23</v>
      </c>
      <c r="AH10" t="s">
        <v>23</v>
      </c>
      <c r="AI10" t="s">
        <v>23</v>
      </c>
      <c r="AJ10" t="s">
        <v>23</v>
      </c>
    </row>
    <row r="11" spans="1:36" x14ac:dyDescent="0.35">
      <c r="A11" s="2">
        <v>1009</v>
      </c>
      <c r="B11" s="4">
        <v>45244</v>
      </c>
      <c r="C11" s="1" t="s">
        <v>30</v>
      </c>
      <c r="D11" s="1" t="s">
        <v>42</v>
      </c>
      <c r="E11">
        <v>110814</v>
      </c>
      <c r="F11">
        <v>18</v>
      </c>
      <c r="G11" s="1" t="s">
        <v>35</v>
      </c>
      <c r="H11">
        <v>15921</v>
      </c>
      <c r="I11">
        <v>25449</v>
      </c>
      <c r="J11" s="1" t="s">
        <v>27</v>
      </c>
      <c r="K11" s="3">
        <v>21</v>
      </c>
      <c r="L11" s="1" t="s">
        <v>40</v>
      </c>
      <c r="M11" s="1" t="s">
        <v>29</v>
      </c>
      <c r="N11" s="3">
        <v>2024010123</v>
      </c>
      <c r="O11" s="3">
        <f t="shared" si="0"/>
        <v>1.23</v>
      </c>
      <c r="P11" s="6">
        <f t="shared" si="1"/>
        <v>136301.22</v>
      </c>
      <c r="Q11" s="3" t="str">
        <f t="shared" si="8"/>
        <v>Excellent</v>
      </c>
      <c r="R11" s="3">
        <f t="shared" si="2"/>
        <v>9528</v>
      </c>
      <c r="S11" s="7">
        <f t="shared" si="3"/>
        <v>171504</v>
      </c>
      <c r="T11" s="3" t="str">
        <f t="shared" si="4"/>
        <v>High Profit</v>
      </c>
      <c r="U11" s="3" t="str">
        <f t="shared" si="5"/>
        <v>High Discount</v>
      </c>
      <c r="V11" s="3" t="str">
        <f t="shared" si="6"/>
        <v>Priority C</v>
      </c>
      <c r="W11">
        <f t="shared" si="7"/>
        <v>16622.099999999999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t="s">
        <v>23</v>
      </c>
      <c r="AE11" t="s">
        <v>23</v>
      </c>
      <c r="AF11" t="s">
        <v>23</v>
      </c>
      <c r="AG11" t="s">
        <v>23</v>
      </c>
      <c r="AH11" t="s">
        <v>23</v>
      </c>
      <c r="AI11" t="s">
        <v>23</v>
      </c>
      <c r="AJ11" t="s">
        <v>23</v>
      </c>
    </row>
    <row r="12" spans="1:36" x14ac:dyDescent="0.35">
      <c r="A12" s="2">
        <v>1010</v>
      </c>
      <c r="B12" s="4">
        <v>45257</v>
      </c>
      <c r="C12" s="1" t="s">
        <v>41</v>
      </c>
      <c r="D12" s="1" t="s">
        <v>31</v>
      </c>
      <c r="E12">
        <v>557234</v>
      </c>
      <c r="F12">
        <v>18</v>
      </c>
      <c r="G12" s="1" t="s">
        <v>39</v>
      </c>
      <c r="H12">
        <v>44157</v>
      </c>
      <c r="I12">
        <v>47730</v>
      </c>
      <c r="J12" s="1" t="s">
        <v>27</v>
      </c>
      <c r="K12" s="3">
        <v>0</v>
      </c>
      <c r="L12" s="1" t="s">
        <v>36</v>
      </c>
      <c r="M12" s="1" t="s">
        <v>37</v>
      </c>
      <c r="N12" s="3">
        <v>2024010123</v>
      </c>
      <c r="O12" s="3">
        <f t="shared" si="0"/>
        <v>1.23</v>
      </c>
      <c r="P12" s="6">
        <f t="shared" si="1"/>
        <v>685397.82</v>
      </c>
      <c r="Q12" s="3" t="str">
        <f t="shared" si="8"/>
        <v>Excellent</v>
      </c>
      <c r="R12" s="3">
        <f t="shared" si="2"/>
        <v>3573</v>
      </c>
      <c r="S12" s="7">
        <f t="shared" si="3"/>
        <v>64314</v>
      </c>
      <c r="T12" s="3" t="str">
        <f t="shared" si="4"/>
        <v>High Profit</v>
      </c>
      <c r="U12" s="3" t="str">
        <f t="shared" si="5"/>
        <v>No Discount</v>
      </c>
      <c r="V12" s="3" t="str">
        <f t="shared" si="6"/>
        <v>Priority C</v>
      </c>
      <c r="W12">
        <f t="shared" si="7"/>
        <v>83585.099999999991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t="s">
        <v>23</v>
      </c>
      <c r="AE12" t="s">
        <v>23</v>
      </c>
      <c r="AF12" t="s">
        <v>23</v>
      </c>
      <c r="AG12" t="s">
        <v>23</v>
      </c>
      <c r="AH12" t="s">
        <v>23</v>
      </c>
      <c r="AI12" t="s">
        <v>23</v>
      </c>
      <c r="AJ12" t="s">
        <v>23</v>
      </c>
    </row>
    <row r="13" spans="1:36" x14ac:dyDescent="0.35">
      <c r="A13" s="2">
        <v>1011</v>
      </c>
      <c r="B13" s="4">
        <v>45269</v>
      </c>
      <c r="C13" s="1" t="s">
        <v>38</v>
      </c>
      <c r="D13" s="1" t="s">
        <v>31</v>
      </c>
      <c r="E13">
        <v>862881</v>
      </c>
      <c r="F13">
        <v>18</v>
      </c>
      <c r="G13" s="1" t="s">
        <v>39</v>
      </c>
      <c r="H13">
        <v>32571</v>
      </c>
      <c r="I13">
        <v>37248</v>
      </c>
      <c r="J13" s="1" t="s">
        <v>33</v>
      </c>
      <c r="K13" s="3">
        <v>1</v>
      </c>
      <c r="L13" s="1" t="s">
        <v>40</v>
      </c>
      <c r="M13" s="1" t="s">
        <v>29</v>
      </c>
      <c r="N13" s="3">
        <v>2024010123</v>
      </c>
      <c r="O13" s="3">
        <f t="shared" si="0"/>
        <v>1.23</v>
      </c>
      <c r="P13" s="6">
        <f t="shared" si="1"/>
        <v>1061343.6299999999</v>
      </c>
      <c r="Q13" s="3" t="str">
        <f t="shared" si="8"/>
        <v>Excellent</v>
      </c>
      <c r="R13" s="3">
        <f t="shared" si="2"/>
        <v>4677</v>
      </c>
      <c r="S13" s="7">
        <f t="shared" si="3"/>
        <v>84186</v>
      </c>
      <c r="T13" s="3" t="str">
        <f t="shared" si="4"/>
        <v>High Profit</v>
      </c>
      <c r="U13" s="3" t="str">
        <f t="shared" si="5"/>
        <v>Low Discount</v>
      </c>
      <c r="V13" s="3" t="str">
        <f t="shared" si="6"/>
        <v>Priority C</v>
      </c>
      <c r="W13">
        <f t="shared" si="7"/>
        <v>86288.1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t="s">
        <v>23</v>
      </c>
      <c r="AE13" t="s">
        <v>23</v>
      </c>
      <c r="AF13" t="s">
        <v>23</v>
      </c>
      <c r="AG13" t="s">
        <v>23</v>
      </c>
      <c r="AH13" t="s">
        <v>23</v>
      </c>
      <c r="AI13" t="s">
        <v>23</v>
      </c>
      <c r="AJ13" t="s">
        <v>23</v>
      </c>
    </row>
    <row r="14" spans="1:36" x14ac:dyDescent="0.35">
      <c r="A14" s="2">
        <v>1012</v>
      </c>
      <c r="B14" s="4">
        <v>45257</v>
      </c>
      <c r="C14" s="1" t="s">
        <v>38</v>
      </c>
      <c r="D14" s="1" t="s">
        <v>43</v>
      </c>
      <c r="E14">
        <v>821932</v>
      </c>
      <c r="F14">
        <v>8</v>
      </c>
      <c r="G14" s="1" t="s">
        <v>35</v>
      </c>
      <c r="H14">
        <v>19083</v>
      </c>
      <c r="I14">
        <v>24708</v>
      </c>
      <c r="J14" s="1" t="s">
        <v>33</v>
      </c>
      <c r="K14" s="3">
        <v>1</v>
      </c>
      <c r="L14" s="1" t="s">
        <v>40</v>
      </c>
      <c r="M14" s="1" t="s">
        <v>37</v>
      </c>
      <c r="N14" s="3">
        <v>2024010123</v>
      </c>
      <c r="O14" s="3">
        <f t="shared" si="0"/>
        <v>1.23</v>
      </c>
      <c r="P14" s="6">
        <f t="shared" si="1"/>
        <v>1010976.36</v>
      </c>
      <c r="Q14" s="3" t="str">
        <f t="shared" si="8"/>
        <v>Excellent</v>
      </c>
      <c r="R14" s="3">
        <f t="shared" si="2"/>
        <v>5625</v>
      </c>
      <c r="S14" s="7">
        <f t="shared" si="3"/>
        <v>45000</v>
      </c>
      <c r="T14" s="3" t="str">
        <f t="shared" si="4"/>
        <v>High Profit</v>
      </c>
      <c r="U14" s="3" t="str">
        <f t="shared" si="5"/>
        <v>Low Discount</v>
      </c>
      <c r="V14" s="3" t="str">
        <f t="shared" si="6"/>
        <v>Priority C</v>
      </c>
      <c r="W14">
        <f t="shared" si="7"/>
        <v>82193.200000000012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t="s">
        <v>23</v>
      </c>
      <c r="AE14" t="s">
        <v>23</v>
      </c>
      <c r="AF14" t="s">
        <v>23</v>
      </c>
      <c r="AG14" t="s">
        <v>23</v>
      </c>
      <c r="AH14" t="s">
        <v>23</v>
      </c>
      <c r="AI14" t="s">
        <v>23</v>
      </c>
      <c r="AJ14" t="s">
        <v>23</v>
      </c>
    </row>
    <row r="15" spans="1:36" x14ac:dyDescent="0.35">
      <c r="A15" s="2">
        <v>1013</v>
      </c>
      <c r="B15" s="4">
        <v>45194</v>
      </c>
      <c r="C15" s="1" t="s">
        <v>38</v>
      </c>
      <c r="D15" s="1" t="s">
        <v>25</v>
      </c>
      <c r="E15">
        <v>637008</v>
      </c>
      <c r="F15">
        <v>8</v>
      </c>
      <c r="G15" s="1" t="s">
        <v>39</v>
      </c>
      <c r="H15">
        <v>28713</v>
      </c>
      <c r="I15">
        <v>36273</v>
      </c>
      <c r="J15" s="1" t="s">
        <v>33</v>
      </c>
      <c r="K15" s="3">
        <v>9</v>
      </c>
      <c r="L15" s="1" t="s">
        <v>40</v>
      </c>
      <c r="M15" s="1" t="s">
        <v>29</v>
      </c>
      <c r="N15" s="3">
        <v>2024010123</v>
      </c>
      <c r="O15" s="3">
        <f t="shared" si="0"/>
        <v>1.23</v>
      </c>
      <c r="P15" s="6">
        <f t="shared" si="1"/>
        <v>783519.84</v>
      </c>
      <c r="Q15" s="3" t="str">
        <f t="shared" si="8"/>
        <v>Excellent</v>
      </c>
      <c r="R15" s="3">
        <f t="shared" si="2"/>
        <v>7560</v>
      </c>
      <c r="S15" s="7">
        <f t="shared" si="3"/>
        <v>60480</v>
      </c>
      <c r="T15" s="3" t="str">
        <f t="shared" si="4"/>
        <v>High Profit</v>
      </c>
      <c r="U15" s="3" t="str">
        <f t="shared" si="5"/>
        <v>Medium Discount</v>
      </c>
      <c r="V15" s="3" t="str">
        <f t="shared" si="6"/>
        <v>Priority D</v>
      </c>
      <c r="W15">
        <f t="shared" si="7"/>
        <v>63700.800000000003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t="s">
        <v>23</v>
      </c>
      <c r="AE15" t="s">
        <v>23</v>
      </c>
      <c r="AF15" t="s">
        <v>23</v>
      </c>
      <c r="AG15" t="s">
        <v>23</v>
      </c>
      <c r="AH15" t="s">
        <v>23</v>
      </c>
      <c r="AI15" t="s">
        <v>23</v>
      </c>
      <c r="AJ15" t="s">
        <v>23</v>
      </c>
    </row>
    <row r="16" spans="1:36" x14ac:dyDescent="0.35">
      <c r="A16" s="2">
        <v>1014</v>
      </c>
      <c r="B16" s="4">
        <v>45176</v>
      </c>
      <c r="C16" s="1" t="s">
        <v>30</v>
      </c>
      <c r="D16" s="1" t="s">
        <v>25</v>
      </c>
      <c r="E16">
        <v>546658</v>
      </c>
      <c r="F16">
        <v>18</v>
      </c>
      <c r="G16" s="1" t="s">
        <v>35</v>
      </c>
      <c r="H16">
        <v>19852</v>
      </c>
      <c r="I16">
        <v>24855</v>
      </c>
      <c r="J16" s="1" t="s">
        <v>27</v>
      </c>
      <c r="K16" s="3">
        <v>6</v>
      </c>
      <c r="L16" s="1" t="s">
        <v>40</v>
      </c>
      <c r="M16" s="1" t="s">
        <v>29</v>
      </c>
      <c r="N16" s="3">
        <v>2024010123</v>
      </c>
      <c r="O16" s="3">
        <f t="shared" si="0"/>
        <v>1.23</v>
      </c>
      <c r="P16" s="6">
        <f t="shared" si="1"/>
        <v>672389.34</v>
      </c>
      <c r="Q16" s="3" t="str">
        <f t="shared" si="8"/>
        <v>Excellent</v>
      </c>
      <c r="R16" s="3">
        <f t="shared" si="2"/>
        <v>5003</v>
      </c>
      <c r="S16" s="7">
        <f t="shared" si="3"/>
        <v>90054</v>
      </c>
      <c r="T16" s="3" t="str">
        <f t="shared" si="4"/>
        <v>High Profit</v>
      </c>
      <c r="U16" s="3" t="str">
        <f t="shared" si="5"/>
        <v>Medium Discount</v>
      </c>
      <c r="V16" s="3" t="str">
        <f t="shared" si="6"/>
        <v>Priority C</v>
      </c>
      <c r="W16">
        <f t="shared" si="7"/>
        <v>81998.7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t="s">
        <v>23</v>
      </c>
      <c r="AE16" t="s">
        <v>23</v>
      </c>
      <c r="AF16" t="s">
        <v>23</v>
      </c>
      <c r="AG16" t="s">
        <v>23</v>
      </c>
      <c r="AH16" t="s">
        <v>23</v>
      </c>
      <c r="AI16" t="s">
        <v>23</v>
      </c>
      <c r="AJ16" t="s">
        <v>23</v>
      </c>
    </row>
    <row r="17" spans="1:36" x14ac:dyDescent="0.35">
      <c r="A17" s="2">
        <v>1015</v>
      </c>
      <c r="B17" s="4">
        <v>45186</v>
      </c>
      <c r="C17" s="1" t="s">
        <v>34</v>
      </c>
      <c r="D17" s="1" t="s">
        <v>43</v>
      </c>
      <c r="E17">
        <v>380867</v>
      </c>
      <c r="F17">
        <v>8</v>
      </c>
      <c r="G17" s="1" t="s">
        <v>35</v>
      </c>
      <c r="H17">
        <v>40158</v>
      </c>
      <c r="I17">
        <v>44084</v>
      </c>
      <c r="J17" s="1" t="s">
        <v>33</v>
      </c>
      <c r="K17" s="3">
        <v>9</v>
      </c>
      <c r="L17" s="1" t="s">
        <v>36</v>
      </c>
      <c r="M17" s="1" t="s">
        <v>29</v>
      </c>
      <c r="N17" s="3">
        <v>2024010123</v>
      </c>
      <c r="O17" s="3">
        <f t="shared" si="0"/>
        <v>1.23</v>
      </c>
      <c r="P17" s="6">
        <f t="shared" si="1"/>
        <v>468466.41</v>
      </c>
      <c r="Q17" s="3" t="str">
        <f t="shared" si="8"/>
        <v>Excellent</v>
      </c>
      <c r="R17" s="3">
        <f t="shared" si="2"/>
        <v>3926</v>
      </c>
      <c r="S17" s="7">
        <f t="shared" si="3"/>
        <v>31408</v>
      </c>
      <c r="T17" s="3" t="str">
        <f t="shared" si="4"/>
        <v>High Profit</v>
      </c>
      <c r="U17" s="3" t="str">
        <f t="shared" si="5"/>
        <v>Medium Discount</v>
      </c>
      <c r="V17" s="3" t="str">
        <f t="shared" si="6"/>
        <v>Priority D</v>
      </c>
      <c r="W17">
        <f t="shared" si="7"/>
        <v>38086.700000000004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t="s">
        <v>23</v>
      </c>
      <c r="AE17" t="s">
        <v>23</v>
      </c>
      <c r="AF17" t="s">
        <v>23</v>
      </c>
      <c r="AG17" t="s">
        <v>23</v>
      </c>
      <c r="AH17" t="s">
        <v>23</v>
      </c>
      <c r="AI17" t="s">
        <v>23</v>
      </c>
      <c r="AJ17" t="s">
        <v>23</v>
      </c>
    </row>
    <row r="18" spans="1:36" x14ac:dyDescent="0.35">
      <c r="A18" s="2">
        <v>1016</v>
      </c>
      <c r="B18" s="4">
        <v>45165</v>
      </c>
      <c r="C18" s="1" t="s">
        <v>34</v>
      </c>
      <c r="D18" s="1" t="s">
        <v>42</v>
      </c>
      <c r="E18">
        <v>963399</v>
      </c>
      <c r="F18">
        <v>18</v>
      </c>
      <c r="G18" s="1" t="s">
        <v>35</v>
      </c>
      <c r="H18">
        <v>21575</v>
      </c>
      <c r="I18">
        <v>28580</v>
      </c>
      <c r="J18" s="1" t="s">
        <v>27</v>
      </c>
      <c r="K18" s="3">
        <v>25</v>
      </c>
      <c r="L18" s="1" t="s">
        <v>36</v>
      </c>
      <c r="M18" s="1" t="s">
        <v>29</v>
      </c>
      <c r="N18" s="3">
        <v>2024010123</v>
      </c>
      <c r="O18" s="3">
        <f t="shared" si="0"/>
        <v>1.23</v>
      </c>
      <c r="P18" s="6">
        <f t="shared" si="1"/>
        <v>1184980.77</v>
      </c>
      <c r="Q18" s="3" t="str">
        <f t="shared" si="8"/>
        <v>Excellent</v>
      </c>
      <c r="R18" s="3">
        <f t="shared" si="2"/>
        <v>7005</v>
      </c>
      <c r="S18" s="7">
        <f t="shared" si="3"/>
        <v>126090</v>
      </c>
      <c r="T18" s="3" t="str">
        <f t="shared" si="4"/>
        <v>High Profit</v>
      </c>
      <c r="U18" s="3" t="str">
        <f t="shared" si="5"/>
        <v>High Discount</v>
      </c>
      <c r="V18" s="3" t="str">
        <f t="shared" si="6"/>
        <v>Priority C</v>
      </c>
      <c r="W18">
        <f t="shared" si="7"/>
        <v>144509.85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t="s">
        <v>23</v>
      </c>
      <c r="AE18" t="s">
        <v>23</v>
      </c>
      <c r="AF18" t="s">
        <v>23</v>
      </c>
      <c r="AG18" t="s">
        <v>23</v>
      </c>
      <c r="AH18" t="s">
        <v>23</v>
      </c>
      <c r="AI18" t="s">
        <v>23</v>
      </c>
      <c r="AJ18" t="s">
        <v>23</v>
      </c>
    </row>
    <row r="19" spans="1:36" x14ac:dyDescent="0.35">
      <c r="A19" s="2">
        <v>1017</v>
      </c>
      <c r="B19" s="4">
        <v>45149</v>
      </c>
      <c r="C19" s="1" t="s">
        <v>41</v>
      </c>
      <c r="D19" s="1" t="s">
        <v>42</v>
      </c>
      <c r="E19">
        <v>957894</v>
      </c>
      <c r="F19">
        <v>18</v>
      </c>
      <c r="G19" s="1" t="s">
        <v>32</v>
      </c>
      <c r="H19">
        <v>35047</v>
      </c>
      <c r="I19">
        <v>42908</v>
      </c>
      <c r="J19" s="1" t="s">
        <v>33</v>
      </c>
      <c r="K19" s="3">
        <v>28</v>
      </c>
      <c r="L19" s="1" t="s">
        <v>28</v>
      </c>
      <c r="M19" s="1" t="s">
        <v>37</v>
      </c>
      <c r="N19" s="3">
        <v>2024010123</v>
      </c>
      <c r="O19" s="3">
        <f t="shared" si="0"/>
        <v>1.23</v>
      </c>
      <c r="P19" s="6">
        <f t="shared" si="1"/>
        <v>1178209.6199999999</v>
      </c>
      <c r="Q19" s="3" t="str">
        <f t="shared" si="8"/>
        <v>Excellent</v>
      </c>
      <c r="R19" s="3">
        <f t="shared" si="2"/>
        <v>7861</v>
      </c>
      <c r="S19" s="7">
        <f t="shared" si="3"/>
        <v>141498</v>
      </c>
      <c r="T19" s="3" t="str">
        <f t="shared" si="4"/>
        <v>High Profit</v>
      </c>
      <c r="U19" s="3" t="str">
        <f t="shared" si="5"/>
        <v>High Discount</v>
      </c>
      <c r="V19" s="3" t="str">
        <f t="shared" si="6"/>
        <v>Priority C</v>
      </c>
      <c r="W19">
        <f t="shared" si="7"/>
        <v>95789.400000000009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t="s">
        <v>23</v>
      </c>
      <c r="AE19" t="s">
        <v>23</v>
      </c>
      <c r="AF19" t="s">
        <v>23</v>
      </c>
      <c r="AG19" t="s">
        <v>23</v>
      </c>
      <c r="AH19" t="s">
        <v>23</v>
      </c>
      <c r="AI19" t="s">
        <v>23</v>
      </c>
      <c r="AJ19" t="s">
        <v>23</v>
      </c>
    </row>
    <row r="20" spans="1:36" x14ac:dyDescent="0.35">
      <c r="A20" s="2">
        <v>1018</v>
      </c>
      <c r="B20" s="4">
        <v>44943</v>
      </c>
      <c r="C20" s="1" t="s">
        <v>38</v>
      </c>
      <c r="D20" s="1" t="s">
        <v>43</v>
      </c>
      <c r="E20">
        <v>378723</v>
      </c>
      <c r="F20">
        <v>18</v>
      </c>
      <c r="G20" s="1" t="s">
        <v>32</v>
      </c>
      <c r="H20">
        <v>16841</v>
      </c>
      <c r="I20">
        <v>23795</v>
      </c>
      <c r="J20" s="1" t="s">
        <v>33</v>
      </c>
      <c r="K20" s="3">
        <v>16</v>
      </c>
      <c r="L20" s="1" t="s">
        <v>36</v>
      </c>
      <c r="M20" s="1" t="s">
        <v>29</v>
      </c>
      <c r="N20" s="3">
        <v>2024010123</v>
      </c>
      <c r="O20" s="3">
        <f t="shared" si="0"/>
        <v>1.23</v>
      </c>
      <c r="P20" s="6">
        <f t="shared" si="1"/>
        <v>465829.29</v>
      </c>
      <c r="Q20" s="3" t="str">
        <f t="shared" si="8"/>
        <v>Excellent</v>
      </c>
      <c r="R20" s="3">
        <f t="shared" si="2"/>
        <v>6954</v>
      </c>
      <c r="S20" s="7">
        <f t="shared" si="3"/>
        <v>125172</v>
      </c>
      <c r="T20" s="3" t="str">
        <f t="shared" si="4"/>
        <v>High Profit</v>
      </c>
      <c r="U20" s="3" t="str">
        <f t="shared" si="5"/>
        <v>High Discount</v>
      </c>
      <c r="V20" s="3" t="str">
        <f t="shared" si="6"/>
        <v>Priority C</v>
      </c>
      <c r="W20">
        <f t="shared" si="7"/>
        <v>37872.300000000003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t="s">
        <v>23</v>
      </c>
      <c r="AE20" t="s">
        <v>23</v>
      </c>
      <c r="AF20" t="s">
        <v>23</v>
      </c>
      <c r="AG20" t="s">
        <v>23</v>
      </c>
      <c r="AH20" t="s">
        <v>23</v>
      </c>
      <c r="AI20" t="s">
        <v>23</v>
      </c>
      <c r="AJ20" t="s">
        <v>23</v>
      </c>
    </row>
    <row r="21" spans="1:36" x14ac:dyDescent="0.35">
      <c r="A21" s="2">
        <v>1019</v>
      </c>
      <c r="B21" s="4">
        <v>45179</v>
      </c>
      <c r="C21" s="1" t="s">
        <v>41</v>
      </c>
      <c r="D21" s="1" t="s">
        <v>25</v>
      </c>
      <c r="E21">
        <v>155622</v>
      </c>
      <c r="F21">
        <v>8</v>
      </c>
      <c r="G21" s="1" t="s">
        <v>32</v>
      </c>
      <c r="H21">
        <v>34714</v>
      </c>
      <c r="I21">
        <v>40966</v>
      </c>
      <c r="J21" s="1" t="s">
        <v>27</v>
      </c>
      <c r="K21" s="3">
        <v>23</v>
      </c>
      <c r="L21" s="1" t="s">
        <v>40</v>
      </c>
      <c r="M21" s="1" t="s">
        <v>29</v>
      </c>
      <c r="N21" s="3">
        <v>2024010123</v>
      </c>
      <c r="O21" s="3">
        <f t="shared" si="0"/>
        <v>1.23</v>
      </c>
      <c r="P21" s="6">
        <f t="shared" si="1"/>
        <v>191415.06</v>
      </c>
      <c r="Q21" s="3" t="str">
        <f t="shared" si="8"/>
        <v>Excellent</v>
      </c>
      <c r="R21" s="3">
        <f t="shared" si="2"/>
        <v>6252</v>
      </c>
      <c r="S21" s="7">
        <f t="shared" si="3"/>
        <v>50016</v>
      </c>
      <c r="T21" s="3" t="str">
        <f t="shared" si="4"/>
        <v>High Profit</v>
      </c>
      <c r="U21" s="3" t="str">
        <f t="shared" si="5"/>
        <v>High Discount</v>
      </c>
      <c r="V21" s="3" t="str">
        <f t="shared" si="6"/>
        <v>Priority D</v>
      </c>
      <c r="W21">
        <f t="shared" si="7"/>
        <v>23343.3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t="s">
        <v>23</v>
      </c>
      <c r="AE21" t="s">
        <v>23</v>
      </c>
      <c r="AF21" t="s">
        <v>23</v>
      </c>
      <c r="AG21" t="s">
        <v>23</v>
      </c>
      <c r="AH21" t="s">
        <v>23</v>
      </c>
      <c r="AI21" t="s">
        <v>23</v>
      </c>
      <c r="AJ21" t="s">
        <v>23</v>
      </c>
    </row>
    <row r="22" spans="1:36" x14ac:dyDescent="0.35">
      <c r="A22" s="2">
        <v>1020</v>
      </c>
      <c r="B22" s="4">
        <v>45194</v>
      </c>
      <c r="C22" s="1" t="s">
        <v>24</v>
      </c>
      <c r="D22" s="1" t="s">
        <v>31</v>
      </c>
      <c r="E22">
        <v>253639</v>
      </c>
      <c r="F22">
        <v>12</v>
      </c>
      <c r="G22" s="1" t="s">
        <v>35</v>
      </c>
      <c r="H22">
        <v>27320</v>
      </c>
      <c r="I22">
        <v>31921</v>
      </c>
      <c r="J22" s="1" t="s">
        <v>33</v>
      </c>
      <c r="K22" s="3">
        <v>0</v>
      </c>
      <c r="L22" s="1" t="s">
        <v>36</v>
      </c>
      <c r="M22" s="1" t="s">
        <v>37</v>
      </c>
      <c r="N22" s="3">
        <v>2024010123</v>
      </c>
      <c r="O22" s="3">
        <f t="shared" si="0"/>
        <v>1.23</v>
      </c>
      <c r="P22" s="6">
        <f t="shared" si="1"/>
        <v>311975.96999999997</v>
      </c>
      <c r="Q22" s="3" t="str">
        <f t="shared" si="8"/>
        <v>Excellent</v>
      </c>
      <c r="R22" s="3">
        <f t="shared" si="2"/>
        <v>4601</v>
      </c>
      <c r="S22" s="7">
        <f t="shared" si="3"/>
        <v>55212</v>
      </c>
      <c r="T22" s="3" t="str">
        <f t="shared" si="4"/>
        <v>High Profit</v>
      </c>
      <c r="U22" s="3" t="str">
        <f t="shared" si="5"/>
        <v>No Discount</v>
      </c>
      <c r="V22" s="3" t="str">
        <f t="shared" si="6"/>
        <v>Priority C</v>
      </c>
      <c r="W22">
        <f t="shared" si="7"/>
        <v>25363.9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t="s">
        <v>23</v>
      </c>
      <c r="AE22" t="s">
        <v>23</v>
      </c>
      <c r="AF22" t="s">
        <v>23</v>
      </c>
      <c r="AG22" t="s">
        <v>23</v>
      </c>
      <c r="AH22" t="s">
        <v>23</v>
      </c>
      <c r="AI22" t="s">
        <v>23</v>
      </c>
      <c r="AJ22" t="s">
        <v>23</v>
      </c>
    </row>
    <row r="23" spans="1:36" x14ac:dyDescent="0.35">
      <c r="A23" s="2">
        <v>1021</v>
      </c>
      <c r="B23" s="4">
        <v>45160</v>
      </c>
      <c r="C23" s="1" t="s">
        <v>41</v>
      </c>
      <c r="D23" s="1" t="s">
        <v>42</v>
      </c>
      <c r="E23">
        <v>400744</v>
      </c>
      <c r="F23">
        <v>12</v>
      </c>
      <c r="G23" s="1" t="s">
        <v>39</v>
      </c>
      <c r="H23">
        <v>31388</v>
      </c>
      <c r="I23">
        <v>36263</v>
      </c>
      <c r="J23" s="1" t="s">
        <v>27</v>
      </c>
      <c r="K23" s="3">
        <v>3</v>
      </c>
      <c r="L23" s="1" t="s">
        <v>40</v>
      </c>
      <c r="M23" s="1" t="s">
        <v>37</v>
      </c>
      <c r="N23" s="3">
        <v>2024010123</v>
      </c>
      <c r="O23" s="3">
        <f t="shared" si="0"/>
        <v>1.23</v>
      </c>
      <c r="P23" s="6">
        <f t="shared" si="1"/>
        <v>492915.12</v>
      </c>
      <c r="Q23" s="3" t="str">
        <f t="shared" si="8"/>
        <v>Excellent</v>
      </c>
      <c r="R23" s="3">
        <f t="shared" si="2"/>
        <v>4875</v>
      </c>
      <c r="S23" s="7">
        <f t="shared" si="3"/>
        <v>58500</v>
      </c>
      <c r="T23" s="3" t="str">
        <f t="shared" si="4"/>
        <v>High Profit</v>
      </c>
      <c r="U23" s="3" t="str">
        <f t="shared" si="5"/>
        <v>Low Discount</v>
      </c>
      <c r="V23" s="3" t="str">
        <f t="shared" si="6"/>
        <v>Priority C</v>
      </c>
      <c r="W23">
        <f t="shared" si="7"/>
        <v>60111.6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 t="s">
        <v>23</v>
      </c>
      <c r="AE23" t="s">
        <v>23</v>
      </c>
      <c r="AF23" t="s">
        <v>23</v>
      </c>
      <c r="AG23" t="s">
        <v>23</v>
      </c>
      <c r="AH23" t="s">
        <v>23</v>
      </c>
      <c r="AI23" t="s">
        <v>23</v>
      </c>
      <c r="AJ23" t="s">
        <v>23</v>
      </c>
    </row>
    <row r="24" spans="1:36" x14ac:dyDescent="0.35">
      <c r="A24" s="2">
        <v>1022</v>
      </c>
      <c r="B24" s="4">
        <v>45130</v>
      </c>
      <c r="C24" s="1" t="s">
        <v>38</v>
      </c>
      <c r="D24" s="1" t="s">
        <v>25</v>
      </c>
      <c r="E24">
        <v>282981</v>
      </c>
      <c r="F24">
        <v>12</v>
      </c>
      <c r="G24" s="1" t="s">
        <v>35</v>
      </c>
      <c r="H24">
        <v>52661</v>
      </c>
      <c r="I24">
        <v>57217</v>
      </c>
      <c r="J24" s="1" t="s">
        <v>27</v>
      </c>
      <c r="K24" s="3">
        <v>3</v>
      </c>
      <c r="L24" s="1" t="s">
        <v>40</v>
      </c>
      <c r="M24" s="1" t="s">
        <v>37</v>
      </c>
      <c r="N24" s="3">
        <v>2024010123</v>
      </c>
      <c r="O24" s="3">
        <f t="shared" si="0"/>
        <v>1.23</v>
      </c>
      <c r="P24" s="6">
        <f t="shared" si="1"/>
        <v>348066.63</v>
      </c>
      <c r="Q24" s="3" t="str">
        <f t="shared" si="8"/>
        <v>Excellent</v>
      </c>
      <c r="R24" s="3">
        <f t="shared" si="2"/>
        <v>4556</v>
      </c>
      <c r="S24" s="7">
        <f t="shared" si="3"/>
        <v>54672</v>
      </c>
      <c r="T24" s="3" t="str">
        <f t="shared" si="4"/>
        <v>High Profit</v>
      </c>
      <c r="U24" s="3" t="str">
        <f t="shared" si="5"/>
        <v>Low Discount</v>
      </c>
      <c r="V24" s="3" t="str">
        <f t="shared" si="6"/>
        <v>Priority C</v>
      </c>
      <c r="W24">
        <f t="shared" si="7"/>
        <v>42447.15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t="s">
        <v>23</v>
      </c>
      <c r="AE24" t="s">
        <v>23</v>
      </c>
      <c r="AF24" t="s">
        <v>23</v>
      </c>
      <c r="AG24" t="s">
        <v>23</v>
      </c>
      <c r="AH24" t="s">
        <v>23</v>
      </c>
      <c r="AI24" t="s">
        <v>23</v>
      </c>
      <c r="AJ24" t="s">
        <v>23</v>
      </c>
    </row>
    <row r="25" spans="1:36" x14ac:dyDescent="0.35">
      <c r="A25" s="2">
        <v>1023</v>
      </c>
      <c r="B25" s="4">
        <v>45030</v>
      </c>
      <c r="C25" s="1" t="s">
        <v>34</v>
      </c>
      <c r="D25" s="1" t="s">
        <v>25</v>
      </c>
      <c r="E25">
        <v>151984</v>
      </c>
      <c r="F25">
        <v>12</v>
      </c>
      <c r="G25" s="1" t="s">
        <v>35</v>
      </c>
      <c r="H25">
        <v>49480</v>
      </c>
      <c r="I25">
        <v>52615</v>
      </c>
      <c r="J25" s="1" t="s">
        <v>33</v>
      </c>
      <c r="K25" s="3">
        <v>12</v>
      </c>
      <c r="L25" s="1" t="s">
        <v>28</v>
      </c>
      <c r="M25" s="1" t="s">
        <v>37</v>
      </c>
      <c r="N25" s="3">
        <v>2024010123</v>
      </c>
      <c r="O25" s="3">
        <f t="shared" si="0"/>
        <v>1.23</v>
      </c>
      <c r="P25" s="6">
        <f t="shared" si="1"/>
        <v>186940.32</v>
      </c>
      <c r="Q25" s="3" t="str">
        <f t="shared" si="8"/>
        <v>Excellent</v>
      </c>
      <c r="R25" s="3">
        <f t="shared" si="2"/>
        <v>3135</v>
      </c>
      <c r="S25" s="7">
        <f t="shared" si="3"/>
        <v>37620</v>
      </c>
      <c r="T25" s="3" t="str">
        <f t="shared" si="4"/>
        <v>High Profit</v>
      </c>
      <c r="U25" s="3" t="str">
        <f t="shared" si="5"/>
        <v>Medium Discount</v>
      </c>
      <c r="V25" s="3" t="str">
        <f t="shared" si="6"/>
        <v>Priority C</v>
      </c>
      <c r="W25">
        <f t="shared" si="7"/>
        <v>15198.400000000001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t="s">
        <v>23</v>
      </c>
      <c r="AE25" t="s">
        <v>23</v>
      </c>
      <c r="AF25" t="s">
        <v>23</v>
      </c>
      <c r="AG25" t="s">
        <v>23</v>
      </c>
      <c r="AH25" t="s">
        <v>23</v>
      </c>
      <c r="AI25" t="s">
        <v>23</v>
      </c>
      <c r="AJ25" t="s">
        <v>23</v>
      </c>
    </row>
    <row r="26" spans="1:36" x14ac:dyDescent="0.35">
      <c r="A26" s="2">
        <v>1024</v>
      </c>
      <c r="B26" s="4">
        <v>45216</v>
      </c>
      <c r="C26" s="1" t="s">
        <v>41</v>
      </c>
      <c r="D26" s="1" t="s">
        <v>25</v>
      </c>
      <c r="E26">
        <v>830700</v>
      </c>
      <c r="F26">
        <v>12</v>
      </c>
      <c r="G26" s="1" t="s">
        <v>39</v>
      </c>
      <c r="H26">
        <v>50221</v>
      </c>
      <c r="I26">
        <v>54960</v>
      </c>
      <c r="J26" s="1" t="s">
        <v>33</v>
      </c>
      <c r="K26" s="3">
        <v>8</v>
      </c>
      <c r="L26" s="1" t="s">
        <v>40</v>
      </c>
      <c r="M26" s="1" t="s">
        <v>29</v>
      </c>
      <c r="N26" s="3">
        <v>2024010123</v>
      </c>
      <c r="O26" s="3">
        <f t="shared" si="0"/>
        <v>1.23</v>
      </c>
      <c r="P26" s="6">
        <f t="shared" si="1"/>
        <v>1021761</v>
      </c>
      <c r="Q26" s="3" t="str">
        <f t="shared" si="8"/>
        <v>Excellent</v>
      </c>
      <c r="R26" s="3">
        <f t="shared" si="2"/>
        <v>4739</v>
      </c>
      <c r="S26" s="7">
        <f t="shared" si="3"/>
        <v>56868</v>
      </c>
      <c r="T26" s="3" t="str">
        <f t="shared" si="4"/>
        <v>High Profit</v>
      </c>
      <c r="U26" s="3" t="str">
        <f t="shared" si="5"/>
        <v>Medium Discount</v>
      </c>
      <c r="V26" s="3" t="str">
        <f t="shared" si="6"/>
        <v>Priority D</v>
      </c>
      <c r="W26">
        <f t="shared" si="7"/>
        <v>83070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t="s">
        <v>23</v>
      </c>
      <c r="AE26" t="s">
        <v>23</v>
      </c>
      <c r="AF26" t="s">
        <v>23</v>
      </c>
      <c r="AG26" t="s">
        <v>23</v>
      </c>
      <c r="AH26" t="s">
        <v>23</v>
      </c>
      <c r="AI26" t="s">
        <v>23</v>
      </c>
      <c r="AJ26" t="s">
        <v>23</v>
      </c>
    </row>
    <row r="27" spans="1:36" x14ac:dyDescent="0.35">
      <c r="A27" s="2">
        <v>1025</v>
      </c>
      <c r="B27" s="4">
        <v>44938</v>
      </c>
      <c r="C27" s="1" t="s">
        <v>41</v>
      </c>
      <c r="D27" s="1" t="s">
        <v>31</v>
      </c>
      <c r="E27">
        <v>888452</v>
      </c>
      <c r="F27">
        <v>6</v>
      </c>
      <c r="G27" s="1" t="s">
        <v>32</v>
      </c>
      <c r="H27">
        <v>51008</v>
      </c>
      <c r="I27">
        <v>53457</v>
      </c>
      <c r="J27" s="1" t="s">
        <v>33</v>
      </c>
      <c r="K27" s="3">
        <v>12</v>
      </c>
      <c r="L27" s="1" t="s">
        <v>36</v>
      </c>
      <c r="M27" s="1" t="s">
        <v>37</v>
      </c>
      <c r="N27" s="3">
        <v>2024010123</v>
      </c>
      <c r="O27" s="3">
        <f t="shared" si="0"/>
        <v>1.23</v>
      </c>
      <c r="P27" s="6">
        <f t="shared" si="1"/>
        <v>1092795.96</v>
      </c>
      <c r="Q27" s="3" t="str">
        <f t="shared" si="8"/>
        <v>Excellent</v>
      </c>
      <c r="R27" s="3">
        <f t="shared" si="2"/>
        <v>2449</v>
      </c>
      <c r="S27" s="7">
        <f t="shared" si="3"/>
        <v>14694</v>
      </c>
      <c r="T27" s="3" t="str">
        <f t="shared" si="4"/>
        <v>High Profit</v>
      </c>
      <c r="U27" s="3" t="str">
        <f t="shared" si="5"/>
        <v>Medium Discount</v>
      </c>
      <c r="V27" s="3" t="str">
        <f t="shared" si="6"/>
        <v>Priority C</v>
      </c>
      <c r="W27">
        <f t="shared" si="7"/>
        <v>88845.200000000012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 t="s">
        <v>23</v>
      </c>
      <c r="AE27" t="s">
        <v>23</v>
      </c>
      <c r="AF27" t="s">
        <v>23</v>
      </c>
      <c r="AG27" t="s">
        <v>23</v>
      </c>
      <c r="AH27" t="s">
        <v>23</v>
      </c>
      <c r="AI27" t="s">
        <v>23</v>
      </c>
      <c r="AJ27" t="s">
        <v>23</v>
      </c>
    </row>
    <row r="28" spans="1:36" x14ac:dyDescent="0.35">
      <c r="A28" s="2">
        <v>1026</v>
      </c>
      <c r="B28" s="4">
        <v>45031</v>
      </c>
      <c r="C28" s="1" t="s">
        <v>24</v>
      </c>
      <c r="D28" s="1" t="s">
        <v>31</v>
      </c>
      <c r="E28">
        <v>500716</v>
      </c>
      <c r="F28">
        <v>12</v>
      </c>
      <c r="G28" s="1" t="s">
        <v>26</v>
      </c>
      <c r="H28">
        <v>29018</v>
      </c>
      <c r="I28">
        <v>31347</v>
      </c>
      <c r="J28" s="1" t="s">
        <v>27</v>
      </c>
      <c r="K28" s="3">
        <v>22</v>
      </c>
      <c r="L28" s="1" t="s">
        <v>28</v>
      </c>
      <c r="M28" s="1" t="s">
        <v>37</v>
      </c>
      <c r="N28" s="3">
        <v>2024010123</v>
      </c>
      <c r="O28" s="3">
        <f t="shared" si="0"/>
        <v>1.23</v>
      </c>
      <c r="P28" s="6">
        <f t="shared" si="1"/>
        <v>615880.67999999993</v>
      </c>
      <c r="Q28" s="3" t="str">
        <f t="shared" si="8"/>
        <v>Excellent</v>
      </c>
      <c r="R28" s="3">
        <f t="shared" si="2"/>
        <v>2329</v>
      </c>
      <c r="S28" s="7">
        <f t="shared" si="3"/>
        <v>27948</v>
      </c>
      <c r="T28" s="3" t="str">
        <f t="shared" si="4"/>
        <v>High Profit</v>
      </c>
      <c r="U28" s="3" t="str">
        <f t="shared" si="5"/>
        <v>High Discount</v>
      </c>
      <c r="V28" s="3" t="str">
        <f t="shared" si="6"/>
        <v>Priority C</v>
      </c>
      <c r="W28">
        <f t="shared" si="7"/>
        <v>75107.399999999994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t="s">
        <v>23</v>
      </c>
      <c r="AE28" t="s">
        <v>23</v>
      </c>
      <c r="AF28" t="s">
        <v>23</v>
      </c>
      <c r="AG28" t="s">
        <v>23</v>
      </c>
      <c r="AH28" t="s">
        <v>23</v>
      </c>
      <c r="AI28" t="s">
        <v>23</v>
      </c>
      <c r="AJ28" t="s">
        <v>23</v>
      </c>
    </row>
    <row r="29" spans="1:36" x14ac:dyDescent="0.35">
      <c r="A29" s="2">
        <v>1027</v>
      </c>
      <c r="B29" s="4">
        <v>45162</v>
      </c>
      <c r="C29" s="1" t="s">
        <v>24</v>
      </c>
      <c r="D29" s="1" t="s">
        <v>42</v>
      </c>
      <c r="E29">
        <v>798102</v>
      </c>
      <c r="F29">
        <v>12</v>
      </c>
      <c r="G29" s="1" t="s">
        <v>26</v>
      </c>
      <c r="H29">
        <v>35898</v>
      </c>
      <c r="I29">
        <v>38589</v>
      </c>
      <c r="J29" s="1" t="s">
        <v>33</v>
      </c>
      <c r="K29" s="3">
        <v>20</v>
      </c>
      <c r="L29" s="1" t="s">
        <v>36</v>
      </c>
      <c r="M29" s="1" t="s">
        <v>37</v>
      </c>
      <c r="N29" s="3">
        <v>2024010123</v>
      </c>
      <c r="O29" s="3">
        <f t="shared" si="0"/>
        <v>1.23</v>
      </c>
      <c r="P29" s="6">
        <f t="shared" si="1"/>
        <v>981665.46</v>
      </c>
      <c r="Q29" s="3" t="str">
        <f t="shared" si="8"/>
        <v>Excellent</v>
      </c>
      <c r="R29" s="3">
        <f t="shared" si="2"/>
        <v>2691</v>
      </c>
      <c r="S29" s="7">
        <f t="shared" si="3"/>
        <v>32292</v>
      </c>
      <c r="T29" s="3" t="str">
        <f t="shared" si="4"/>
        <v>High Profit</v>
      </c>
      <c r="U29" s="3" t="str">
        <f t="shared" si="5"/>
        <v>High Discount</v>
      </c>
      <c r="V29" s="3" t="str">
        <f t="shared" si="6"/>
        <v>Priority C</v>
      </c>
      <c r="W29">
        <f t="shared" si="7"/>
        <v>79810.200000000012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t="s">
        <v>23</v>
      </c>
      <c r="AE29" t="s">
        <v>23</v>
      </c>
      <c r="AF29" t="s">
        <v>23</v>
      </c>
      <c r="AG29" t="s">
        <v>23</v>
      </c>
      <c r="AH29" t="s">
        <v>23</v>
      </c>
      <c r="AI29" t="s">
        <v>23</v>
      </c>
      <c r="AJ29" t="s">
        <v>23</v>
      </c>
    </row>
    <row r="30" spans="1:36" x14ac:dyDescent="0.35">
      <c r="A30" s="2">
        <v>1028</v>
      </c>
      <c r="B30" s="4">
        <v>45053</v>
      </c>
      <c r="C30" s="1" t="s">
        <v>30</v>
      </c>
      <c r="D30" s="1" t="s">
        <v>43</v>
      </c>
      <c r="E30">
        <v>139467</v>
      </c>
      <c r="F30">
        <v>12</v>
      </c>
      <c r="G30" s="1" t="s">
        <v>35</v>
      </c>
      <c r="H30">
        <v>48139</v>
      </c>
      <c r="I30">
        <v>52634</v>
      </c>
      <c r="J30" s="1" t="s">
        <v>27</v>
      </c>
      <c r="K30" s="3">
        <v>26</v>
      </c>
      <c r="L30" s="1" t="s">
        <v>28</v>
      </c>
      <c r="M30" s="1" t="s">
        <v>29</v>
      </c>
      <c r="N30" s="3">
        <v>2024010123</v>
      </c>
      <c r="O30" s="3">
        <f t="shared" si="0"/>
        <v>1.23</v>
      </c>
      <c r="P30" s="6">
        <f t="shared" si="1"/>
        <v>171544.41</v>
      </c>
      <c r="Q30" s="3" t="str">
        <f t="shared" si="8"/>
        <v>Excellent</v>
      </c>
      <c r="R30" s="3">
        <f t="shared" si="2"/>
        <v>4495</v>
      </c>
      <c r="S30" s="7">
        <f t="shared" si="3"/>
        <v>53940</v>
      </c>
      <c r="T30" s="3" t="str">
        <f t="shared" si="4"/>
        <v>High Profit</v>
      </c>
      <c r="U30" s="3" t="str">
        <f t="shared" si="5"/>
        <v>High Discount</v>
      </c>
      <c r="V30" s="3" t="str">
        <f t="shared" si="6"/>
        <v>Priority D</v>
      </c>
      <c r="W30">
        <f t="shared" si="7"/>
        <v>20920.05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t="s">
        <v>23</v>
      </c>
      <c r="AE30" t="s">
        <v>23</v>
      </c>
      <c r="AF30" t="s">
        <v>23</v>
      </c>
      <c r="AG30" t="s">
        <v>23</v>
      </c>
      <c r="AH30" t="s">
        <v>23</v>
      </c>
      <c r="AI30" t="s">
        <v>23</v>
      </c>
      <c r="AJ30" t="s">
        <v>23</v>
      </c>
    </row>
    <row r="31" spans="1:36" x14ac:dyDescent="0.35">
      <c r="A31" s="2">
        <v>1029</v>
      </c>
      <c r="B31" s="4">
        <v>45239</v>
      </c>
      <c r="C31" s="1" t="s">
        <v>38</v>
      </c>
      <c r="D31" s="1" t="s">
        <v>25</v>
      </c>
      <c r="E31">
        <v>355857</v>
      </c>
      <c r="F31">
        <v>12</v>
      </c>
      <c r="G31" s="1" t="s">
        <v>26</v>
      </c>
      <c r="H31">
        <v>41792</v>
      </c>
      <c r="I31">
        <v>45062</v>
      </c>
      <c r="J31" s="1" t="s">
        <v>33</v>
      </c>
      <c r="K31" s="3">
        <v>16</v>
      </c>
      <c r="L31" s="1" t="s">
        <v>28</v>
      </c>
      <c r="M31" s="1" t="s">
        <v>29</v>
      </c>
      <c r="N31" s="3">
        <v>2024010123</v>
      </c>
      <c r="O31" s="3">
        <f t="shared" si="0"/>
        <v>1.23</v>
      </c>
      <c r="P31" s="6">
        <f t="shared" si="1"/>
        <v>437704.11</v>
      </c>
      <c r="Q31" s="3" t="str">
        <f t="shared" si="8"/>
        <v>Excellent</v>
      </c>
      <c r="R31" s="3">
        <f t="shared" si="2"/>
        <v>3270</v>
      </c>
      <c r="S31" s="7">
        <f t="shared" si="3"/>
        <v>39240</v>
      </c>
      <c r="T31" s="3" t="str">
        <f t="shared" si="4"/>
        <v>High Profit</v>
      </c>
      <c r="U31" s="3" t="str">
        <f t="shared" si="5"/>
        <v>High Discount</v>
      </c>
      <c r="V31" s="3" t="str">
        <f t="shared" si="6"/>
        <v>Priority D</v>
      </c>
      <c r="W31">
        <f t="shared" si="7"/>
        <v>35585.700000000004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t="s">
        <v>23</v>
      </c>
      <c r="AE31" t="s">
        <v>23</v>
      </c>
      <c r="AF31" t="s">
        <v>23</v>
      </c>
      <c r="AG31" t="s">
        <v>23</v>
      </c>
      <c r="AH31" t="s">
        <v>23</v>
      </c>
      <c r="AI31" t="s">
        <v>23</v>
      </c>
      <c r="AJ31" t="s">
        <v>23</v>
      </c>
    </row>
    <row r="32" spans="1:36" x14ac:dyDescent="0.35">
      <c r="A32" s="2">
        <v>1030</v>
      </c>
      <c r="B32" s="4">
        <v>45267</v>
      </c>
      <c r="C32" s="1" t="s">
        <v>34</v>
      </c>
      <c r="D32" s="1" t="s">
        <v>42</v>
      </c>
      <c r="E32">
        <v>17409</v>
      </c>
      <c r="F32">
        <v>12</v>
      </c>
      <c r="G32" s="1" t="s">
        <v>32</v>
      </c>
      <c r="H32">
        <v>22539</v>
      </c>
      <c r="I32">
        <v>33437</v>
      </c>
      <c r="J32" s="1" t="s">
        <v>33</v>
      </c>
      <c r="K32" s="3">
        <v>0</v>
      </c>
      <c r="L32" s="1" t="s">
        <v>36</v>
      </c>
      <c r="M32" s="1" t="s">
        <v>37</v>
      </c>
      <c r="N32" s="3">
        <v>2024010123</v>
      </c>
      <c r="O32" s="3">
        <f t="shared" si="0"/>
        <v>1.23</v>
      </c>
      <c r="P32" s="6">
        <f t="shared" si="1"/>
        <v>21413.07</v>
      </c>
      <c r="Q32" s="3" t="str">
        <f t="shared" si="8"/>
        <v>Excellent</v>
      </c>
      <c r="R32" s="3">
        <f t="shared" si="2"/>
        <v>10898</v>
      </c>
      <c r="S32" s="7">
        <f t="shared" si="3"/>
        <v>130776</v>
      </c>
      <c r="T32" s="3" t="str">
        <f t="shared" si="4"/>
        <v>High Profit</v>
      </c>
      <c r="U32" s="3" t="str">
        <f t="shared" si="5"/>
        <v>No Discount</v>
      </c>
      <c r="V32" s="3" t="str">
        <f t="shared" si="6"/>
        <v>Priority C</v>
      </c>
      <c r="W32">
        <f t="shared" si="7"/>
        <v>1740.9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t="s">
        <v>23</v>
      </c>
      <c r="AE32" t="s">
        <v>23</v>
      </c>
      <c r="AF32" t="s">
        <v>23</v>
      </c>
      <c r="AG32" t="s">
        <v>23</v>
      </c>
      <c r="AH32" t="s">
        <v>23</v>
      </c>
      <c r="AI32" t="s">
        <v>23</v>
      </c>
      <c r="AJ32" t="s">
        <v>23</v>
      </c>
    </row>
    <row r="33" spans="1:36" x14ac:dyDescent="0.35">
      <c r="A33" s="2">
        <v>1031</v>
      </c>
      <c r="B33" s="4">
        <v>45017</v>
      </c>
      <c r="C33" s="1" t="s">
        <v>34</v>
      </c>
      <c r="D33" s="1" t="s">
        <v>43</v>
      </c>
      <c r="E33">
        <v>108433</v>
      </c>
      <c r="F33">
        <v>18</v>
      </c>
      <c r="G33" s="1" t="s">
        <v>32</v>
      </c>
      <c r="H33">
        <v>27374</v>
      </c>
      <c r="I33">
        <v>34072</v>
      </c>
      <c r="J33" s="1" t="s">
        <v>27</v>
      </c>
      <c r="K33" s="3">
        <v>1</v>
      </c>
      <c r="L33" s="1" t="s">
        <v>40</v>
      </c>
      <c r="M33" s="1" t="s">
        <v>29</v>
      </c>
      <c r="N33" s="3">
        <v>2024010123</v>
      </c>
      <c r="O33" s="3">
        <f t="shared" si="0"/>
        <v>1.23</v>
      </c>
      <c r="P33" s="6">
        <f t="shared" si="1"/>
        <v>133372.59</v>
      </c>
      <c r="Q33" s="3" t="str">
        <f t="shared" si="8"/>
        <v>Excellent</v>
      </c>
      <c r="R33" s="3">
        <f t="shared" si="2"/>
        <v>6698</v>
      </c>
      <c r="S33" s="7">
        <f t="shared" si="3"/>
        <v>120564</v>
      </c>
      <c r="T33" s="3" t="str">
        <f t="shared" si="4"/>
        <v>High Profit</v>
      </c>
      <c r="U33" s="3" t="str">
        <f t="shared" si="5"/>
        <v>Low Discount</v>
      </c>
      <c r="V33" s="3" t="str">
        <f t="shared" si="6"/>
        <v>Priority C</v>
      </c>
      <c r="W33">
        <f t="shared" si="7"/>
        <v>16264.949999999999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t="s">
        <v>23</v>
      </c>
      <c r="AE33" t="s">
        <v>23</v>
      </c>
      <c r="AF33" t="s">
        <v>23</v>
      </c>
      <c r="AG33" t="s">
        <v>23</v>
      </c>
      <c r="AH33" t="s">
        <v>23</v>
      </c>
      <c r="AI33" t="s">
        <v>23</v>
      </c>
      <c r="AJ33" t="s">
        <v>23</v>
      </c>
    </row>
    <row r="34" spans="1:36" x14ac:dyDescent="0.35">
      <c r="A34" s="2">
        <v>1032</v>
      </c>
      <c r="B34" s="4">
        <v>45109</v>
      </c>
      <c r="C34" s="1" t="s">
        <v>34</v>
      </c>
      <c r="D34" s="1" t="s">
        <v>25</v>
      </c>
      <c r="E34">
        <v>585811</v>
      </c>
      <c r="F34">
        <v>12</v>
      </c>
      <c r="G34" s="1" t="s">
        <v>39</v>
      </c>
      <c r="H34">
        <v>17549</v>
      </c>
      <c r="I34">
        <v>28217</v>
      </c>
      <c r="J34" s="1" t="s">
        <v>27</v>
      </c>
      <c r="K34" s="3">
        <v>1</v>
      </c>
      <c r="L34" s="1" t="s">
        <v>28</v>
      </c>
      <c r="M34" s="1" t="s">
        <v>37</v>
      </c>
      <c r="N34" s="3">
        <v>2024010123</v>
      </c>
      <c r="O34" s="3">
        <f t="shared" si="0"/>
        <v>1.23</v>
      </c>
      <c r="P34" s="6">
        <f t="shared" si="1"/>
        <v>720547.53</v>
      </c>
      <c r="Q34" s="3" t="str">
        <f t="shared" si="8"/>
        <v>Excellent</v>
      </c>
      <c r="R34" s="3">
        <f t="shared" si="2"/>
        <v>10668</v>
      </c>
      <c r="S34" s="7">
        <f t="shared" si="3"/>
        <v>128016</v>
      </c>
      <c r="T34" s="3" t="str">
        <f t="shared" si="4"/>
        <v>High Profit</v>
      </c>
      <c r="U34" s="3" t="str">
        <f t="shared" si="5"/>
        <v>Low Discount</v>
      </c>
      <c r="V34" s="3" t="str">
        <f t="shared" si="6"/>
        <v>Priority C</v>
      </c>
      <c r="W34">
        <f t="shared" si="7"/>
        <v>87871.65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t="s">
        <v>23</v>
      </c>
      <c r="AE34" t="s">
        <v>23</v>
      </c>
      <c r="AF34" t="s">
        <v>23</v>
      </c>
      <c r="AG34" t="s">
        <v>23</v>
      </c>
      <c r="AH34" t="s">
        <v>23</v>
      </c>
      <c r="AI34" t="s">
        <v>23</v>
      </c>
      <c r="AJ34" t="s">
        <v>23</v>
      </c>
    </row>
    <row r="35" spans="1:36" x14ac:dyDescent="0.35">
      <c r="A35" s="2">
        <v>1033</v>
      </c>
      <c r="B35" s="4">
        <v>44940</v>
      </c>
      <c r="C35" s="1" t="s">
        <v>34</v>
      </c>
      <c r="D35" s="1" t="s">
        <v>25</v>
      </c>
      <c r="E35">
        <v>426166</v>
      </c>
      <c r="F35">
        <v>17</v>
      </c>
      <c r="G35" s="1" t="s">
        <v>35</v>
      </c>
      <c r="H35">
        <v>27815</v>
      </c>
      <c r="I35">
        <v>41566</v>
      </c>
      <c r="J35" s="1" t="s">
        <v>33</v>
      </c>
      <c r="K35" s="3">
        <v>10</v>
      </c>
      <c r="L35" s="1" t="s">
        <v>36</v>
      </c>
      <c r="M35" s="1" t="s">
        <v>37</v>
      </c>
      <c r="N35" s="3">
        <v>2024010123</v>
      </c>
      <c r="O35" s="3">
        <f t="shared" si="0"/>
        <v>1.23</v>
      </c>
      <c r="P35" s="6">
        <f t="shared" si="1"/>
        <v>524184.18</v>
      </c>
      <c r="Q35" s="3" t="str">
        <f t="shared" si="8"/>
        <v>Excellent</v>
      </c>
      <c r="R35" s="3">
        <f t="shared" si="2"/>
        <v>13751</v>
      </c>
      <c r="S35" s="7">
        <f t="shared" si="3"/>
        <v>233767</v>
      </c>
      <c r="T35" s="3" t="str">
        <f t="shared" si="4"/>
        <v>High Profit</v>
      </c>
      <c r="U35" s="3" t="str">
        <f t="shared" si="5"/>
        <v>Medium Discount</v>
      </c>
      <c r="V35" s="3" t="str">
        <f t="shared" si="6"/>
        <v>Priority C</v>
      </c>
      <c r="W35">
        <f t="shared" si="7"/>
        <v>42616.600000000006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t="s">
        <v>23</v>
      </c>
      <c r="AE35" t="s">
        <v>23</v>
      </c>
      <c r="AF35" t="s">
        <v>23</v>
      </c>
      <c r="AG35" t="s">
        <v>23</v>
      </c>
      <c r="AH35" t="s">
        <v>23</v>
      </c>
      <c r="AI35" t="s">
        <v>23</v>
      </c>
      <c r="AJ35" t="s">
        <v>23</v>
      </c>
    </row>
    <row r="36" spans="1:36" x14ac:dyDescent="0.35">
      <c r="A36" s="2">
        <v>1034</v>
      </c>
      <c r="B36" s="4">
        <v>44974</v>
      </c>
      <c r="C36" s="1" t="s">
        <v>24</v>
      </c>
      <c r="D36" s="1" t="s">
        <v>42</v>
      </c>
      <c r="E36">
        <v>231006</v>
      </c>
      <c r="F36">
        <v>27</v>
      </c>
      <c r="G36" s="1" t="s">
        <v>35</v>
      </c>
      <c r="H36">
        <v>24315</v>
      </c>
      <c r="I36">
        <v>35308</v>
      </c>
      <c r="J36" s="1" t="s">
        <v>27</v>
      </c>
      <c r="K36" s="3">
        <v>8</v>
      </c>
      <c r="L36" s="1" t="s">
        <v>28</v>
      </c>
      <c r="M36" s="1" t="s">
        <v>37</v>
      </c>
      <c r="N36" s="3">
        <v>2024010123</v>
      </c>
      <c r="O36" s="3">
        <f t="shared" si="0"/>
        <v>1.23</v>
      </c>
      <c r="P36" s="6">
        <f t="shared" si="1"/>
        <v>284137.38</v>
      </c>
      <c r="Q36" s="3" t="str">
        <f t="shared" si="8"/>
        <v>Excellent</v>
      </c>
      <c r="R36" s="3">
        <f t="shared" si="2"/>
        <v>10993</v>
      </c>
      <c r="S36" s="7">
        <f t="shared" si="3"/>
        <v>296811</v>
      </c>
      <c r="T36" s="3" t="str">
        <f t="shared" si="4"/>
        <v>High Profit</v>
      </c>
      <c r="U36" s="3" t="str">
        <f t="shared" si="5"/>
        <v>Medium Discount</v>
      </c>
      <c r="V36" s="3" t="str">
        <f t="shared" si="6"/>
        <v>Priority C</v>
      </c>
      <c r="W36">
        <f t="shared" si="7"/>
        <v>34650.9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t="s">
        <v>23</v>
      </c>
      <c r="AE36" t="s">
        <v>23</v>
      </c>
      <c r="AF36" t="s">
        <v>23</v>
      </c>
      <c r="AG36" t="s">
        <v>23</v>
      </c>
      <c r="AH36" t="s">
        <v>23</v>
      </c>
      <c r="AI36" t="s">
        <v>23</v>
      </c>
      <c r="AJ36" t="s">
        <v>23</v>
      </c>
    </row>
    <row r="37" spans="1:36" x14ac:dyDescent="0.35">
      <c r="A37" s="2">
        <v>1035</v>
      </c>
      <c r="B37" s="4">
        <v>45088</v>
      </c>
      <c r="C37" s="1" t="s">
        <v>38</v>
      </c>
      <c r="D37" s="1" t="s">
        <v>42</v>
      </c>
      <c r="E37">
        <v>973049</v>
      </c>
      <c r="F37">
        <v>48</v>
      </c>
      <c r="G37" s="1" t="s">
        <v>26</v>
      </c>
      <c r="H37">
        <v>22945</v>
      </c>
      <c r="I37">
        <v>35986</v>
      </c>
      <c r="J37" s="1" t="s">
        <v>33</v>
      </c>
      <c r="K37" s="3">
        <v>13</v>
      </c>
      <c r="L37" s="1" t="s">
        <v>36</v>
      </c>
      <c r="M37" s="1" t="s">
        <v>37</v>
      </c>
      <c r="N37" s="3">
        <v>2024010123</v>
      </c>
      <c r="O37" s="3">
        <f t="shared" si="0"/>
        <v>1.23</v>
      </c>
      <c r="P37" s="6">
        <f t="shared" si="1"/>
        <v>1196850.27</v>
      </c>
      <c r="Q37" s="3" t="str">
        <f t="shared" si="8"/>
        <v>Excellent</v>
      </c>
      <c r="R37" s="3">
        <f t="shared" si="2"/>
        <v>13041</v>
      </c>
      <c r="S37" s="7">
        <f t="shared" si="3"/>
        <v>625968</v>
      </c>
      <c r="T37" s="3" t="str">
        <f t="shared" si="4"/>
        <v>High Profit</v>
      </c>
      <c r="U37" s="3" t="str">
        <f t="shared" si="5"/>
        <v>Medium Discount</v>
      </c>
      <c r="V37" s="3" t="str">
        <f t="shared" si="6"/>
        <v>Priority C</v>
      </c>
      <c r="W37">
        <f t="shared" si="7"/>
        <v>97304.900000000009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t="s">
        <v>23</v>
      </c>
      <c r="AE37" t="s">
        <v>23</v>
      </c>
      <c r="AF37" t="s">
        <v>23</v>
      </c>
      <c r="AG37" t="s">
        <v>23</v>
      </c>
      <c r="AH37" t="s">
        <v>23</v>
      </c>
      <c r="AI37" t="s">
        <v>23</v>
      </c>
      <c r="AJ37" t="s">
        <v>23</v>
      </c>
    </row>
    <row r="38" spans="1:36" x14ac:dyDescent="0.35">
      <c r="A38" s="2">
        <v>1036</v>
      </c>
      <c r="B38" s="4">
        <v>45233</v>
      </c>
      <c r="C38" s="1" t="s">
        <v>30</v>
      </c>
      <c r="D38" s="1" t="s">
        <v>43</v>
      </c>
      <c r="E38">
        <v>922538</v>
      </c>
      <c r="F38">
        <v>12</v>
      </c>
      <c r="G38" s="1" t="s">
        <v>32</v>
      </c>
      <c r="H38">
        <v>17988</v>
      </c>
      <c r="I38">
        <v>31154</v>
      </c>
      <c r="J38" s="1" t="s">
        <v>33</v>
      </c>
      <c r="K38" s="3">
        <v>22</v>
      </c>
      <c r="L38" s="1" t="s">
        <v>28</v>
      </c>
      <c r="M38" s="1" t="s">
        <v>29</v>
      </c>
      <c r="N38" s="3">
        <v>2024010123</v>
      </c>
      <c r="O38" s="3">
        <f t="shared" si="0"/>
        <v>1.23</v>
      </c>
      <c r="P38" s="6">
        <f t="shared" si="1"/>
        <v>1134721.74</v>
      </c>
      <c r="Q38" s="3" t="str">
        <f t="shared" si="8"/>
        <v>Excellent</v>
      </c>
      <c r="R38" s="3">
        <f t="shared" si="2"/>
        <v>13166</v>
      </c>
      <c r="S38" s="7">
        <f t="shared" si="3"/>
        <v>157992</v>
      </c>
      <c r="T38" s="3" t="str">
        <f t="shared" si="4"/>
        <v>High Profit</v>
      </c>
      <c r="U38" s="3" t="str">
        <f t="shared" si="5"/>
        <v>High Discount</v>
      </c>
      <c r="V38" s="3" t="str">
        <f t="shared" si="6"/>
        <v>Priority D</v>
      </c>
      <c r="W38">
        <f t="shared" si="7"/>
        <v>92253.8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t="s">
        <v>23</v>
      </c>
      <c r="AE38" t="s">
        <v>23</v>
      </c>
      <c r="AF38" t="s">
        <v>23</v>
      </c>
      <c r="AG38" t="s">
        <v>23</v>
      </c>
      <c r="AH38" t="s">
        <v>23</v>
      </c>
      <c r="AI38" t="s">
        <v>23</v>
      </c>
      <c r="AJ38" t="s">
        <v>23</v>
      </c>
    </row>
    <row r="39" spans="1:36" x14ac:dyDescent="0.35">
      <c r="A39" s="2">
        <v>1037</v>
      </c>
      <c r="B39" s="4">
        <v>45289</v>
      </c>
      <c r="C39" s="1" t="s">
        <v>34</v>
      </c>
      <c r="D39" s="1" t="s">
        <v>42</v>
      </c>
      <c r="E39">
        <v>155399</v>
      </c>
      <c r="F39">
        <v>12</v>
      </c>
      <c r="G39" s="1" t="s">
        <v>39</v>
      </c>
      <c r="H39">
        <v>10233</v>
      </c>
      <c r="I39">
        <v>19224</v>
      </c>
      <c r="J39" s="1" t="s">
        <v>27</v>
      </c>
      <c r="K39" s="3">
        <v>20</v>
      </c>
      <c r="L39" s="1" t="s">
        <v>40</v>
      </c>
      <c r="M39" s="1" t="s">
        <v>29</v>
      </c>
      <c r="N39" s="3">
        <v>2024010123</v>
      </c>
      <c r="O39" s="3">
        <f t="shared" si="0"/>
        <v>1.23</v>
      </c>
      <c r="P39" s="6">
        <f t="shared" si="1"/>
        <v>191140.77</v>
      </c>
      <c r="Q39" s="3" t="str">
        <f t="shared" si="8"/>
        <v>Excellent</v>
      </c>
      <c r="R39" s="3">
        <f t="shared" si="2"/>
        <v>8991</v>
      </c>
      <c r="S39" s="7">
        <f t="shared" si="3"/>
        <v>107892</v>
      </c>
      <c r="T39" s="3" t="str">
        <f t="shared" si="4"/>
        <v>High Profit</v>
      </c>
      <c r="U39" s="3" t="str">
        <f t="shared" si="5"/>
        <v>High Discount</v>
      </c>
      <c r="V39" s="3" t="str">
        <f t="shared" si="6"/>
        <v>Priority D</v>
      </c>
      <c r="W39">
        <f t="shared" si="7"/>
        <v>23309.85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t="s">
        <v>23</v>
      </c>
      <c r="AE39" t="s">
        <v>23</v>
      </c>
      <c r="AF39" t="s">
        <v>23</v>
      </c>
      <c r="AG39" t="s">
        <v>23</v>
      </c>
      <c r="AH39" t="s">
        <v>23</v>
      </c>
      <c r="AI39" t="s">
        <v>23</v>
      </c>
      <c r="AJ39" t="s">
        <v>23</v>
      </c>
    </row>
    <row r="40" spans="1:36" x14ac:dyDescent="0.35">
      <c r="A40" s="2">
        <v>1038</v>
      </c>
      <c r="B40" s="4">
        <v>44927</v>
      </c>
      <c r="C40" s="1" t="s">
        <v>34</v>
      </c>
      <c r="D40" s="1" t="s">
        <v>43</v>
      </c>
      <c r="E40">
        <v>577599</v>
      </c>
      <c r="F40">
        <v>12</v>
      </c>
      <c r="G40" s="1" t="s">
        <v>32</v>
      </c>
      <c r="H40">
        <v>11568</v>
      </c>
      <c r="I40">
        <v>20183</v>
      </c>
      <c r="J40" s="1" t="s">
        <v>27</v>
      </c>
      <c r="K40" s="3">
        <v>19</v>
      </c>
      <c r="L40" s="1" t="s">
        <v>40</v>
      </c>
      <c r="M40" s="1" t="s">
        <v>29</v>
      </c>
      <c r="N40" s="3">
        <v>2024010123</v>
      </c>
      <c r="O40" s="3">
        <f t="shared" si="0"/>
        <v>1.23</v>
      </c>
      <c r="P40" s="6">
        <f t="shared" si="1"/>
        <v>710446.77</v>
      </c>
      <c r="Q40" s="3" t="str">
        <f t="shared" si="8"/>
        <v>Excellent</v>
      </c>
      <c r="R40" s="3">
        <f t="shared" si="2"/>
        <v>8615</v>
      </c>
      <c r="S40" s="7">
        <f t="shared" si="3"/>
        <v>103380</v>
      </c>
      <c r="T40" s="3" t="str">
        <f t="shared" si="4"/>
        <v>High Profit</v>
      </c>
      <c r="U40" s="3" t="str">
        <f t="shared" si="5"/>
        <v>High Discount</v>
      </c>
      <c r="V40" s="3" t="str">
        <f t="shared" si="6"/>
        <v>Priority D</v>
      </c>
      <c r="W40">
        <f t="shared" si="7"/>
        <v>86639.849999999991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t="s">
        <v>23</v>
      </c>
      <c r="AE40" t="s">
        <v>23</v>
      </c>
      <c r="AF40" t="s">
        <v>23</v>
      </c>
      <c r="AG40" t="s">
        <v>23</v>
      </c>
      <c r="AH40" t="s">
        <v>23</v>
      </c>
      <c r="AI40" t="s">
        <v>23</v>
      </c>
      <c r="AJ40" t="s">
        <v>23</v>
      </c>
    </row>
    <row r="41" spans="1:36" x14ac:dyDescent="0.35">
      <c r="A41" s="2">
        <v>1039</v>
      </c>
      <c r="B41" s="4">
        <v>45166</v>
      </c>
      <c r="C41" s="1" t="s">
        <v>24</v>
      </c>
      <c r="D41" s="1" t="s">
        <v>42</v>
      </c>
      <c r="E41">
        <v>72449</v>
      </c>
      <c r="F41">
        <v>33</v>
      </c>
      <c r="G41" s="1" t="s">
        <v>26</v>
      </c>
      <c r="H41">
        <v>20823</v>
      </c>
      <c r="I41">
        <v>33885</v>
      </c>
      <c r="J41" s="1" t="s">
        <v>27</v>
      </c>
      <c r="K41" s="3">
        <v>16</v>
      </c>
      <c r="L41" s="1" t="s">
        <v>40</v>
      </c>
      <c r="M41" s="1" t="s">
        <v>29</v>
      </c>
      <c r="N41" s="3">
        <v>2024010123</v>
      </c>
      <c r="O41" s="3">
        <f t="shared" si="0"/>
        <v>1.23</v>
      </c>
      <c r="P41" s="6">
        <f t="shared" si="1"/>
        <v>89112.27</v>
      </c>
      <c r="Q41" s="3" t="str">
        <f t="shared" si="8"/>
        <v>Excellent</v>
      </c>
      <c r="R41" s="3">
        <f t="shared" si="2"/>
        <v>13062</v>
      </c>
      <c r="S41" s="7">
        <f t="shared" si="3"/>
        <v>431046</v>
      </c>
      <c r="T41" s="3" t="str">
        <f t="shared" si="4"/>
        <v>High Profit</v>
      </c>
      <c r="U41" s="3" t="str">
        <f t="shared" si="5"/>
        <v>High Discount</v>
      </c>
      <c r="V41" s="3" t="str">
        <f t="shared" si="6"/>
        <v>Priority C</v>
      </c>
      <c r="W41">
        <f t="shared" si="7"/>
        <v>10867.35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t="s">
        <v>23</v>
      </c>
      <c r="AE41" t="s">
        <v>23</v>
      </c>
      <c r="AF41" t="s">
        <v>23</v>
      </c>
      <c r="AG41" t="s">
        <v>23</v>
      </c>
      <c r="AH41" t="s">
        <v>23</v>
      </c>
      <c r="AI41" t="s">
        <v>23</v>
      </c>
      <c r="AJ41" t="s">
        <v>23</v>
      </c>
    </row>
    <row r="42" spans="1:36" x14ac:dyDescent="0.35">
      <c r="A42" s="2">
        <v>1040</v>
      </c>
      <c r="B42" s="4">
        <v>45082</v>
      </c>
      <c r="C42" s="1" t="s">
        <v>34</v>
      </c>
      <c r="D42" s="1" t="s">
        <v>31</v>
      </c>
      <c r="E42">
        <v>248217</v>
      </c>
      <c r="F42">
        <v>14</v>
      </c>
      <c r="G42" s="1" t="s">
        <v>35</v>
      </c>
      <c r="H42">
        <v>39758</v>
      </c>
      <c r="I42">
        <v>45435</v>
      </c>
      <c r="J42" s="1" t="s">
        <v>33</v>
      </c>
      <c r="K42" s="3">
        <v>0</v>
      </c>
      <c r="L42" s="1" t="s">
        <v>28</v>
      </c>
      <c r="M42" s="1" t="s">
        <v>37</v>
      </c>
      <c r="N42" s="3">
        <v>2024010123</v>
      </c>
      <c r="O42" s="3">
        <f t="shared" si="0"/>
        <v>1.23</v>
      </c>
      <c r="P42" s="6">
        <f t="shared" si="1"/>
        <v>305306.90999999997</v>
      </c>
      <c r="Q42" s="3" t="str">
        <f t="shared" si="8"/>
        <v>Excellent</v>
      </c>
      <c r="R42" s="3">
        <f t="shared" si="2"/>
        <v>5677</v>
      </c>
      <c r="S42" s="7">
        <f t="shared" si="3"/>
        <v>79478</v>
      </c>
      <c r="T42" s="3" t="str">
        <f t="shared" si="4"/>
        <v>High Profit</v>
      </c>
      <c r="U42" s="3" t="str">
        <f t="shared" si="5"/>
        <v>No Discount</v>
      </c>
      <c r="V42" s="3" t="str">
        <f t="shared" si="6"/>
        <v>Priority C</v>
      </c>
      <c r="W42">
        <f t="shared" si="7"/>
        <v>24821.7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t="s">
        <v>23</v>
      </c>
      <c r="AE42" t="s">
        <v>23</v>
      </c>
      <c r="AF42" t="s">
        <v>23</v>
      </c>
      <c r="AG42" t="s">
        <v>23</v>
      </c>
      <c r="AH42" t="s">
        <v>23</v>
      </c>
      <c r="AI42" t="s">
        <v>23</v>
      </c>
      <c r="AJ42" t="s">
        <v>23</v>
      </c>
    </row>
    <row r="43" spans="1:36" x14ac:dyDescent="0.35">
      <c r="A43" s="2">
        <v>1041</v>
      </c>
      <c r="B43" s="4">
        <v>45210</v>
      </c>
      <c r="C43" s="1" t="s">
        <v>24</v>
      </c>
      <c r="D43" s="1" t="s">
        <v>31</v>
      </c>
      <c r="E43">
        <v>297282</v>
      </c>
      <c r="F43">
        <v>18</v>
      </c>
      <c r="G43" s="1" t="s">
        <v>26</v>
      </c>
      <c r="H43">
        <v>17147</v>
      </c>
      <c r="I43">
        <v>24019</v>
      </c>
      <c r="J43" s="1" t="s">
        <v>33</v>
      </c>
      <c r="K43" s="3">
        <v>2</v>
      </c>
      <c r="L43" s="1" t="s">
        <v>28</v>
      </c>
      <c r="M43" s="1" t="s">
        <v>37</v>
      </c>
      <c r="N43" s="3">
        <v>2024010123</v>
      </c>
      <c r="O43" s="3">
        <f t="shared" si="0"/>
        <v>1.23</v>
      </c>
      <c r="P43" s="6">
        <f t="shared" si="1"/>
        <v>365656.86</v>
      </c>
      <c r="Q43" s="3" t="str">
        <f t="shared" si="8"/>
        <v>Excellent</v>
      </c>
      <c r="R43" s="3">
        <f t="shared" si="2"/>
        <v>6872</v>
      </c>
      <c r="S43" s="7">
        <f t="shared" si="3"/>
        <v>123696</v>
      </c>
      <c r="T43" s="3" t="str">
        <f t="shared" si="4"/>
        <v>High Profit</v>
      </c>
      <c r="U43" s="3" t="str">
        <f t="shared" si="5"/>
        <v>Low Discount</v>
      </c>
      <c r="V43" s="3" t="str">
        <f t="shared" si="6"/>
        <v>Priority C</v>
      </c>
      <c r="W43">
        <f t="shared" si="7"/>
        <v>29728.2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23</v>
      </c>
      <c r="AD43" t="s">
        <v>23</v>
      </c>
      <c r="AE43" t="s">
        <v>23</v>
      </c>
      <c r="AF43" t="s">
        <v>23</v>
      </c>
      <c r="AG43" t="s">
        <v>23</v>
      </c>
      <c r="AH43" t="s">
        <v>23</v>
      </c>
      <c r="AI43" t="s">
        <v>23</v>
      </c>
      <c r="AJ43" t="s">
        <v>23</v>
      </c>
    </row>
    <row r="44" spans="1:36" x14ac:dyDescent="0.35">
      <c r="A44" s="2">
        <v>1042</v>
      </c>
      <c r="B44" s="4">
        <v>45109</v>
      </c>
      <c r="C44" s="1" t="s">
        <v>30</v>
      </c>
      <c r="D44" s="1" t="s">
        <v>31</v>
      </c>
      <c r="E44">
        <v>205786</v>
      </c>
      <c r="F44">
        <v>18</v>
      </c>
      <c r="G44" s="1" t="s">
        <v>26</v>
      </c>
      <c r="H44">
        <v>18568</v>
      </c>
      <c r="I44">
        <v>26509</v>
      </c>
      <c r="J44" s="1" t="s">
        <v>27</v>
      </c>
      <c r="K44" s="3">
        <v>3</v>
      </c>
      <c r="L44" s="1" t="s">
        <v>36</v>
      </c>
      <c r="M44" s="1" t="s">
        <v>29</v>
      </c>
      <c r="N44" s="3">
        <v>2024010123</v>
      </c>
      <c r="O44" s="3">
        <f t="shared" si="0"/>
        <v>1.23</v>
      </c>
      <c r="P44" s="6">
        <f t="shared" si="1"/>
        <v>253116.78</v>
      </c>
      <c r="Q44" s="3" t="str">
        <f t="shared" si="8"/>
        <v>Excellent</v>
      </c>
      <c r="R44" s="3">
        <f t="shared" si="2"/>
        <v>7941</v>
      </c>
      <c r="S44" s="7">
        <f t="shared" si="3"/>
        <v>142938</v>
      </c>
      <c r="T44" s="3" t="str">
        <f t="shared" si="4"/>
        <v>High Profit</v>
      </c>
      <c r="U44" s="3" t="str">
        <f t="shared" si="5"/>
        <v>Low Discount</v>
      </c>
      <c r="V44" s="3" t="str">
        <f t="shared" si="6"/>
        <v>Priority C</v>
      </c>
      <c r="W44">
        <f t="shared" si="7"/>
        <v>30867.899999999998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t="s">
        <v>23</v>
      </c>
      <c r="AE44" t="s">
        <v>23</v>
      </c>
      <c r="AF44" t="s">
        <v>23</v>
      </c>
      <c r="AG44" t="s">
        <v>23</v>
      </c>
      <c r="AH44" t="s">
        <v>23</v>
      </c>
      <c r="AI44" t="s">
        <v>23</v>
      </c>
      <c r="AJ44" t="s">
        <v>23</v>
      </c>
    </row>
    <row r="45" spans="1:36" x14ac:dyDescent="0.35">
      <c r="A45" s="2">
        <v>1043</v>
      </c>
      <c r="B45" s="4">
        <v>45272</v>
      </c>
      <c r="C45" s="1" t="s">
        <v>24</v>
      </c>
      <c r="D45" s="1" t="s">
        <v>31</v>
      </c>
      <c r="E45">
        <v>750508</v>
      </c>
      <c r="F45">
        <v>12</v>
      </c>
      <c r="G45" s="1" t="s">
        <v>39</v>
      </c>
      <c r="H45">
        <v>25584</v>
      </c>
      <c r="I45">
        <v>29144</v>
      </c>
      <c r="J45" s="1" t="s">
        <v>33</v>
      </c>
      <c r="K45" s="3">
        <v>7</v>
      </c>
      <c r="L45" s="1" t="s">
        <v>28</v>
      </c>
      <c r="M45" s="1" t="s">
        <v>37</v>
      </c>
      <c r="N45" s="3">
        <v>2024010123</v>
      </c>
      <c r="O45" s="3">
        <f t="shared" si="0"/>
        <v>1.23</v>
      </c>
      <c r="P45" s="6">
        <f t="shared" si="1"/>
        <v>923124.84</v>
      </c>
      <c r="Q45" s="3" t="str">
        <f t="shared" si="8"/>
        <v>Excellent</v>
      </c>
      <c r="R45" s="3">
        <f t="shared" si="2"/>
        <v>3560</v>
      </c>
      <c r="S45" s="7">
        <f t="shared" si="3"/>
        <v>42720</v>
      </c>
      <c r="T45" s="3" t="str">
        <f t="shared" si="4"/>
        <v>High Profit</v>
      </c>
      <c r="U45" s="3" t="str">
        <f t="shared" si="5"/>
        <v>Medium Discount</v>
      </c>
      <c r="V45" s="3" t="str">
        <f t="shared" si="6"/>
        <v>Priority C</v>
      </c>
      <c r="W45">
        <f t="shared" si="7"/>
        <v>75050.8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t="s">
        <v>23</v>
      </c>
      <c r="AE45" t="s">
        <v>23</v>
      </c>
      <c r="AF45" t="s">
        <v>23</v>
      </c>
      <c r="AG45" t="s">
        <v>23</v>
      </c>
      <c r="AH45" t="s">
        <v>23</v>
      </c>
      <c r="AI45" t="s">
        <v>23</v>
      </c>
      <c r="AJ45" t="s">
        <v>23</v>
      </c>
    </row>
    <row r="46" spans="1:36" x14ac:dyDescent="0.35">
      <c r="A46" s="2">
        <v>1044</v>
      </c>
      <c r="B46" s="4">
        <v>44966</v>
      </c>
      <c r="C46" s="1" t="s">
        <v>38</v>
      </c>
      <c r="D46" s="1" t="s">
        <v>42</v>
      </c>
      <c r="E46">
        <v>540022</v>
      </c>
      <c r="F46">
        <v>16</v>
      </c>
      <c r="G46" s="1" t="s">
        <v>26</v>
      </c>
      <c r="H46">
        <v>44695</v>
      </c>
      <c r="I46">
        <v>49448</v>
      </c>
      <c r="J46" s="1" t="s">
        <v>33</v>
      </c>
      <c r="K46" s="3">
        <v>10</v>
      </c>
      <c r="L46" s="1" t="s">
        <v>36</v>
      </c>
      <c r="M46" s="1" t="s">
        <v>37</v>
      </c>
      <c r="N46" s="3">
        <v>2024010123</v>
      </c>
      <c r="O46" s="3">
        <f t="shared" si="0"/>
        <v>1.23</v>
      </c>
      <c r="P46" s="6">
        <f t="shared" si="1"/>
        <v>664227.05999999994</v>
      </c>
      <c r="Q46" s="3" t="str">
        <f t="shared" si="8"/>
        <v>Excellent</v>
      </c>
      <c r="R46" s="3">
        <f t="shared" si="2"/>
        <v>4753</v>
      </c>
      <c r="S46" s="7">
        <f t="shared" si="3"/>
        <v>76048</v>
      </c>
      <c r="T46" s="3" t="str">
        <f t="shared" si="4"/>
        <v>High Profit</v>
      </c>
      <c r="U46" s="3" t="str">
        <f t="shared" si="5"/>
        <v>Medium Discount</v>
      </c>
      <c r="V46" s="3" t="str">
        <f t="shared" si="6"/>
        <v>Priority C</v>
      </c>
      <c r="W46">
        <f t="shared" si="7"/>
        <v>54002.200000000004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23</v>
      </c>
      <c r="AD46" t="s">
        <v>23</v>
      </c>
      <c r="AE46" t="s">
        <v>23</v>
      </c>
      <c r="AF46" t="s">
        <v>23</v>
      </c>
      <c r="AG46" t="s">
        <v>23</v>
      </c>
      <c r="AH46" t="s">
        <v>23</v>
      </c>
      <c r="AI46" t="s">
        <v>23</v>
      </c>
      <c r="AJ46" t="s">
        <v>23</v>
      </c>
    </row>
    <row r="47" spans="1:36" x14ac:dyDescent="0.35">
      <c r="A47" s="2">
        <v>1045</v>
      </c>
      <c r="B47" s="4">
        <v>45107</v>
      </c>
      <c r="C47" s="1" t="s">
        <v>30</v>
      </c>
      <c r="D47" s="1" t="s">
        <v>31</v>
      </c>
      <c r="E47">
        <v>136764</v>
      </c>
      <c r="F47">
        <v>18</v>
      </c>
      <c r="G47" s="1" t="s">
        <v>32</v>
      </c>
      <c r="H47">
        <v>29737</v>
      </c>
      <c r="I47">
        <v>34585</v>
      </c>
      <c r="J47" s="1" t="s">
        <v>27</v>
      </c>
      <c r="K47" s="3">
        <v>5</v>
      </c>
      <c r="L47" s="1" t="s">
        <v>36</v>
      </c>
      <c r="M47" s="1" t="s">
        <v>29</v>
      </c>
      <c r="N47" s="3">
        <v>2024010123</v>
      </c>
      <c r="O47" s="3">
        <f t="shared" si="0"/>
        <v>1.23</v>
      </c>
      <c r="P47" s="6">
        <f t="shared" si="1"/>
        <v>168219.72</v>
      </c>
      <c r="Q47" s="3" t="str">
        <f t="shared" si="8"/>
        <v>Excellent</v>
      </c>
      <c r="R47" s="3">
        <f t="shared" si="2"/>
        <v>4848</v>
      </c>
      <c r="S47" s="7">
        <f t="shared" si="3"/>
        <v>87264</v>
      </c>
      <c r="T47" s="3" t="str">
        <f t="shared" si="4"/>
        <v>High Profit</v>
      </c>
      <c r="U47" s="3" t="str">
        <f t="shared" si="5"/>
        <v>Medium Discount</v>
      </c>
      <c r="V47" s="3" t="str">
        <f t="shared" si="6"/>
        <v>Priority C</v>
      </c>
      <c r="W47">
        <f t="shared" si="7"/>
        <v>20514.599999999999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23</v>
      </c>
      <c r="AD47" t="s">
        <v>23</v>
      </c>
      <c r="AE47" t="s">
        <v>23</v>
      </c>
      <c r="AF47" t="s">
        <v>23</v>
      </c>
      <c r="AG47" t="s">
        <v>23</v>
      </c>
      <c r="AH47" t="s">
        <v>23</v>
      </c>
      <c r="AI47" t="s">
        <v>23</v>
      </c>
      <c r="AJ47" t="s">
        <v>23</v>
      </c>
    </row>
    <row r="48" spans="1:36" x14ac:dyDescent="0.35">
      <c r="A48" s="2">
        <v>1046</v>
      </c>
      <c r="B48" s="4">
        <v>45236</v>
      </c>
      <c r="C48" s="1" t="s">
        <v>34</v>
      </c>
      <c r="D48" s="1" t="s">
        <v>43</v>
      </c>
      <c r="E48">
        <v>187096</v>
      </c>
      <c r="F48">
        <v>8</v>
      </c>
      <c r="G48" s="1" t="s">
        <v>32</v>
      </c>
      <c r="H48">
        <v>41831</v>
      </c>
      <c r="I48">
        <v>47632</v>
      </c>
      <c r="J48" s="1" t="s">
        <v>27</v>
      </c>
      <c r="K48" s="3">
        <v>17</v>
      </c>
      <c r="L48" s="1" t="s">
        <v>28</v>
      </c>
      <c r="M48" s="1" t="s">
        <v>29</v>
      </c>
      <c r="N48" s="3">
        <v>2024010123</v>
      </c>
      <c r="O48" s="3">
        <f t="shared" si="0"/>
        <v>1.23</v>
      </c>
      <c r="P48" s="6">
        <f t="shared" si="1"/>
        <v>230128.08</v>
      </c>
      <c r="Q48" s="3" t="str">
        <f t="shared" si="8"/>
        <v>Excellent</v>
      </c>
      <c r="R48" s="3">
        <f t="shared" si="2"/>
        <v>5801</v>
      </c>
      <c r="S48" s="7">
        <f t="shared" si="3"/>
        <v>46408</v>
      </c>
      <c r="T48" s="3" t="str">
        <f t="shared" si="4"/>
        <v>High Profit</v>
      </c>
      <c r="U48" s="3" t="str">
        <f t="shared" si="5"/>
        <v>High Discount</v>
      </c>
      <c r="V48" s="3" t="str">
        <f t="shared" si="6"/>
        <v>Priority D</v>
      </c>
      <c r="W48">
        <f t="shared" si="7"/>
        <v>28064.399999999998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 t="s">
        <v>23</v>
      </c>
      <c r="AE48" t="s">
        <v>23</v>
      </c>
      <c r="AF48" t="s">
        <v>23</v>
      </c>
      <c r="AG48" t="s">
        <v>23</v>
      </c>
      <c r="AH48" t="s">
        <v>23</v>
      </c>
      <c r="AI48" t="s">
        <v>23</v>
      </c>
      <c r="AJ48" t="s">
        <v>23</v>
      </c>
    </row>
    <row r="49" spans="1:36" x14ac:dyDescent="0.35">
      <c r="A49" s="2">
        <v>1047</v>
      </c>
      <c r="B49" s="4">
        <v>45209</v>
      </c>
      <c r="C49" s="1" t="s">
        <v>38</v>
      </c>
      <c r="D49" s="1" t="s">
        <v>31</v>
      </c>
      <c r="E49">
        <v>103318</v>
      </c>
      <c r="F49">
        <v>18</v>
      </c>
      <c r="G49" s="1" t="s">
        <v>35</v>
      </c>
      <c r="H49">
        <v>20054</v>
      </c>
      <c r="I49">
        <v>24841</v>
      </c>
      <c r="J49" s="1" t="s">
        <v>33</v>
      </c>
      <c r="K49" s="3">
        <v>26</v>
      </c>
      <c r="L49" s="1" t="s">
        <v>36</v>
      </c>
      <c r="M49" s="1" t="s">
        <v>37</v>
      </c>
      <c r="N49" s="3">
        <v>2024010123</v>
      </c>
      <c r="O49" s="3">
        <f t="shared" si="0"/>
        <v>1.23</v>
      </c>
      <c r="P49" s="6">
        <f t="shared" si="1"/>
        <v>127081.14</v>
      </c>
      <c r="Q49" s="3" t="str">
        <f t="shared" si="8"/>
        <v>Excellent</v>
      </c>
      <c r="R49" s="3">
        <f t="shared" si="2"/>
        <v>4787</v>
      </c>
      <c r="S49" s="7">
        <f t="shared" si="3"/>
        <v>86166</v>
      </c>
      <c r="T49" s="3" t="str">
        <f t="shared" si="4"/>
        <v>High Profit</v>
      </c>
      <c r="U49" s="3" t="str">
        <f t="shared" si="5"/>
        <v>High Discount</v>
      </c>
      <c r="V49" s="3" t="str">
        <f t="shared" si="6"/>
        <v>Priority C</v>
      </c>
      <c r="W49">
        <f t="shared" si="7"/>
        <v>10331.800000000001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23</v>
      </c>
      <c r="AD49" t="s">
        <v>23</v>
      </c>
      <c r="AE49" t="s">
        <v>23</v>
      </c>
      <c r="AF49" t="s">
        <v>23</v>
      </c>
      <c r="AG49" t="s">
        <v>23</v>
      </c>
      <c r="AH49" t="s">
        <v>23</v>
      </c>
      <c r="AI49" t="s">
        <v>23</v>
      </c>
      <c r="AJ49" t="s">
        <v>23</v>
      </c>
    </row>
    <row r="50" spans="1:36" x14ac:dyDescent="0.35">
      <c r="A50" s="2">
        <v>1048</v>
      </c>
      <c r="B50" s="4">
        <v>45163</v>
      </c>
      <c r="C50" s="1" t="s">
        <v>34</v>
      </c>
      <c r="D50" s="1" t="s">
        <v>31</v>
      </c>
      <c r="E50">
        <v>245287</v>
      </c>
      <c r="F50">
        <v>18</v>
      </c>
      <c r="G50" s="1" t="s">
        <v>35</v>
      </c>
      <c r="H50">
        <v>32962</v>
      </c>
      <c r="I50">
        <v>40958</v>
      </c>
      <c r="J50" s="1" t="s">
        <v>27</v>
      </c>
      <c r="K50" s="3">
        <v>18</v>
      </c>
      <c r="L50" s="1" t="s">
        <v>28</v>
      </c>
      <c r="M50" s="1" t="s">
        <v>29</v>
      </c>
      <c r="N50" s="3">
        <v>2024010123</v>
      </c>
      <c r="O50" s="3">
        <f t="shared" si="0"/>
        <v>1.23</v>
      </c>
      <c r="P50" s="6">
        <f t="shared" si="1"/>
        <v>301703.01</v>
      </c>
      <c r="Q50" s="3" t="str">
        <f t="shared" si="8"/>
        <v>Excellent</v>
      </c>
      <c r="R50" s="3">
        <f t="shared" si="2"/>
        <v>7996</v>
      </c>
      <c r="S50" s="7">
        <f t="shared" si="3"/>
        <v>143928</v>
      </c>
      <c r="T50" s="3" t="str">
        <f t="shared" si="4"/>
        <v>High Profit</v>
      </c>
      <c r="U50" s="3" t="str">
        <f t="shared" si="5"/>
        <v>High Discount</v>
      </c>
      <c r="V50" s="3" t="str">
        <f t="shared" si="6"/>
        <v>Priority C</v>
      </c>
      <c r="W50">
        <f t="shared" si="7"/>
        <v>36793.049999999996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23</v>
      </c>
      <c r="AD50" t="s">
        <v>23</v>
      </c>
      <c r="AE50" t="s">
        <v>23</v>
      </c>
      <c r="AF50" t="s">
        <v>23</v>
      </c>
      <c r="AG50" t="s">
        <v>23</v>
      </c>
      <c r="AH50" t="s">
        <v>23</v>
      </c>
      <c r="AI50" t="s">
        <v>23</v>
      </c>
      <c r="AJ50" t="s">
        <v>23</v>
      </c>
    </row>
    <row r="51" spans="1:36" x14ac:dyDescent="0.35">
      <c r="A51" s="2">
        <v>1049</v>
      </c>
      <c r="B51" s="4">
        <v>45043</v>
      </c>
      <c r="C51" s="1" t="s">
        <v>38</v>
      </c>
      <c r="D51" s="1" t="s">
        <v>43</v>
      </c>
      <c r="E51">
        <v>669029</v>
      </c>
      <c r="F51">
        <v>8</v>
      </c>
      <c r="G51" s="1" t="s">
        <v>32</v>
      </c>
      <c r="H51">
        <v>26269</v>
      </c>
      <c r="I51">
        <v>33172</v>
      </c>
      <c r="J51" s="1" t="s">
        <v>27</v>
      </c>
      <c r="K51" s="3">
        <v>22</v>
      </c>
      <c r="L51" s="1" t="s">
        <v>36</v>
      </c>
      <c r="M51" s="1" t="s">
        <v>29</v>
      </c>
      <c r="N51" s="3">
        <v>2024010123</v>
      </c>
      <c r="O51" s="3">
        <f t="shared" si="0"/>
        <v>1.23</v>
      </c>
      <c r="P51" s="6">
        <f t="shared" si="1"/>
        <v>822905.67</v>
      </c>
      <c r="Q51" s="3" t="str">
        <f t="shared" si="8"/>
        <v>Excellent</v>
      </c>
      <c r="R51" s="3">
        <f t="shared" si="2"/>
        <v>6903</v>
      </c>
      <c r="S51" s="7">
        <f t="shared" si="3"/>
        <v>55224</v>
      </c>
      <c r="T51" s="3" t="str">
        <f t="shared" si="4"/>
        <v>High Profit</v>
      </c>
      <c r="U51" s="3" t="str">
        <f t="shared" si="5"/>
        <v>High Discount</v>
      </c>
      <c r="V51" s="3" t="str">
        <f t="shared" si="6"/>
        <v>Priority D</v>
      </c>
      <c r="W51">
        <f t="shared" si="7"/>
        <v>100354.34999999999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23</v>
      </c>
      <c r="AD51" t="s">
        <v>23</v>
      </c>
      <c r="AE51" t="s">
        <v>23</v>
      </c>
      <c r="AF51" t="s">
        <v>23</v>
      </c>
      <c r="AG51" t="s">
        <v>23</v>
      </c>
      <c r="AH51" t="s">
        <v>23</v>
      </c>
      <c r="AI51" t="s">
        <v>23</v>
      </c>
      <c r="AJ51" t="s">
        <v>23</v>
      </c>
    </row>
    <row r="52" spans="1:36" x14ac:dyDescent="0.35">
      <c r="A52" s="2">
        <v>1050</v>
      </c>
      <c r="B52" s="4">
        <v>45191</v>
      </c>
      <c r="C52" s="1" t="s">
        <v>34</v>
      </c>
      <c r="D52" s="1" t="s">
        <v>42</v>
      </c>
      <c r="E52">
        <v>615854</v>
      </c>
      <c r="F52">
        <v>12</v>
      </c>
      <c r="G52" s="1" t="s">
        <v>39</v>
      </c>
      <c r="H52">
        <v>44280</v>
      </c>
      <c r="I52">
        <v>48923</v>
      </c>
      <c r="J52" s="1" t="s">
        <v>33</v>
      </c>
      <c r="K52" s="3">
        <v>0</v>
      </c>
      <c r="L52" s="1" t="s">
        <v>28</v>
      </c>
      <c r="M52" s="1" t="s">
        <v>37</v>
      </c>
      <c r="N52" s="3">
        <v>2024010123</v>
      </c>
      <c r="O52" s="3">
        <f t="shared" si="0"/>
        <v>1.23</v>
      </c>
      <c r="P52" s="6">
        <f t="shared" si="1"/>
        <v>757500.42</v>
      </c>
      <c r="Q52" s="3" t="str">
        <f t="shared" si="8"/>
        <v>Excellent</v>
      </c>
      <c r="R52" s="3">
        <f t="shared" si="2"/>
        <v>4643</v>
      </c>
      <c r="S52" s="7">
        <f t="shared" si="3"/>
        <v>55716</v>
      </c>
      <c r="T52" s="3" t="str">
        <f t="shared" si="4"/>
        <v>High Profit</v>
      </c>
      <c r="U52" s="3" t="str">
        <f t="shared" si="5"/>
        <v>No Discount</v>
      </c>
      <c r="V52" s="3" t="str">
        <f t="shared" si="6"/>
        <v>Priority C</v>
      </c>
      <c r="W52">
        <f t="shared" si="7"/>
        <v>61585.4</v>
      </c>
      <c r="X52" t="s">
        <v>23</v>
      </c>
      <c r="Y52" t="s">
        <v>23</v>
      </c>
      <c r="Z52" t="s">
        <v>23</v>
      </c>
      <c r="AA52" t="s">
        <v>23</v>
      </c>
      <c r="AB52" t="s">
        <v>23</v>
      </c>
      <c r="AC52" t="s">
        <v>23</v>
      </c>
      <c r="AD52" t="s">
        <v>23</v>
      </c>
      <c r="AE52" t="s">
        <v>23</v>
      </c>
      <c r="AF52" t="s">
        <v>23</v>
      </c>
      <c r="AG52" t="s">
        <v>23</v>
      </c>
      <c r="AH52" t="s">
        <v>23</v>
      </c>
      <c r="AI52" t="s">
        <v>23</v>
      </c>
      <c r="AJ52" t="s">
        <v>23</v>
      </c>
    </row>
    <row r="53" spans="1:36" x14ac:dyDescent="0.35">
      <c r="A53" s="2">
        <v>1051</v>
      </c>
      <c r="B53" s="4">
        <v>45129</v>
      </c>
      <c r="C53" s="1" t="s">
        <v>24</v>
      </c>
      <c r="D53" s="1" t="s">
        <v>42</v>
      </c>
      <c r="E53">
        <v>624397</v>
      </c>
      <c r="F53">
        <v>12</v>
      </c>
      <c r="G53" s="1" t="s">
        <v>35</v>
      </c>
      <c r="H53">
        <v>48250</v>
      </c>
      <c r="I53">
        <v>51832</v>
      </c>
      <c r="J53" s="1" t="s">
        <v>33</v>
      </c>
      <c r="K53" s="3">
        <v>3</v>
      </c>
      <c r="L53" s="1" t="s">
        <v>28</v>
      </c>
      <c r="M53" s="1" t="s">
        <v>29</v>
      </c>
      <c r="N53" s="3">
        <v>2024010123</v>
      </c>
      <c r="O53" s="3">
        <f t="shared" si="0"/>
        <v>1.23</v>
      </c>
      <c r="P53" s="6">
        <f t="shared" si="1"/>
        <v>768008.30999999994</v>
      </c>
      <c r="Q53" s="3" t="str">
        <f t="shared" si="8"/>
        <v>Excellent</v>
      </c>
      <c r="R53" s="3">
        <f t="shared" si="2"/>
        <v>3582</v>
      </c>
      <c r="S53" s="7">
        <f t="shared" si="3"/>
        <v>42984</v>
      </c>
      <c r="T53" s="3" t="str">
        <f t="shared" si="4"/>
        <v>High Profit</v>
      </c>
      <c r="U53" s="3" t="str">
        <f t="shared" si="5"/>
        <v>Low Discount</v>
      </c>
      <c r="V53" s="3" t="str">
        <f t="shared" si="6"/>
        <v>Priority D</v>
      </c>
      <c r="W53">
        <f t="shared" si="7"/>
        <v>62439.700000000004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t="s">
        <v>23</v>
      </c>
      <c r="AE53" t="s">
        <v>23</v>
      </c>
      <c r="AF53" t="s">
        <v>23</v>
      </c>
      <c r="AG53" t="s">
        <v>23</v>
      </c>
      <c r="AH53" t="s">
        <v>23</v>
      </c>
      <c r="AI53" t="s">
        <v>23</v>
      </c>
      <c r="AJ53" t="s">
        <v>23</v>
      </c>
    </row>
    <row r="54" spans="1:36" x14ac:dyDescent="0.35">
      <c r="A54" s="2">
        <v>1052</v>
      </c>
      <c r="B54" s="4">
        <v>45162</v>
      </c>
      <c r="C54" s="1" t="s">
        <v>38</v>
      </c>
      <c r="D54" s="1" t="s">
        <v>31</v>
      </c>
      <c r="E54">
        <v>272389</v>
      </c>
      <c r="F54">
        <v>12</v>
      </c>
      <c r="G54" s="1" t="s">
        <v>32</v>
      </c>
      <c r="H54">
        <v>30616</v>
      </c>
      <c r="I54">
        <v>33014</v>
      </c>
      <c r="J54" s="1" t="s">
        <v>27</v>
      </c>
      <c r="K54" s="3">
        <v>3</v>
      </c>
      <c r="L54" s="1" t="s">
        <v>36</v>
      </c>
      <c r="M54" s="1" t="s">
        <v>37</v>
      </c>
      <c r="N54" s="3">
        <v>2024010123</v>
      </c>
      <c r="O54" s="3">
        <f t="shared" si="0"/>
        <v>1.23</v>
      </c>
      <c r="P54" s="6">
        <f t="shared" si="1"/>
        <v>335038.46999999997</v>
      </c>
      <c r="Q54" s="3" t="str">
        <f t="shared" si="8"/>
        <v>Excellent</v>
      </c>
      <c r="R54" s="3">
        <f t="shared" si="2"/>
        <v>2398</v>
      </c>
      <c r="S54" s="7">
        <f t="shared" si="3"/>
        <v>28776</v>
      </c>
      <c r="T54" s="3" t="str">
        <f t="shared" si="4"/>
        <v>High Profit</v>
      </c>
      <c r="U54" s="3" t="str">
        <f t="shared" si="5"/>
        <v>Low Discount</v>
      </c>
      <c r="V54" s="3" t="str">
        <f t="shared" si="6"/>
        <v>Priority C</v>
      </c>
      <c r="W54">
        <f t="shared" si="7"/>
        <v>40858.35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23</v>
      </c>
      <c r="AD54" t="s">
        <v>23</v>
      </c>
      <c r="AE54" t="s">
        <v>23</v>
      </c>
      <c r="AF54" t="s">
        <v>23</v>
      </c>
      <c r="AG54" t="s">
        <v>23</v>
      </c>
      <c r="AH54" t="s">
        <v>23</v>
      </c>
      <c r="AI54" t="s">
        <v>23</v>
      </c>
      <c r="AJ54" t="s">
        <v>23</v>
      </c>
    </row>
    <row r="55" spans="1:36" x14ac:dyDescent="0.35">
      <c r="A55" s="2">
        <v>1053</v>
      </c>
      <c r="B55" s="4">
        <v>45028</v>
      </c>
      <c r="C55" s="1" t="s">
        <v>30</v>
      </c>
      <c r="D55" s="1" t="s">
        <v>42</v>
      </c>
      <c r="E55">
        <v>167531</v>
      </c>
      <c r="F55">
        <v>12</v>
      </c>
      <c r="G55" s="1" t="s">
        <v>35</v>
      </c>
      <c r="H55">
        <v>31083</v>
      </c>
      <c r="I55">
        <v>32684</v>
      </c>
      <c r="J55" s="1" t="s">
        <v>27</v>
      </c>
      <c r="K55" s="3">
        <v>11</v>
      </c>
      <c r="L55" s="1" t="s">
        <v>28</v>
      </c>
      <c r="M55" s="1" t="s">
        <v>37</v>
      </c>
      <c r="N55" s="3">
        <v>2024010123</v>
      </c>
      <c r="O55" s="3">
        <f t="shared" si="0"/>
        <v>1.23</v>
      </c>
      <c r="P55" s="6">
        <f t="shared" si="1"/>
        <v>206063.13</v>
      </c>
      <c r="Q55" s="3" t="str">
        <f t="shared" si="8"/>
        <v>Excellent</v>
      </c>
      <c r="R55" s="3">
        <f t="shared" si="2"/>
        <v>1601</v>
      </c>
      <c r="S55" s="7">
        <f t="shared" si="3"/>
        <v>19212</v>
      </c>
      <c r="T55" s="3" t="str">
        <f t="shared" si="4"/>
        <v>High Profit</v>
      </c>
      <c r="U55" s="3" t="str">
        <f t="shared" si="5"/>
        <v>Medium Discount</v>
      </c>
      <c r="V55" s="3" t="str">
        <f t="shared" si="6"/>
        <v>Priority C</v>
      </c>
      <c r="W55">
        <f t="shared" si="7"/>
        <v>25129.649999999998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23</v>
      </c>
      <c r="AD55" t="s">
        <v>23</v>
      </c>
      <c r="AE55" t="s">
        <v>23</v>
      </c>
      <c r="AF55" t="s">
        <v>23</v>
      </c>
      <c r="AG55" t="s">
        <v>23</v>
      </c>
      <c r="AH55" t="s">
        <v>23</v>
      </c>
      <c r="AI55" t="s">
        <v>23</v>
      </c>
      <c r="AJ55" t="s">
        <v>23</v>
      </c>
    </row>
    <row r="56" spans="1:36" x14ac:dyDescent="0.35">
      <c r="A56" s="2">
        <v>1054</v>
      </c>
      <c r="B56" s="4">
        <v>45091</v>
      </c>
      <c r="C56" s="1" t="s">
        <v>34</v>
      </c>
      <c r="D56" s="1" t="s">
        <v>25</v>
      </c>
      <c r="E56">
        <v>533662</v>
      </c>
      <c r="F56">
        <v>12</v>
      </c>
      <c r="G56" s="1" t="s">
        <v>32</v>
      </c>
      <c r="H56">
        <v>43146</v>
      </c>
      <c r="I56">
        <v>46852</v>
      </c>
      <c r="J56" s="1" t="s">
        <v>27</v>
      </c>
      <c r="K56" s="3">
        <v>12</v>
      </c>
      <c r="L56" s="1" t="s">
        <v>40</v>
      </c>
      <c r="M56" s="1" t="s">
        <v>29</v>
      </c>
      <c r="N56" s="3">
        <v>2024010123</v>
      </c>
      <c r="O56" s="3">
        <f t="shared" si="0"/>
        <v>1.23</v>
      </c>
      <c r="P56" s="6">
        <f t="shared" si="1"/>
        <v>656404.26</v>
      </c>
      <c r="Q56" s="3" t="str">
        <f t="shared" si="8"/>
        <v>Excellent</v>
      </c>
      <c r="R56" s="3">
        <f t="shared" si="2"/>
        <v>3706</v>
      </c>
      <c r="S56" s="7">
        <f t="shared" si="3"/>
        <v>44472</v>
      </c>
      <c r="T56" s="3" t="str">
        <f t="shared" si="4"/>
        <v>High Profit</v>
      </c>
      <c r="U56" s="3" t="str">
        <f t="shared" si="5"/>
        <v>Medium Discount</v>
      </c>
      <c r="V56" s="3" t="str">
        <f t="shared" si="6"/>
        <v>Priority D</v>
      </c>
      <c r="W56">
        <f t="shared" si="7"/>
        <v>80049.3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23</v>
      </c>
      <c r="AD56" t="s">
        <v>23</v>
      </c>
      <c r="AE56" t="s">
        <v>23</v>
      </c>
      <c r="AF56" t="s">
        <v>23</v>
      </c>
      <c r="AG56" t="s">
        <v>23</v>
      </c>
      <c r="AH56" t="s">
        <v>23</v>
      </c>
      <c r="AI56" t="s">
        <v>23</v>
      </c>
      <c r="AJ56" t="s">
        <v>23</v>
      </c>
    </row>
    <row r="57" spans="1:36" x14ac:dyDescent="0.35">
      <c r="A57" s="2">
        <v>1055</v>
      </c>
      <c r="B57" s="4">
        <v>44961</v>
      </c>
      <c r="C57" s="1" t="s">
        <v>24</v>
      </c>
      <c r="D57" s="1" t="s">
        <v>31</v>
      </c>
      <c r="E57">
        <v>459558</v>
      </c>
      <c r="F57">
        <v>12</v>
      </c>
      <c r="G57" s="1" t="s">
        <v>35</v>
      </c>
      <c r="H57">
        <v>21572</v>
      </c>
      <c r="I57">
        <v>25583</v>
      </c>
      <c r="J57" s="1" t="s">
        <v>33</v>
      </c>
      <c r="K57" s="3">
        <v>12</v>
      </c>
      <c r="L57" s="1" t="s">
        <v>28</v>
      </c>
      <c r="M57" s="1" t="s">
        <v>37</v>
      </c>
      <c r="N57" s="3">
        <v>2024010123</v>
      </c>
      <c r="O57" s="3">
        <f t="shared" si="0"/>
        <v>1.23</v>
      </c>
      <c r="P57" s="6">
        <f t="shared" si="1"/>
        <v>565256.34</v>
      </c>
      <c r="Q57" s="3" t="str">
        <f t="shared" si="8"/>
        <v>Excellent</v>
      </c>
      <c r="R57" s="3">
        <f t="shared" si="2"/>
        <v>4011</v>
      </c>
      <c r="S57" s="7">
        <f t="shared" si="3"/>
        <v>48132</v>
      </c>
      <c r="T57" s="3" t="str">
        <f t="shared" si="4"/>
        <v>High Profit</v>
      </c>
      <c r="U57" s="3" t="str">
        <f t="shared" si="5"/>
        <v>Medium Discount</v>
      </c>
      <c r="V57" s="3" t="str">
        <f t="shared" si="6"/>
        <v>Priority C</v>
      </c>
      <c r="W57">
        <f t="shared" si="7"/>
        <v>45955.8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t="s">
        <v>23</v>
      </c>
      <c r="AE57" t="s">
        <v>23</v>
      </c>
      <c r="AF57" t="s">
        <v>23</v>
      </c>
      <c r="AG57" t="s">
        <v>23</v>
      </c>
      <c r="AH57" t="s">
        <v>23</v>
      </c>
      <c r="AI57" t="s">
        <v>23</v>
      </c>
      <c r="AJ57" t="s">
        <v>23</v>
      </c>
    </row>
    <row r="58" spans="1:36" x14ac:dyDescent="0.35">
      <c r="A58" s="2">
        <v>1056</v>
      </c>
      <c r="B58" s="4">
        <v>44990</v>
      </c>
      <c r="C58" s="1" t="s">
        <v>34</v>
      </c>
      <c r="D58" s="1" t="s">
        <v>25</v>
      </c>
      <c r="E58">
        <v>184497</v>
      </c>
      <c r="F58">
        <v>5</v>
      </c>
      <c r="G58" s="1" t="s">
        <v>35</v>
      </c>
      <c r="H58">
        <v>53980</v>
      </c>
      <c r="I58">
        <v>57195</v>
      </c>
      <c r="J58" s="1" t="s">
        <v>33</v>
      </c>
      <c r="K58" s="3">
        <v>15</v>
      </c>
      <c r="L58" s="1" t="s">
        <v>36</v>
      </c>
      <c r="M58" s="1" t="s">
        <v>37</v>
      </c>
      <c r="N58" s="3">
        <v>2024010123</v>
      </c>
      <c r="O58" s="3">
        <f t="shared" si="0"/>
        <v>1.23</v>
      </c>
      <c r="P58" s="6">
        <f t="shared" si="1"/>
        <v>226931.31</v>
      </c>
      <c r="Q58" s="3" t="str">
        <f t="shared" si="8"/>
        <v>Excellent</v>
      </c>
      <c r="R58" s="3">
        <f t="shared" si="2"/>
        <v>3215</v>
      </c>
      <c r="S58" s="7">
        <f t="shared" si="3"/>
        <v>16075</v>
      </c>
      <c r="T58" s="3" t="str">
        <f t="shared" si="4"/>
        <v>High Profit</v>
      </c>
      <c r="U58" s="3" t="str">
        <f t="shared" si="5"/>
        <v>High Discount</v>
      </c>
      <c r="V58" s="3" t="str">
        <f t="shared" si="6"/>
        <v>Priority C</v>
      </c>
      <c r="W58">
        <f t="shared" si="7"/>
        <v>18449.7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 t="s">
        <v>23</v>
      </c>
      <c r="AE58" t="s">
        <v>23</v>
      </c>
      <c r="AF58" t="s">
        <v>23</v>
      </c>
      <c r="AG58" t="s">
        <v>23</v>
      </c>
      <c r="AH58" t="s">
        <v>23</v>
      </c>
      <c r="AI58" t="s">
        <v>23</v>
      </c>
      <c r="AJ58" t="s">
        <v>23</v>
      </c>
    </row>
    <row r="59" spans="1:36" x14ac:dyDescent="0.35">
      <c r="A59" s="2">
        <v>1057</v>
      </c>
      <c r="B59" s="4">
        <v>45243</v>
      </c>
      <c r="C59" s="1" t="s">
        <v>41</v>
      </c>
      <c r="D59" s="1" t="s">
        <v>43</v>
      </c>
      <c r="E59">
        <v>484563</v>
      </c>
      <c r="F59">
        <v>12</v>
      </c>
      <c r="G59" s="1" t="s">
        <v>26</v>
      </c>
      <c r="H59">
        <v>45442</v>
      </c>
      <c r="I59">
        <v>48488</v>
      </c>
      <c r="J59" s="1" t="s">
        <v>27</v>
      </c>
      <c r="K59" s="3">
        <v>23</v>
      </c>
      <c r="L59" s="1" t="s">
        <v>40</v>
      </c>
      <c r="M59" s="1" t="s">
        <v>29</v>
      </c>
      <c r="N59" s="3">
        <v>2024010123</v>
      </c>
      <c r="O59" s="3">
        <f t="shared" si="0"/>
        <v>1.23</v>
      </c>
      <c r="P59" s="6">
        <f t="shared" si="1"/>
        <v>596012.49</v>
      </c>
      <c r="Q59" s="3" t="str">
        <f t="shared" si="8"/>
        <v>Excellent</v>
      </c>
      <c r="R59" s="3">
        <f t="shared" si="2"/>
        <v>3046</v>
      </c>
      <c r="S59" s="7">
        <f t="shared" si="3"/>
        <v>36552</v>
      </c>
      <c r="T59" s="3" t="str">
        <f t="shared" si="4"/>
        <v>High Profit</v>
      </c>
      <c r="U59" s="3" t="str">
        <f t="shared" si="5"/>
        <v>High Discount</v>
      </c>
      <c r="V59" s="3" t="str">
        <f t="shared" si="6"/>
        <v>Priority D</v>
      </c>
      <c r="W59">
        <f t="shared" si="7"/>
        <v>72684.45</v>
      </c>
      <c r="X59" t="s">
        <v>23</v>
      </c>
      <c r="Y59" t="s">
        <v>23</v>
      </c>
      <c r="Z59" t="s">
        <v>23</v>
      </c>
      <c r="AA59" t="s">
        <v>23</v>
      </c>
      <c r="AB59" t="s">
        <v>23</v>
      </c>
      <c r="AC59" t="s">
        <v>23</v>
      </c>
      <c r="AD59" t="s">
        <v>23</v>
      </c>
      <c r="AE59" t="s">
        <v>23</v>
      </c>
      <c r="AF59" t="s">
        <v>23</v>
      </c>
      <c r="AG59" t="s">
        <v>23</v>
      </c>
      <c r="AH59" t="s">
        <v>23</v>
      </c>
      <c r="AI59" t="s">
        <v>23</v>
      </c>
      <c r="AJ59" t="s">
        <v>23</v>
      </c>
    </row>
    <row r="60" spans="1:36" x14ac:dyDescent="0.35">
      <c r="A60" s="2">
        <v>1058</v>
      </c>
      <c r="B60" s="4">
        <v>45218</v>
      </c>
      <c r="C60" s="1" t="s">
        <v>30</v>
      </c>
      <c r="D60" s="1" t="s">
        <v>43</v>
      </c>
      <c r="E60">
        <v>37639</v>
      </c>
      <c r="F60">
        <v>12</v>
      </c>
      <c r="G60" s="1" t="s">
        <v>32</v>
      </c>
      <c r="H60">
        <v>40868</v>
      </c>
      <c r="I60">
        <v>42972</v>
      </c>
      <c r="J60" s="1" t="s">
        <v>33</v>
      </c>
      <c r="K60" s="3">
        <v>21</v>
      </c>
      <c r="L60" s="1" t="s">
        <v>28</v>
      </c>
      <c r="M60" s="1" t="s">
        <v>29</v>
      </c>
      <c r="N60" s="3">
        <v>2024010123</v>
      </c>
      <c r="O60" s="3">
        <f t="shared" si="0"/>
        <v>1.23</v>
      </c>
      <c r="P60" s="6">
        <f t="shared" si="1"/>
        <v>46295.97</v>
      </c>
      <c r="Q60" s="3" t="str">
        <f t="shared" si="8"/>
        <v>Excellent</v>
      </c>
      <c r="R60" s="3">
        <f t="shared" si="2"/>
        <v>2104</v>
      </c>
      <c r="S60" s="7">
        <f t="shared" si="3"/>
        <v>25248</v>
      </c>
      <c r="T60" s="3" t="str">
        <f t="shared" si="4"/>
        <v>High Profit</v>
      </c>
      <c r="U60" s="3" t="str">
        <f t="shared" si="5"/>
        <v>High Discount</v>
      </c>
      <c r="V60" s="3" t="str">
        <f t="shared" si="6"/>
        <v>Priority D</v>
      </c>
      <c r="W60">
        <f t="shared" si="7"/>
        <v>3763.9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23</v>
      </c>
      <c r="AD60" t="s">
        <v>23</v>
      </c>
      <c r="AE60" t="s">
        <v>23</v>
      </c>
      <c r="AF60" t="s">
        <v>23</v>
      </c>
      <c r="AG60" t="s">
        <v>23</v>
      </c>
      <c r="AH60" t="s">
        <v>23</v>
      </c>
      <c r="AI60" t="s">
        <v>23</v>
      </c>
      <c r="AJ60" t="s">
        <v>23</v>
      </c>
    </row>
    <row r="61" spans="1:36" x14ac:dyDescent="0.35">
      <c r="A61" s="2">
        <v>1059</v>
      </c>
      <c r="B61" s="4">
        <v>45270</v>
      </c>
      <c r="C61" s="1" t="s">
        <v>34</v>
      </c>
      <c r="D61" s="1" t="s">
        <v>31</v>
      </c>
      <c r="E61">
        <v>772300</v>
      </c>
      <c r="F61">
        <v>12</v>
      </c>
      <c r="G61" s="1" t="s">
        <v>32</v>
      </c>
      <c r="H61">
        <v>43976</v>
      </c>
      <c r="I61">
        <v>47892</v>
      </c>
      <c r="J61" s="1" t="s">
        <v>27</v>
      </c>
      <c r="K61" s="3">
        <v>16</v>
      </c>
      <c r="L61" s="1" t="s">
        <v>40</v>
      </c>
      <c r="M61" s="1" t="s">
        <v>29</v>
      </c>
      <c r="N61" s="3">
        <v>2024010123</v>
      </c>
      <c r="O61" s="3">
        <f t="shared" si="0"/>
        <v>1.23</v>
      </c>
      <c r="P61" s="6">
        <f t="shared" si="1"/>
        <v>949929</v>
      </c>
      <c r="Q61" s="3" t="str">
        <f t="shared" si="8"/>
        <v>Excellent</v>
      </c>
      <c r="R61" s="3">
        <f t="shared" si="2"/>
        <v>3916</v>
      </c>
      <c r="S61" s="7">
        <f t="shared" si="3"/>
        <v>46992</v>
      </c>
      <c r="T61" s="3" t="str">
        <f t="shared" si="4"/>
        <v>High Profit</v>
      </c>
      <c r="U61" s="3" t="str">
        <f t="shared" si="5"/>
        <v>High Discount</v>
      </c>
      <c r="V61" s="3" t="str">
        <f t="shared" si="6"/>
        <v>Priority D</v>
      </c>
      <c r="W61">
        <f t="shared" si="7"/>
        <v>115845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23</v>
      </c>
      <c r="AD61" t="s">
        <v>23</v>
      </c>
      <c r="AE61" t="s">
        <v>23</v>
      </c>
      <c r="AF61" t="s">
        <v>23</v>
      </c>
      <c r="AG61" t="s">
        <v>23</v>
      </c>
      <c r="AH61" t="s">
        <v>23</v>
      </c>
      <c r="AI61" t="s">
        <v>23</v>
      </c>
      <c r="AJ61" t="s">
        <v>23</v>
      </c>
    </row>
    <row r="62" spans="1:36" x14ac:dyDescent="0.35">
      <c r="A62" s="2">
        <v>1060</v>
      </c>
      <c r="B62" s="4">
        <v>45006</v>
      </c>
      <c r="C62" s="1" t="s">
        <v>34</v>
      </c>
      <c r="D62" s="1" t="s">
        <v>42</v>
      </c>
      <c r="E62">
        <v>333932</v>
      </c>
      <c r="F62">
        <v>31</v>
      </c>
      <c r="G62" s="1" t="s">
        <v>32</v>
      </c>
      <c r="H62">
        <v>18903</v>
      </c>
      <c r="I62">
        <v>32199</v>
      </c>
      <c r="J62" s="1" t="s">
        <v>27</v>
      </c>
      <c r="K62" s="3">
        <v>0</v>
      </c>
      <c r="L62" s="1" t="s">
        <v>40</v>
      </c>
      <c r="M62" s="1" t="s">
        <v>37</v>
      </c>
      <c r="N62" s="3">
        <v>2024010123</v>
      </c>
      <c r="O62" s="3">
        <f t="shared" si="0"/>
        <v>1.23</v>
      </c>
      <c r="P62" s="6">
        <f t="shared" si="1"/>
        <v>410736.36</v>
      </c>
      <c r="Q62" s="3" t="str">
        <f t="shared" si="8"/>
        <v>Excellent</v>
      </c>
      <c r="R62" s="3">
        <f t="shared" si="2"/>
        <v>13296</v>
      </c>
      <c r="S62" s="7">
        <f t="shared" si="3"/>
        <v>412176</v>
      </c>
      <c r="T62" s="3" t="str">
        <f t="shared" si="4"/>
        <v>High Profit</v>
      </c>
      <c r="U62" s="3" t="str">
        <f t="shared" si="5"/>
        <v>No Discount</v>
      </c>
      <c r="V62" s="3" t="str">
        <f t="shared" si="6"/>
        <v>Priority B</v>
      </c>
      <c r="W62">
        <f t="shared" si="7"/>
        <v>50089.799999999996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23</v>
      </c>
      <c r="AD62" t="s">
        <v>23</v>
      </c>
      <c r="AE62" t="s">
        <v>23</v>
      </c>
      <c r="AF62" t="s">
        <v>23</v>
      </c>
      <c r="AG62" t="s">
        <v>23</v>
      </c>
      <c r="AH62" t="s">
        <v>23</v>
      </c>
      <c r="AI62" t="s">
        <v>23</v>
      </c>
      <c r="AJ62" t="s">
        <v>23</v>
      </c>
    </row>
    <row r="63" spans="1:36" x14ac:dyDescent="0.35">
      <c r="A63" s="2">
        <v>1061</v>
      </c>
      <c r="B63" s="4">
        <v>45087</v>
      </c>
      <c r="C63" s="1" t="s">
        <v>41</v>
      </c>
      <c r="D63" s="1" t="s">
        <v>31</v>
      </c>
      <c r="E63">
        <v>730394</v>
      </c>
      <c r="F63">
        <v>12</v>
      </c>
      <c r="G63" s="1" t="s">
        <v>39</v>
      </c>
      <c r="H63">
        <v>25081</v>
      </c>
      <c r="I63">
        <v>35119</v>
      </c>
      <c r="J63" s="1" t="s">
        <v>27</v>
      </c>
      <c r="K63" s="3">
        <v>4</v>
      </c>
      <c r="L63" s="1" t="s">
        <v>40</v>
      </c>
      <c r="M63" s="1" t="s">
        <v>29</v>
      </c>
      <c r="N63" s="3">
        <v>2024010123</v>
      </c>
      <c r="O63" s="3">
        <f t="shared" si="0"/>
        <v>1.23</v>
      </c>
      <c r="P63" s="6">
        <f t="shared" si="1"/>
        <v>898384.62</v>
      </c>
      <c r="Q63" s="3" t="str">
        <f t="shared" si="8"/>
        <v>Excellent</v>
      </c>
      <c r="R63" s="3">
        <f t="shared" si="2"/>
        <v>10038</v>
      </c>
      <c r="S63" s="7">
        <f t="shared" si="3"/>
        <v>120456</v>
      </c>
      <c r="T63" s="3" t="str">
        <f t="shared" si="4"/>
        <v>High Profit</v>
      </c>
      <c r="U63" s="3" t="str">
        <f t="shared" si="5"/>
        <v>Low Discount</v>
      </c>
      <c r="V63" s="3" t="str">
        <f t="shared" si="6"/>
        <v>Priority D</v>
      </c>
      <c r="W63">
        <f t="shared" si="7"/>
        <v>109559.09999999999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23</v>
      </c>
      <c r="AD63" t="s">
        <v>23</v>
      </c>
      <c r="AE63" t="s">
        <v>23</v>
      </c>
      <c r="AF63" t="s">
        <v>23</v>
      </c>
      <c r="AG63" t="s">
        <v>23</v>
      </c>
      <c r="AH63" t="s">
        <v>23</v>
      </c>
      <c r="AI63" t="s">
        <v>23</v>
      </c>
      <c r="AJ63" t="s">
        <v>23</v>
      </c>
    </row>
    <row r="64" spans="1:36" x14ac:dyDescent="0.35">
      <c r="A64" s="2">
        <v>1062</v>
      </c>
      <c r="B64" s="4">
        <v>45106</v>
      </c>
      <c r="C64" s="1" t="s">
        <v>34</v>
      </c>
      <c r="D64" s="1" t="s">
        <v>31</v>
      </c>
      <c r="E64">
        <v>88555</v>
      </c>
      <c r="F64">
        <v>37</v>
      </c>
      <c r="G64" s="1" t="s">
        <v>39</v>
      </c>
      <c r="H64">
        <v>18507</v>
      </c>
      <c r="I64">
        <v>26228</v>
      </c>
      <c r="J64" s="1" t="s">
        <v>33</v>
      </c>
      <c r="K64" s="3">
        <v>2</v>
      </c>
      <c r="L64" s="1" t="s">
        <v>28</v>
      </c>
      <c r="M64" s="1" t="s">
        <v>37</v>
      </c>
      <c r="N64" s="3">
        <v>2024010123</v>
      </c>
      <c r="O64" s="3">
        <f t="shared" si="0"/>
        <v>1.23</v>
      </c>
      <c r="P64" s="6">
        <f t="shared" si="1"/>
        <v>108922.65</v>
      </c>
      <c r="Q64" s="3" t="str">
        <f t="shared" si="8"/>
        <v>Excellent</v>
      </c>
      <c r="R64" s="3">
        <f t="shared" si="2"/>
        <v>7721</v>
      </c>
      <c r="S64" s="7">
        <f t="shared" si="3"/>
        <v>285677</v>
      </c>
      <c r="T64" s="3" t="str">
        <f t="shared" si="4"/>
        <v>High Profit</v>
      </c>
      <c r="U64" s="3" t="str">
        <f t="shared" si="5"/>
        <v>Low Discount</v>
      </c>
      <c r="V64" s="3" t="str">
        <f t="shared" si="6"/>
        <v>Priority A</v>
      </c>
      <c r="W64">
        <f t="shared" si="7"/>
        <v>8855.5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23</v>
      </c>
      <c r="AD64" t="s">
        <v>23</v>
      </c>
      <c r="AE64" t="s">
        <v>23</v>
      </c>
      <c r="AF64" t="s">
        <v>23</v>
      </c>
      <c r="AG64" t="s">
        <v>23</v>
      </c>
      <c r="AH64" t="s">
        <v>23</v>
      </c>
      <c r="AI64" t="s">
        <v>23</v>
      </c>
      <c r="AJ64" t="s">
        <v>23</v>
      </c>
    </row>
    <row r="65" spans="1:36" x14ac:dyDescent="0.35">
      <c r="A65" s="2">
        <v>1063</v>
      </c>
      <c r="B65" s="4">
        <v>45233</v>
      </c>
      <c r="C65" s="1" t="s">
        <v>34</v>
      </c>
      <c r="D65" s="1" t="s">
        <v>42</v>
      </c>
      <c r="E65">
        <v>666330</v>
      </c>
      <c r="F65">
        <v>48</v>
      </c>
      <c r="G65" s="1" t="s">
        <v>35</v>
      </c>
      <c r="H65">
        <v>21221</v>
      </c>
      <c r="I65">
        <v>33633</v>
      </c>
      <c r="J65" s="1" t="s">
        <v>33</v>
      </c>
      <c r="K65" s="3">
        <v>9</v>
      </c>
      <c r="L65" s="1" t="s">
        <v>40</v>
      </c>
      <c r="M65" s="1" t="s">
        <v>29</v>
      </c>
      <c r="N65" s="3">
        <v>2024010123</v>
      </c>
      <c r="O65" s="3">
        <f t="shared" si="0"/>
        <v>1.23</v>
      </c>
      <c r="P65" s="6">
        <f t="shared" si="1"/>
        <v>819585.9</v>
      </c>
      <c r="Q65" s="3" t="str">
        <f t="shared" si="8"/>
        <v>Excellent</v>
      </c>
      <c r="R65" s="3">
        <f t="shared" si="2"/>
        <v>12412</v>
      </c>
      <c r="S65" s="7">
        <f t="shared" si="3"/>
        <v>595776</v>
      </c>
      <c r="T65" s="3" t="str">
        <f t="shared" si="4"/>
        <v>High Profit</v>
      </c>
      <c r="U65" s="3" t="str">
        <f t="shared" si="5"/>
        <v>Medium Discount</v>
      </c>
      <c r="V65" s="3" t="str">
        <f t="shared" si="6"/>
        <v>Priority C</v>
      </c>
      <c r="W65">
        <f t="shared" si="7"/>
        <v>66633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23</v>
      </c>
      <c r="AD65" t="s">
        <v>23</v>
      </c>
      <c r="AE65" t="s">
        <v>23</v>
      </c>
      <c r="AF65" t="s">
        <v>23</v>
      </c>
      <c r="AG65" t="s">
        <v>23</v>
      </c>
      <c r="AH65" t="s">
        <v>23</v>
      </c>
      <c r="AI65" t="s">
        <v>23</v>
      </c>
      <c r="AJ65" t="s">
        <v>23</v>
      </c>
    </row>
    <row r="66" spans="1:36" x14ac:dyDescent="0.35">
      <c r="A66" s="2">
        <v>1064</v>
      </c>
      <c r="B66" s="4">
        <v>45152</v>
      </c>
      <c r="C66" s="1" t="s">
        <v>34</v>
      </c>
      <c r="D66" s="1" t="s">
        <v>43</v>
      </c>
      <c r="E66">
        <v>584747</v>
      </c>
      <c r="F66">
        <v>45</v>
      </c>
      <c r="G66" s="1" t="s">
        <v>32</v>
      </c>
      <c r="H66">
        <v>11163</v>
      </c>
      <c r="I66">
        <v>22606</v>
      </c>
      <c r="J66" s="1" t="s">
        <v>27</v>
      </c>
      <c r="K66" s="3">
        <v>10</v>
      </c>
      <c r="L66" s="1" t="s">
        <v>28</v>
      </c>
      <c r="M66" s="1" t="s">
        <v>29</v>
      </c>
      <c r="N66" s="3">
        <v>2024010123</v>
      </c>
      <c r="O66" s="3">
        <f t="shared" si="0"/>
        <v>1.23</v>
      </c>
      <c r="P66" s="6">
        <f t="shared" si="1"/>
        <v>719238.80999999994</v>
      </c>
      <c r="Q66" s="3" t="str">
        <f t="shared" si="8"/>
        <v>Excellent</v>
      </c>
      <c r="R66" s="3">
        <f t="shared" si="2"/>
        <v>11443</v>
      </c>
      <c r="S66" s="7">
        <f t="shared" si="3"/>
        <v>514935</v>
      </c>
      <c r="T66" s="3" t="str">
        <f t="shared" si="4"/>
        <v>High Profit</v>
      </c>
      <c r="U66" s="3" t="str">
        <f t="shared" si="5"/>
        <v>Medium Discount</v>
      </c>
      <c r="V66" s="3" t="str">
        <f t="shared" si="6"/>
        <v>Priority B</v>
      </c>
      <c r="W66">
        <f t="shared" si="7"/>
        <v>87712.05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23</v>
      </c>
      <c r="AD66" t="s">
        <v>23</v>
      </c>
      <c r="AE66" t="s">
        <v>23</v>
      </c>
      <c r="AF66" t="s">
        <v>23</v>
      </c>
      <c r="AG66" t="s">
        <v>23</v>
      </c>
      <c r="AH66" t="s">
        <v>23</v>
      </c>
      <c r="AI66" t="s">
        <v>23</v>
      </c>
      <c r="AJ66" t="s">
        <v>23</v>
      </c>
    </row>
    <row r="67" spans="1:36" x14ac:dyDescent="0.35">
      <c r="A67" s="2">
        <v>1065</v>
      </c>
      <c r="B67" s="4">
        <v>45039</v>
      </c>
      <c r="C67" s="1" t="s">
        <v>41</v>
      </c>
      <c r="D67" s="1" t="s">
        <v>25</v>
      </c>
      <c r="E67">
        <v>194072</v>
      </c>
      <c r="F67">
        <v>12</v>
      </c>
      <c r="G67" s="1" t="s">
        <v>39</v>
      </c>
      <c r="H67">
        <v>13723</v>
      </c>
      <c r="I67">
        <v>23181</v>
      </c>
      <c r="J67" s="1" t="s">
        <v>33</v>
      </c>
      <c r="K67" s="3">
        <v>6</v>
      </c>
      <c r="L67" s="1" t="s">
        <v>40</v>
      </c>
      <c r="M67" s="1" t="s">
        <v>37</v>
      </c>
      <c r="N67" s="3">
        <v>2024010123</v>
      </c>
      <c r="O67" s="3">
        <f t="shared" ref="O67:O130" si="9">VALUE(RIGHT($N$2,3))/100</f>
        <v>1.23</v>
      </c>
      <c r="P67" s="6">
        <f t="shared" ref="P67:P130" si="10">E67*$O67</f>
        <v>238708.56</v>
      </c>
      <c r="Q67" s="3" t="str">
        <f t="shared" ref="Q67:Q130" si="11">IF(P67&gt;=5000,"Excellent",
   IF(P67&gt;=3000,"Good",
      IF(P67&gt;=1500,"Average","Below Average")))</f>
        <v>Excellent</v>
      </c>
      <c r="R67" s="3">
        <f t="shared" ref="R67:R130" si="12">I67-H67</f>
        <v>9458</v>
      </c>
      <c r="S67" s="7">
        <f t="shared" ref="S67:S130" si="13">R67*F67</f>
        <v>113496</v>
      </c>
      <c r="T67" s="3" t="str">
        <f t="shared" ref="T67:T130" si="14">IF(S67&gt;=1000,"High Profit",
   IF(S67&gt;=500,"Medium Profit","Low Profit"))</f>
        <v>High Profit</v>
      </c>
      <c r="U67" s="3" t="str">
        <f t="shared" ref="U67:U130" si="15">_xlfn.LET(
  _xlpm.d0, K67,
  _xlpm.d, IF(_xlpm.d0&gt;=1, _xlpm.d0/100, _xlpm.d0),
  IF(_xlpm.d&gt;=0.15, "High Discount",
     IF(_xlpm.d&gt;=0.05, "Medium Discount",
        IF(_xlpm.d&gt;0, "Low Discount", "No Discount")))
)</f>
        <v>Medium Discount</v>
      </c>
      <c r="V67" s="3" t="str">
        <f t="shared" ref="V67:V130" si="16">IF(AND(G67="Electronics",F67&gt;=30,M67="Online"),"Priority A",
   IF(AND(OR(G67="Furniture",G67="Electronics"),F67&gt;=20),"Priority B",
      IF(OR(M67="Online",F67&gt;=15),"Priority C","Priority D")))</f>
        <v>Priority C</v>
      </c>
      <c r="W67">
        <f t="shared" ref="W67:W130" si="17">IF(AND(Q67="Excellent",J67="Returning",T67="High Profit"),E67*0.15,
   IF(AND(Q67="Excellent",J67="New"),E67*0.1,
      IF(AND(OR(Q67="Good",Q67="Excellent"),L67="Cash"),E67*0.08,
         IF(AND(Q67="Good",T67="High Profit"),E67*0.06,
            IF(Q67="Average",E67*0.03,
               IF(Q67="Below Average",E67*0.01,0))))))</f>
        <v>19407.2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23</v>
      </c>
      <c r="AD67" t="s">
        <v>23</v>
      </c>
      <c r="AE67" t="s">
        <v>23</v>
      </c>
      <c r="AF67" t="s">
        <v>23</v>
      </c>
      <c r="AG67" t="s">
        <v>23</v>
      </c>
      <c r="AH67" t="s">
        <v>23</v>
      </c>
      <c r="AI67" t="s">
        <v>23</v>
      </c>
      <c r="AJ67" t="s">
        <v>23</v>
      </c>
    </row>
    <row r="68" spans="1:36" x14ac:dyDescent="0.35">
      <c r="A68" s="2">
        <v>1066</v>
      </c>
      <c r="B68" s="4">
        <v>45011</v>
      </c>
      <c r="C68" s="1" t="s">
        <v>38</v>
      </c>
      <c r="D68" s="1" t="s">
        <v>25</v>
      </c>
      <c r="E68">
        <v>184855</v>
      </c>
      <c r="F68">
        <v>27</v>
      </c>
      <c r="G68" s="1" t="s">
        <v>26</v>
      </c>
      <c r="H68">
        <v>25354</v>
      </c>
      <c r="I68">
        <v>37819</v>
      </c>
      <c r="J68" s="1" t="s">
        <v>33</v>
      </c>
      <c r="K68" s="3">
        <v>30</v>
      </c>
      <c r="L68" s="1" t="s">
        <v>28</v>
      </c>
      <c r="M68" s="1" t="s">
        <v>29</v>
      </c>
      <c r="N68" s="3">
        <v>2024010123</v>
      </c>
      <c r="O68" s="3">
        <f t="shared" si="9"/>
        <v>1.23</v>
      </c>
      <c r="P68" s="6">
        <f t="shared" si="10"/>
        <v>227371.65</v>
      </c>
      <c r="Q68" s="3" t="str">
        <f t="shared" si="11"/>
        <v>Excellent</v>
      </c>
      <c r="R68" s="3">
        <f t="shared" si="12"/>
        <v>12465</v>
      </c>
      <c r="S68" s="7">
        <f t="shared" si="13"/>
        <v>336555</v>
      </c>
      <c r="T68" s="3" t="str">
        <f t="shared" si="14"/>
        <v>High Profit</v>
      </c>
      <c r="U68" s="3" t="str">
        <f t="shared" si="15"/>
        <v>High Discount</v>
      </c>
      <c r="V68" s="3" t="str">
        <f t="shared" si="16"/>
        <v>Priority C</v>
      </c>
      <c r="W68">
        <f t="shared" si="17"/>
        <v>18485.5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23</v>
      </c>
      <c r="AD68" t="s">
        <v>23</v>
      </c>
      <c r="AE68" t="s">
        <v>23</v>
      </c>
      <c r="AF68" t="s">
        <v>23</v>
      </c>
      <c r="AG68" t="s">
        <v>23</v>
      </c>
      <c r="AH68" t="s">
        <v>23</v>
      </c>
      <c r="AI68" t="s">
        <v>23</v>
      </c>
      <c r="AJ68" t="s">
        <v>23</v>
      </c>
    </row>
    <row r="69" spans="1:36" x14ac:dyDescent="0.35">
      <c r="A69" s="2">
        <v>1067</v>
      </c>
      <c r="B69" s="4">
        <v>45001</v>
      </c>
      <c r="C69" s="1" t="s">
        <v>24</v>
      </c>
      <c r="D69" s="1" t="s">
        <v>42</v>
      </c>
      <c r="E69">
        <v>568666</v>
      </c>
      <c r="F69">
        <v>27</v>
      </c>
      <c r="G69" s="1" t="s">
        <v>32</v>
      </c>
      <c r="H69">
        <v>12786</v>
      </c>
      <c r="I69">
        <v>20510</v>
      </c>
      <c r="J69" s="1" t="s">
        <v>33</v>
      </c>
      <c r="K69" s="3">
        <v>25</v>
      </c>
      <c r="L69" s="1" t="s">
        <v>28</v>
      </c>
      <c r="M69" s="1" t="s">
        <v>37</v>
      </c>
      <c r="N69" s="3">
        <v>2024010123</v>
      </c>
      <c r="O69" s="3">
        <f t="shared" si="9"/>
        <v>1.23</v>
      </c>
      <c r="P69" s="6">
        <f t="shared" si="10"/>
        <v>699459.17999999993</v>
      </c>
      <c r="Q69" s="3" t="str">
        <f t="shared" si="11"/>
        <v>Excellent</v>
      </c>
      <c r="R69" s="3">
        <f t="shared" si="12"/>
        <v>7724</v>
      </c>
      <c r="S69" s="7">
        <f t="shared" si="13"/>
        <v>208548</v>
      </c>
      <c r="T69" s="3" t="str">
        <f t="shared" si="14"/>
        <v>High Profit</v>
      </c>
      <c r="U69" s="3" t="str">
        <f t="shared" si="15"/>
        <v>High Discount</v>
      </c>
      <c r="V69" s="3" t="str">
        <f t="shared" si="16"/>
        <v>Priority B</v>
      </c>
      <c r="W69">
        <f t="shared" si="17"/>
        <v>56866.600000000006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23</v>
      </c>
      <c r="AD69" t="s">
        <v>23</v>
      </c>
      <c r="AE69" t="s">
        <v>23</v>
      </c>
      <c r="AF69" t="s">
        <v>23</v>
      </c>
      <c r="AG69" t="s">
        <v>23</v>
      </c>
      <c r="AH69" t="s">
        <v>23</v>
      </c>
      <c r="AI69" t="s">
        <v>23</v>
      </c>
      <c r="AJ69" t="s">
        <v>23</v>
      </c>
    </row>
    <row r="70" spans="1:36" x14ac:dyDescent="0.35">
      <c r="A70" s="2">
        <v>1068</v>
      </c>
      <c r="B70" s="4">
        <v>45232</v>
      </c>
      <c r="C70" s="1" t="s">
        <v>34</v>
      </c>
      <c r="D70" s="1" t="s">
        <v>25</v>
      </c>
      <c r="E70">
        <v>671501</v>
      </c>
      <c r="F70">
        <v>16</v>
      </c>
      <c r="G70" s="1" t="s">
        <v>32</v>
      </c>
      <c r="H70">
        <v>22807</v>
      </c>
      <c r="I70">
        <v>29181</v>
      </c>
      <c r="J70" s="1" t="s">
        <v>27</v>
      </c>
      <c r="K70" s="3">
        <v>19</v>
      </c>
      <c r="L70" s="1" t="s">
        <v>36</v>
      </c>
      <c r="M70" s="1" t="s">
        <v>29</v>
      </c>
      <c r="N70" s="3">
        <v>2024010123</v>
      </c>
      <c r="O70" s="3">
        <f t="shared" si="9"/>
        <v>1.23</v>
      </c>
      <c r="P70" s="6">
        <f t="shared" si="10"/>
        <v>825946.23</v>
      </c>
      <c r="Q70" s="3" t="str">
        <f t="shared" si="11"/>
        <v>Excellent</v>
      </c>
      <c r="R70" s="3">
        <f t="shared" si="12"/>
        <v>6374</v>
      </c>
      <c r="S70" s="7">
        <f t="shared" si="13"/>
        <v>101984</v>
      </c>
      <c r="T70" s="3" t="str">
        <f t="shared" si="14"/>
        <v>High Profit</v>
      </c>
      <c r="U70" s="3" t="str">
        <f t="shared" si="15"/>
        <v>High Discount</v>
      </c>
      <c r="V70" s="3" t="str">
        <f t="shared" si="16"/>
        <v>Priority C</v>
      </c>
      <c r="W70">
        <f t="shared" si="17"/>
        <v>100725.15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23</v>
      </c>
      <c r="AD70" t="s">
        <v>23</v>
      </c>
      <c r="AE70" t="s">
        <v>23</v>
      </c>
      <c r="AF70" t="s">
        <v>23</v>
      </c>
      <c r="AG70" t="s">
        <v>23</v>
      </c>
      <c r="AH70" t="s">
        <v>23</v>
      </c>
      <c r="AI70" t="s">
        <v>23</v>
      </c>
      <c r="AJ70" t="s">
        <v>23</v>
      </c>
    </row>
    <row r="71" spans="1:36" x14ac:dyDescent="0.35">
      <c r="A71" s="2">
        <v>1069</v>
      </c>
      <c r="B71" s="4">
        <v>44980</v>
      </c>
      <c r="C71" s="1" t="s">
        <v>30</v>
      </c>
      <c r="D71" s="1" t="s">
        <v>43</v>
      </c>
      <c r="E71">
        <v>432860</v>
      </c>
      <c r="F71">
        <v>12</v>
      </c>
      <c r="G71" s="1" t="s">
        <v>32</v>
      </c>
      <c r="H71">
        <v>26889</v>
      </c>
      <c r="I71">
        <v>34392</v>
      </c>
      <c r="J71" s="1" t="s">
        <v>27</v>
      </c>
      <c r="K71" s="3">
        <v>20</v>
      </c>
      <c r="L71" s="1" t="s">
        <v>40</v>
      </c>
      <c r="M71" s="1" t="s">
        <v>29</v>
      </c>
      <c r="N71" s="3">
        <v>2024010123</v>
      </c>
      <c r="O71" s="3">
        <f t="shared" si="9"/>
        <v>1.23</v>
      </c>
      <c r="P71" s="6">
        <f t="shared" si="10"/>
        <v>532417.80000000005</v>
      </c>
      <c r="Q71" s="3" t="str">
        <f t="shared" si="11"/>
        <v>Excellent</v>
      </c>
      <c r="R71" s="3">
        <f t="shared" si="12"/>
        <v>7503</v>
      </c>
      <c r="S71" s="7">
        <f t="shared" si="13"/>
        <v>90036</v>
      </c>
      <c r="T71" s="3" t="str">
        <f t="shared" si="14"/>
        <v>High Profit</v>
      </c>
      <c r="U71" s="3" t="str">
        <f t="shared" si="15"/>
        <v>High Discount</v>
      </c>
      <c r="V71" s="3" t="str">
        <f t="shared" si="16"/>
        <v>Priority D</v>
      </c>
      <c r="W71">
        <f t="shared" si="17"/>
        <v>64929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23</v>
      </c>
      <c r="AD71" t="s">
        <v>23</v>
      </c>
      <c r="AE71" t="s">
        <v>23</v>
      </c>
      <c r="AF71" t="s">
        <v>23</v>
      </c>
      <c r="AG71" t="s">
        <v>23</v>
      </c>
      <c r="AH71" t="s">
        <v>23</v>
      </c>
      <c r="AI71" t="s">
        <v>23</v>
      </c>
      <c r="AJ71" t="s">
        <v>23</v>
      </c>
    </row>
    <row r="72" spans="1:36" x14ac:dyDescent="0.35">
      <c r="A72" s="2">
        <v>1070</v>
      </c>
      <c r="B72" s="4">
        <v>45265</v>
      </c>
      <c r="C72" s="1" t="s">
        <v>24</v>
      </c>
      <c r="D72" s="1" t="s">
        <v>25</v>
      </c>
      <c r="E72">
        <v>333041</v>
      </c>
      <c r="F72">
        <v>8</v>
      </c>
      <c r="G72" s="1" t="s">
        <v>39</v>
      </c>
      <c r="H72">
        <v>23693</v>
      </c>
      <c r="I72">
        <v>28543</v>
      </c>
      <c r="J72" s="1" t="s">
        <v>27</v>
      </c>
      <c r="K72" s="3">
        <v>0</v>
      </c>
      <c r="L72" s="1" t="s">
        <v>28</v>
      </c>
      <c r="M72" s="1" t="s">
        <v>29</v>
      </c>
      <c r="N72" s="3">
        <v>2024010123</v>
      </c>
      <c r="O72" s="3">
        <f t="shared" si="9"/>
        <v>1.23</v>
      </c>
      <c r="P72" s="6">
        <f t="shared" si="10"/>
        <v>409640.43</v>
      </c>
      <c r="Q72" s="3" t="str">
        <f t="shared" si="11"/>
        <v>Excellent</v>
      </c>
      <c r="R72" s="3">
        <f t="shared" si="12"/>
        <v>4850</v>
      </c>
      <c r="S72" s="7">
        <f t="shared" si="13"/>
        <v>38800</v>
      </c>
      <c r="T72" s="3" t="str">
        <f t="shared" si="14"/>
        <v>High Profit</v>
      </c>
      <c r="U72" s="3" t="str">
        <f t="shared" si="15"/>
        <v>No Discount</v>
      </c>
      <c r="V72" s="3" t="str">
        <f t="shared" si="16"/>
        <v>Priority D</v>
      </c>
      <c r="W72">
        <f t="shared" si="17"/>
        <v>49956.15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23</v>
      </c>
      <c r="AD72" t="s">
        <v>23</v>
      </c>
      <c r="AE72" t="s">
        <v>23</v>
      </c>
      <c r="AF72" t="s">
        <v>23</v>
      </c>
      <c r="AG72" t="s">
        <v>23</v>
      </c>
      <c r="AH72" t="s">
        <v>23</v>
      </c>
      <c r="AI72" t="s">
        <v>23</v>
      </c>
      <c r="AJ72" t="s">
        <v>23</v>
      </c>
    </row>
    <row r="73" spans="1:36" x14ac:dyDescent="0.35">
      <c r="A73" s="2">
        <v>1071</v>
      </c>
      <c r="B73" s="4">
        <v>45057</v>
      </c>
      <c r="C73" s="1" t="s">
        <v>41</v>
      </c>
      <c r="D73" s="1" t="s">
        <v>31</v>
      </c>
      <c r="E73">
        <v>386262</v>
      </c>
      <c r="F73">
        <v>18</v>
      </c>
      <c r="G73" s="1" t="s">
        <v>39</v>
      </c>
      <c r="H73">
        <v>38617</v>
      </c>
      <c r="I73">
        <v>42141</v>
      </c>
      <c r="J73" s="1" t="s">
        <v>27</v>
      </c>
      <c r="K73" s="3">
        <v>1</v>
      </c>
      <c r="L73" s="1" t="s">
        <v>40</v>
      </c>
      <c r="M73" s="1" t="s">
        <v>37</v>
      </c>
      <c r="N73" s="3">
        <v>2024010123</v>
      </c>
      <c r="O73" s="3">
        <f t="shared" si="9"/>
        <v>1.23</v>
      </c>
      <c r="P73" s="6">
        <f t="shared" si="10"/>
        <v>475102.26</v>
      </c>
      <c r="Q73" s="3" t="str">
        <f t="shared" si="11"/>
        <v>Excellent</v>
      </c>
      <c r="R73" s="3">
        <f t="shared" si="12"/>
        <v>3524</v>
      </c>
      <c r="S73" s="7">
        <f t="shared" si="13"/>
        <v>63432</v>
      </c>
      <c r="T73" s="3" t="str">
        <f t="shared" si="14"/>
        <v>High Profit</v>
      </c>
      <c r="U73" s="3" t="str">
        <f t="shared" si="15"/>
        <v>Low Discount</v>
      </c>
      <c r="V73" s="3" t="str">
        <f t="shared" si="16"/>
        <v>Priority C</v>
      </c>
      <c r="W73">
        <f t="shared" si="17"/>
        <v>57939.299999999996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23</v>
      </c>
      <c r="AD73" t="s">
        <v>23</v>
      </c>
      <c r="AE73" t="s">
        <v>23</v>
      </c>
      <c r="AF73" t="s">
        <v>23</v>
      </c>
      <c r="AG73" t="s">
        <v>23</v>
      </c>
      <c r="AH73" t="s">
        <v>23</v>
      </c>
      <c r="AI73" t="s">
        <v>23</v>
      </c>
      <c r="AJ73" t="s">
        <v>23</v>
      </c>
    </row>
    <row r="74" spans="1:36" x14ac:dyDescent="0.35">
      <c r="A74" s="2">
        <v>1072</v>
      </c>
      <c r="B74" s="4">
        <v>45196</v>
      </c>
      <c r="C74" s="1" t="s">
        <v>24</v>
      </c>
      <c r="D74" s="1" t="s">
        <v>25</v>
      </c>
      <c r="E74">
        <v>981999</v>
      </c>
      <c r="F74">
        <v>9</v>
      </c>
      <c r="G74" s="1" t="s">
        <v>26</v>
      </c>
      <c r="H74">
        <v>28331</v>
      </c>
      <c r="I74">
        <v>35977</v>
      </c>
      <c r="J74" s="1" t="s">
        <v>27</v>
      </c>
      <c r="K74" s="3">
        <v>3</v>
      </c>
      <c r="L74" s="1" t="s">
        <v>40</v>
      </c>
      <c r="M74" s="1" t="s">
        <v>37</v>
      </c>
      <c r="N74" s="3">
        <v>2024010123</v>
      </c>
      <c r="O74" s="3">
        <f t="shared" si="9"/>
        <v>1.23</v>
      </c>
      <c r="P74" s="6">
        <f t="shared" si="10"/>
        <v>1207858.77</v>
      </c>
      <c r="Q74" s="3" t="str">
        <f t="shared" si="11"/>
        <v>Excellent</v>
      </c>
      <c r="R74" s="3">
        <f t="shared" si="12"/>
        <v>7646</v>
      </c>
      <c r="S74" s="7">
        <f t="shared" si="13"/>
        <v>68814</v>
      </c>
      <c r="T74" s="3" t="str">
        <f t="shared" si="14"/>
        <v>High Profit</v>
      </c>
      <c r="U74" s="3" t="str">
        <f t="shared" si="15"/>
        <v>Low Discount</v>
      </c>
      <c r="V74" s="3" t="str">
        <f t="shared" si="16"/>
        <v>Priority C</v>
      </c>
      <c r="W74">
        <f t="shared" si="17"/>
        <v>147299.85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23</v>
      </c>
      <c r="AD74" t="s">
        <v>23</v>
      </c>
      <c r="AE74" t="s">
        <v>23</v>
      </c>
      <c r="AF74" t="s">
        <v>23</v>
      </c>
      <c r="AG74" t="s">
        <v>23</v>
      </c>
      <c r="AH74" t="s">
        <v>23</v>
      </c>
      <c r="AI74" t="s">
        <v>23</v>
      </c>
      <c r="AJ74" t="s">
        <v>23</v>
      </c>
    </row>
    <row r="75" spans="1:36" x14ac:dyDescent="0.35">
      <c r="A75" s="2">
        <v>1073</v>
      </c>
      <c r="B75" s="4">
        <v>44955</v>
      </c>
      <c r="C75" s="1" t="s">
        <v>30</v>
      </c>
      <c r="D75" s="1" t="s">
        <v>31</v>
      </c>
      <c r="E75">
        <v>817764</v>
      </c>
      <c r="F75">
        <v>16</v>
      </c>
      <c r="G75" s="1" t="s">
        <v>26</v>
      </c>
      <c r="H75">
        <v>22688</v>
      </c>
      <c r="I75">
        <v>28719</v>
      </c>
      <c r="J75" s="1" t="s">
        <v>33</v>
      </c>
      <c r="K75" s="3">
        <v>11</v>
      </c>
      <c r="L75" s="1" t="s">
        <v>40</v>
      </c>
      <c r="M75" s="1" t="s">
        <v>29</v>
      </c>
      <c r="N75" s="3">
        <v>2024010123</v>
      </c>
      <c r="O75" s="3">
        <f t="shared" si="9"/>
        <v>1.23</v>
      </c>
      <c r="P75" s="6">
        <f t="shared" si="10"/>
        <v>1005849.72</v>
      </c>
      <c r="Q75" s="3" t="str">
        <f t="shared" si="11"/>
        <v>Excellent</v>
      </c>
      <c r="R75" s="3">
        <f t="shared" si="12"/>
        <v>6031</v>
      </c>
      <c r="S75" s="7">
        <f t="shared" si="13"/>
        <v>96496</v>
      </c>
      <c r="T75" s="3" t="str">
        <f t="shared" si="14"/>
        <v>High Profit</v>
      </c>
      <c r="U75" s="3" t="str">
        <f t="shared" si="15"/>
        <v>Medium Discount</v>
      </c>
      <c r="V75" s="3" t="str">
        <f t="shared" si="16"/>
        <v>Priority C</v>
      </c>
      <c r="W75">
        <f t="shared" si="17"/>
        <v>81776.400000000009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23</v>
      </c>
      <c r="AD75" t="s">
        <v>23</v>
      </c>
      <c r="AE75" t="s">
        <v>23</v>
      </c>
      <c r="AF75" t="s">
        <v>23</v>
      </c>
      <c r="AG75" t="s">
        <v>23</v>
      </c>
      <c r="AH75" t="s">
        <v>23</v>
      </c>
      <c r="AI75" t="s">
        <v>23</v>
      </c>
      <c r="AJ75" t="s">
        <v>23</v>
      </c>
    </row>
    <row r="76" spans="1:36" x14ac:dyDescent="0.35">
      <c r="A76" s="2">
        <v>1074</v>
      </c>
      <c r="B76" s="4">
        <v>44946</v>
      </c>
      <c r="C76" s="1" t="s">
        <v>30</v>
      </c>
      <c r="D76" s="1" t="s">
        <v>42</v>
      </c>
      <c r="E76">
        <v>119025</v>
      </c>
      <c r="F76">
        <v>15</v>
      </c>
      <c r="G76" s="1" t="s">
        <v>39</v>
      </c>
      <c r="H76">
        <v>36059</v>
      </c>
      <c r="I76">
        <v>43788</v>
      </c>
      <c r="J76" s="1" t="s">
        <v>33</v>
      </c>
      <c r="K76" s="3">
        <v>9</v>
      </c>
      <c r="L76" s="1" t="s">
        <v>40</v>
      </c>
      <c r="M76" s="1" t="s">
        <v>29</v>
      </c>
      <c r="N76" s="3">
        <v>2024010123</v>
      </c>
      <c r="O76" s="3">
        <f t="shared" si="9"/>
        <v>1.23</v>
      </c>
      <c r="P76" s="6">
        <f t="shared" si="10"/>
        <v>146400.75</v>
      </c>
      <c r="Q76" s="3" t="str">
        <f t="shared" si="11"/>
        <v>Excellent</v>
      </c>
      <c r="R76" s="3">
        <f t="shared" si="12"/>
        <v>7729</v>
      </c>
      <c r="S76" s="7">
        <f t="shared" si="13"/>
        <v>115935</v>
      </c>
      <c r="T76" s="3" t="str">
        <f t="shared" si="14"/>
        <v>High Profit</v>
      </c>
      <c r="U76" s="3" t="str">
        <f t="shared" si="15"/>
        <v>Medium Discount</v>
      </c>
      <c r="V76" s="3" t="str">
        <f t="shared" si="16"/>
        <v>Priority C</v>
      </c>
      <c r="W76">
        <f t="shared" si="17"/>
        <v>11902.5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23</v>
      </c>
      <c r="AD76" t="s">
        <v>23</v>
      </c>
      <c r="AE76" t="s">
        <v>23</v>
      </c>
      <c r="AF76" t="s">
        <v>23</v>
      </c>
      <c r="AG76" t="s">
        <v>23</v>
      </c>
      <c r="AH76" t="s">
        <v>23</v>
      </c>
      <c r="AI76" t="s">
        <v>23</v>
      </c>
      <c r="AJ76" t="s">
        <v>23</v>
      </c>
    </row>
    <row r="77" spans="1:36" x14ac:dyDescent="0.35">
      <c r="A77" s="2">
        <v>1075</v>
      </c>
      <c r="B77" s="4">
        <v>45239</v>
      </c>
      <c r="C77" s="1" t="s">
        <v>24</v>
      </c>
      <c r="D77" s="1" t="s">
        <v>42</v>
      </c>
      <c r="E77">
        <v>437184</v>
      </c>
      <c r="F77">
        <v>12</v>
      </c>
      <c r="G77" s="1" t="s">
        <v>39</v>
      </c>
      <c r="H77">
        <v>10000</v>
      </c>
      <c r="I77">
        <v>20000</v>
      </c>
      <c r="J77" s="1" t="s">
        <v>33</v>
      </c>
      <c r="K77" s="3">
        <v>13</v>
      </c>
      <c r="L77" s="1" t="s">
        <v>36</v>
      </c>
      <c r="M77" s="1" t="s">
        <v>29</v>
      </c>
      <c r="N77" s="3">
        <v>2024010123</v>
      </c>
      <c r="O77" s="3">
        <f t="shared" si="9"/>
        <v>1.23</v>
      </c>
      <c r="P77" s="6">
        <f t="shared" si="10"/>
        <v>537736.31999999995</v>
      </c>
      <c r="Q77" s="3" t="str">
        <f t="shared" si="11"/>
        <v>Excellent</v>
      </c>
      <c r="R77" s="3">
        <f t="shared" si="12"/>
        <v>10000</v>
      </c>
      <c r="S77" s="7">
        <f t="shared" si="13"/>
        <v>120000</v>
      </c>
      <c r="T77" s="3" t="str">
        <f t="shared" si="14"/>
        <v>High Profit</v>
      </c>
      <c r="U77" s="3" t="str">
        <f t="shared" si="15"/>
        <v>Medium Discount</v>
      </c>
      <c r="V77" s="3" t="str">
        <f t="shared" si="16"/>
        <v>Priority D</v>
      </c>
      <c r="W77">
        <f t="shared" si="17"/>
        <v>43718.400000000001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23</v>
      </c>
      <c r="AD77" t="s">
        <v>23</v>
      </c>
      <c r="AE77" t="s">
        <v>23</v>
      </c>
      <c r="AF77" t="s">
        <v>23</v>
      </c>
      <c r="AG77" t="s">
        <v>23</v>
      </c>
      <c r="AH77" t="s">
        <v>23</v>
      </c>
      <c r="AI77" t="s">
        <v>23</v>
      </c>
      <c r="AJ77" t="s">
        <v>23</v>
      </c>
    </row>
    <row r="78" spans="1:36" x14ac:dyDescent="0.35">
      <c r="A78" s="2">
        <v>1076</v>
      </c>
      <c r="B78" s="4">
        <v>45087</v>
      </c>
      <c r="C78" s="1" t="s">
        <v>30</v>
      </c>
      <c r="D78" s="1" t="s">
        <v>42</v>
      </c>
      <c r="E78">
        <v>599895</v>
      </c>
      <c r="F78">
        <v>18</v>
      </c>
      <c r="G78" s="1" t="s">
        <v>32</v>
      </c>
      <c r="H78">
        <v>28898</v>
      </c>
      <c r="I78">
        <v>36606</v>
      </c>
      <c r="J78" s="1" t="s">
        <v>27</v>
      </c>
      <c r="K78" s="3">
        <v>22</v>
      </c>
      <c r="L78" s="1" t="s">
        <v>36</v>
      </c>
      <c r="M78" s="1" t="s">
        <v>29</v>
      </c>
      <c r="N78" s="3">
        <v>2024010123</v>
      </c>
      <c r="O78" s="3">
        <f t="shared" si="9"/>
        <v>1.23</v>
      </c>
      <c r="P78" s="6">
        <f t="shared" si="10"/>
        <v>737870.85</v>
      </c>
      <c r="Q78" s="3" t="str">
        <f t="shared" si="11"/>
        <v>Excellent</v>
      </c>
      <c r="R78" s="3">
        <f t="shared" si="12"/>
        <v>7708</v>
      </c>
      <c r="S78" s="7">
        <f t="shared" si="13"/>
        <v>138744</v>
      </c>
      <c r="T78" s="3" t="str">
        <f t="shared" si="14"/>
        <v>High Profit</v>
      </c>
      <c r="U78" s="3" t="str">
        <f t="shared" si="15"/>
        <v>High Discount</v>
      </c>
      <c r="V78" s="3" t="str">
        <f t="shared" si="16"/>
        <v>Priority C</v>
      </c>
      <c r="W78">
        <f t="shared" si="17"/>
        <v>89984.25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23</v>
      </c>
      <c r="AD78" t="s">
        <v>23</v>
      </c>
      <c r="AE78" t="s">
        <v>23</v>
      </c>
      <c r="AF78" t="s">
        <v>23</v>
      </c>
      <c r="AG78" t="s">
        <v>23</v>
      </c>
      <c r="AH78" t="s">
        <v>23</v>
      </c>
      <c r="AI78" t="s">
        <v>23</v>
      </c>
      <c r="AJ78" t="s">
        <v>23</v>
      </c>
    </row>
    <row r="79" spans="1:36" x14ac:dyDescent="0.35">
      <c r="A79" s="2">
        <v>1077</v>
      </c>
      <c r="B79" s="4">
        <v>44997</v>
      </c>
      <c r="C79" s="1" t="s">
        <v>34</v>
      </c>
      <c r="D79" s="1" t="s">
        <v>42</v>
      </c>
      <c r="E79">
        <v>444403</v>
      </c>
      <c r="F79">
        <v>18</v>
      </c>
      <c r="G79" s="1" t="s">
        <v>26</v>
      </c>
      <c r="H79">
        <v>42408</v>
      </c>
      <c r="I79">
        <v>49009</v>
      </c>
      <c r="J79" s="1" t="s">
        <v>27</v>
      </c>
      <c r="K79" s="3">
        <v>24</v>
      </c>
      <c r="L79" s="1" t="s">
        <v>28</v>
      </c>
      <c r="M79" s="1" t="s">
        <v>37</v>
      </c>
      <c r="N79" s="3">
        <v>2024010123</v>
      </c>
      <c r="O79" s="3">
        <f t="shared" si="9"/>
        <v>1.23</v>
      </c>
      <c r="P79" s="6">
        <f t="shared" si="10"/>
        <v>546615.68999999994</v>
      </c>
      <c r="Q79" s="3" t="str">
        <f t="shared" si="11"/>
        <v>Excellent</v>
      </c>
      <c r="R79" s="3">
        <f t="shared" si="12"/>
        <v>6601</v>
      </c>
      <c r="S79" s="7">
        <f t="shared" si="13"/>
        <v>118818</v>
      </c>
      <c r="T79" s="3" t="str">
        <f t="shared" si="14"/>
        <v>High Profit</v>
      </c>
      <c r="U79" s="3" t="str">
        <f t="shared" si="15"/>
        <v>High Discount</v>
      </c>
      <c r="V79" s="3" t="str">
        <f t="shared" si="16"/>
        <v>Priority C</v>
      </c>
      <c r="W79">
        <f t="shared" si="17"/>
        <v>66660.45</v>
      </c>
      <c r="X79" t="s">
        <v>23</v>
      </c>
      <c r="Y79" t="s">
        <v>23</v>
      </c>
      <c r="Z79" t="s">
        <v>23</v>
      </c>
      <c r="AA79" t="s">
        <v>23</v>
      </c>
      <c r="AB79" t="s">
        <v>23</v>
      </c>
      <c r="AC79" t="s">
        <v>23</v>
      </c>
      <c r="AD79" t="s">
        <v>23</v>
      </c>
      <c r="AE79" t="s">
        <v>23</v>
      </c>
      <c r="AF79" t="s">
        <v>23</v>
      </c>
      <c r="AG79" t="s">
        <v>23</v>
      </c>
      <c r="AH79" t="s">
        <v>23</v>
      </c>
      <c r="AI79" t="s">
        <v>23</v>
      </c>
      <c r="AJ79" t="s">
        <v>23</v>
      </c>
    </row>
    <row r="80" spans="1:36" x14ac:dyDescent="0.35">
      <c r="A80" s="2">
        <v>1078</v>
      </c>
      <c r="B80" s="4">
        <v>44981</v>
      </c>
      <c r="C80" s="1" t="s">
        <v>38</v>
      </c>
      <c r="D80" s="1" t="s">
        <v>25</v>
      </c>
      <c r="E80">
        <v>822310</v>
      </c>
      <c r="F80">
        <v>18</v>
      </c>
      <c r="G80" s="1" t="s">
        <v>35</v>
      </c>
      <c r="H80">
        <v>34478</v>
      </c>
      <c r="I80">
        <v>40942</v>
      </c>
      <c r="J80" s="1" t="s">
        <v>27</v>
      </c>
      <c r="K80" s="3">
        <v>20</v>
      </c>
      <c r="L80" s="1" t="s">
        <v>40</v>
      </c>
      <c r="M80" s="1" t="s">
        <v>29</v>
      </c>
      <c r="N80" s="3">
        <v>2024010123</v>
      </c>
      <c r="O80" s="3">
        <f t="shared" si="9"/>
        <v>1.23</v>
      </c>
      <c r="P80" s="6">
        <f t="shared" si="10"/>
        <v>1011441.2999999999</v>
      </c>
      <c r="Q80" s="3" t="str">
        <f t="shared" si="11"/>
        <v>Excellent</v>
      </c>
      <c r="R80" s="3">
        <f t="shared" si="12"/>
        <v>6464</v>
      </c>
      <c r="S80" s="7">
        <f t="shared" si="13"/>
        <v>116352</v>
      </c>
      <c r="T80" s="3" t="str">
        <f t="shared" si="14"/>
        <v>High Profit</v>
      </c>
      <c r="U80" s="3" t="str">
        <f t="shared" si="15"/>
        <v>High Discount</v>
      </c>
      <c r="V80" s="3" t="str">
        <f t="shared" si="16"/>
        <v>Priority C</v>
      </c>
      <c r="W80">
        <f t="shared" si="17"/>
        <v>123346.5</v>
      </c>
      <c r="X80" t="s">
        <v>23</v>
      </c>
      <c r="Y80" t="s">
        <v>23</v>
      </c>
      <c r="Z80" t="s">
        <v>23</v>
      </c>
      <c r="AA80" t="s">
        <v>23</v>
      </c>
      <c r="AB80" t="s">
        <v>23</v>
      </c>
      <c r="AC80" t="s">
        <v>23</v>
      </c>
      <c r="AD80" t="s">
        <v>23</v>
      </c>
      <c r="AE80" t="s">
        <v>23</v>
      </c>
      <c r="AF80" t="s">
        <v>23</v>
      </c>
      <c r="AG80" t="s">
        <v>23</v>
      </c>
      <c r="AH80" t="s">
        <v>23</v>
      </c>
      <c r="AI80" t="s">
        <v>23</v>
      </c>
      <c r="AJ80" t="s">
        <v>23</v>
      </c>
    </row>
    <row r="81" spans="1:36" x14ac:dyDescent="0.35">
      <c r="A81" s="2">
        <v>1079</v>
      </c>
      <c r="B81" s="4">
        <v>45194</v>
      </c>
      <c r="C81" s="1" t="s">
        <v>38</v>
      </c>
      <c r="D81" s="1" t="s">
        <v>31</v>
      </c>
      <c r="E81">
        <v>35056</v>
      </c>
      <c r="F81">
        <v>18</v>
      </c>
      <c r="G81" s="1" t="s">
        <v>32</v>
      </c>
      <c r="H81">
        <v>20403</v>
      </c>
      <c r="I81">
        <v>25324</v>
      </c>
      <c r="J81" s="1" t="s">
        <v>27</v>
      </c>
      <c r="K81" s="3">
        <v>17</v>
      </c>
      <c r="L81" s="1" t="s">
        <v>28</v>
      </c>
      <c r="M81" s="1" t="s">
        <v>37</v>
      </c>
      <c r="N81" s="3">
        <v>2024010123</v>
      </c>
      <c r="O81" s="3">
        <f t="shared" si="9"/>
        <v>1.23</v>
      </c>
      <c r="P81" s="6">
        <f t="shared" si="10"/>
        <v>43118.879999999997</v>
      </c>
      <c r="Q81" s="3" t="str">
        <f t="shared" si="11"/>
        <v>Excellent</v>
      </c>
      <c r="R81" s="3">
        <f t="shared" si="12"/>
        <v>4921</v>
      </c>
      <c r="S81" s="7">
        <f t="shared" si="13"/>
        <v>88578</v>
      </c>
      <c r="T81" s="3" t="str">
        <f t="shared" si="14"/>
        <v>High Profit</v>
      </c>
      <c r="U81" s="3" t="str">
        <f t="shared" si="15"/>
        <v>High Discount</v>
      </c>
      <c r="V81" s="3" t="str">
        <f t="shared" si="16"/>
        <v>Priority C</v>
      </c>
      <c r="W81">
        <f t="shared" si="17"/>
        <v>5258.4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23</v>
      </c>
      <c r="AD81" t="s">
        <v>23</v>
      </c>
      <c r="AE81" t="s">
        <v>23</v>
      </c>
      <c r="AF81" t="s">
        <v>23</v>
      </c>
      <c r="AG81" t="s">
        <v>23</v>
      </c>
      <c r="AH81" t="s">
        <v>23</v>
      </c>
      <c r="AI81" t="s">
        <v>23</v>
      </c>
      <c r="AJ81" t="s">
        <v>23</v>
      </c>
    </row>
    <row r="82" spans="1:36" x14ac:dyDescent="0.35">
      <c r="A82" s="2">
        <v>1080</v>
      </c>
      <c r="B82" s="4">
        <v>45163</v>
      </c>
      <c r="C82" s="1" t="s">
        <v>41</v>
      </c>
      <c r="D82" s="1" t="s">
        <v>43</v>
      </c>
      <c r="E82">
        <v>928364</v>
      </c>
      <c r="F82">
        <v>12</v>
      </c>
      <c r="G82" s="1" t="s">
        <v>35</v>
      </c>
      <c r="H82">
        <v>46519</v>
      </c>
      <c r="I82">
        <v>51097</v>
      </c>
      <c r="J82" s="1" t="s">
        <v>27</v>
      </c>
      <c r="K82" s="3">
        <v>0</v>
      </c>
      <c r="L82" s="1" t="s">
        <v>28</v>
      </c>
      <c r="M82" s="1" t="s">
        <v>29</v>
      </c>
      <c r="N82" s="3">
        <v>2024010123</v>
      </c>
      <c r="O82" s="3">
        <f t="shared" si="9"/>
        <v>1.23</v>
      </c>
      <c r="P82" s="6">
        <f t="shared" si="10"/>
        <v>1141887.72</v>
      </c>
      <c r="Q82" s="3" t="str">
        <f t="shared" si="11"/>
        <v>Excellent</v>
      </c>
      <c r="R82" s="3">
        <f t="shared" si="12"/>
        <v>4578</v>
      </c>
      <c r="S82" s="7">
        <f t="shared" si="13"/>
        <v>54936</v>
      </c>
      <c r="T82" s="3" t="str">
        <f t="shared" si="14"/>
        <v>High Profit</v>
      </c>
      <c r="U82" s="3" t="str">
        <f t="shared" si="15"/>
        <v>No Discount</v>
      </c>
      <c r="V82" s="3" t="str">
        <f t="shared" si="16"/>
        <v>Priority D</v>
      </c>
      <c r="W82">
        <f t="shared" si="17"/>
        <v>139254.6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23</v>
      </c>
      <c r="AD82" t="s">
        <v>23</v>
      </c>
      <c r="AE82" t="s">
        <v>23</v>
      </c>
      <c r="AF82" t="s">
        <v>23</v>
      </c>
      <c r="AG82" t="s">
        <v>23</v>
      </c>
      <c r="AH82" t="s">
        <v>23</v>
      </c>
      <c r="AI82" t="s">
        <v>23</v>
      </c>
      <c r="AJ82" t="s">
        <v>23</v>
      </c>
    </row>
    <row r="83" spans="1:36" x14ac:dyDescent="0.35">
      <c r="A83" s="2">
        <v>1081</v>
      </c>
      <c r="B83" s="4">
        <v>45005</v>
      </c>
      <c r="C83" s="1" t="s">
        <v>30</v>
      </c>
      <c r="D83" s="1" t="s">
        <v>42</v>
      </c>
      <c r="E83">
        <v>239960</v>
      </c>
      <c r="F83">
        <v>12</v>
      </c>
      <c r="G83" s="1" t="s">
        <v>35</v>
      </c>
      <c r="H83">
        <v>22101</v>
      </c>
      <c r="I83">
        <v>25874</v>
      </c>
      <c r="J83" s="1" t="s">
        <v>27</v>
      </c>
      <c r="K83" s="3">
        <v>3</v>
      </c>
      <c r="L83" s="1" t="s">
        <v>28</v>
      </c>
      <c r="M83" s="1" t="s">
        <v>37</v>
      </c>
      <c r="N83" s="3">
        <v>2024010123</v>
      </c>
      <c r="O83" s="3">
        <f t="shared" si="9"/>
        <v>1.23</v>
      </c>
      <c r="P83" s="6">
        <f t="shared" si="10"/>
        <v>295150.8</v>
      </c>
      <c r="Q83" s="3" t="str">
        <f t="shared" si="11"/>
        <v>Excellent</v>
      </c>
      <c r="R83" s="3">
        <f t="shared" si="12"/>
        <v>3773</v>
      </c>
      <c r="S83" s="7">
        <f t="shared" si="13"/>
        <v>45276</v>
      </c>
      <c r="T83" s="3" t="str">
        <f t="shared" si="14"/>
        <v>High Profit</v>
      </c>
      <c r="U83" s="3" t="str">
        <f t="shared" si="15"/>
        <v>Low Discount</v>
      </c>
      <c r="V83" s="3" t="str">
        <f t="shared" si="16"/>
        <v>Priority C</v>
      </c>
      <c r="W83">
        <f t="shared" si="17"/>
        <v>35994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23</v>
      </c>
      <c r="AD83" t="s">
        <v>23</v>
      </c>
      <c r="AE83" t="s">
        <v>23</v>
      </c>
      <c r="AF83" t="s">
        <v>23</v>
      </c>
      <c r="AG83" t="s">
        <v>23</v>
      </c>
      <c r="AH83" t="s">
        <v>23</v>
      </c>
      <c r="AI83" t="s">
        <v>23</v>
      </c>
      <c r="AJ83" t="s">
        <v>23</v>
      </c>
    </row>
    <row r="84" spans="1:36" x14ac:dyDescent="0.35">
      <c r="A84" s="2">
        <v>1082</v>
      </c>
      <c r="B84" s="4">
        <v>45112</v>
      </c>
      <c r="C84" s="1" t="s">
        <v>30</v>
      </c>
      <c r="D84" s="1" t="s">
        <v>43</v>
      </c>
      <c r="E84">
        <v>287544</v>
      </c>
      <c r="F84">
        <v>12</v>
      </c>
      <c r="G84" s="1" t="s">
        <v>32</v>
      </c>
      <c r="H84">
        <v>37311</v>
      </c>
      <c r="I84">
        <v>40224</v>
      </c>
      <c r="J84" s="1" t="s">
        <v>33</v>
      </c>
      <c r="K84" s="3">
        <v>3</v>
      </c>
      <c r="L84" s="1" t="s">
        <v>28</v>
      </c>
      <c r="M84" s="1" t="s">
        <v>37</v>
      </c>
      <c r="N84" s="3">
        <v>2024010123</v>
      </c>
      <c r="O84" s="3">
        <f t="shared" si="9"/>
        <v>1.23</v>
      </c>
      <c r="P84" s="6">
        <f t="shared" si="10"/>
        <v>353679.12</v>
      </c>
      <c r="Q84" s="3" t="str">
        <f t="shared" si="11"/>
        <v>Excellent</v>
      </c>
      <c r="R84" s="3">
        <f t="shared" si="12"/>
        <v>2913</v>
      </c>
      <c r="S84" s="7">
        <f t="shared" si="13"/>
        <v>34956</v>
      </c>
      <c r="T84" s="3" t="str">
        <f t="shared" si="14"/>
        <v>High Profit</v>
      </c>
      <c r="U84" s="3" t="str">
        <f t="shared" si="15"/>
        <v>Low Discount</v>
      </c>
      <c r="V84" s="3" t="str">
        <f t="shared" si="16"/>
        <v>Priority C</v>
      </c>
      <c r="W84">
        <f t="shared" si="17"/>
        <v>28754.400000000001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23</v>
      </c>
      <c r="AD84" t="s">
        <v>23</v>
      </c>
      <c r="AE84" t="s">
        <v>23</v>
      </c>
      <c r="AF84" t="s">
        <v>23</v>
      </c>
      <c r="AG84" t="s">
        <v>23</v>
      </c>
      <c r="AH84" t="s">
        <v>23</v>
      </c>
      <c r="AI84" t="s">
        <v>23</v>
      </c>
      <c r="AJ84" t="s">
        <v>23</v>
      </c>
    </row>
    <row r="85" spans="1:36" x14ac:dyDescent="0.35">
      <c r="A85" s="2">
        <v>1083</v>
      </c>
      <c r="B85" s="4">
        <v>45223</v>
      </c>
      <c r="C85" s="1" t="s">
        <v>24</v>
      </c>
      <c r="D85" s="1" t="s">
        <v>31</v>
      </c>
      <c r="E85">
        <v>760193</v>
      </c>
      <c r="F85">
        <v>12</v>
      </c>
      <c r="G85" s="1" t="s">
        <v>35</v>
      </c>
      <c r="H85">
        <v>44713</v>
      </c>
      <c r="I85">
        <v>46969</v>
      </c>
      <c r="J85" s="1" t="s">
        <v>27</v>
      </c>
      <c r="K85" s="3">
        <v>10</v>
      </c>
      <c r="L85" s="1" t="s">
        <v>28</v>
      </c>
      <c r="M85" s="1" t="s">
        <v>29</v>
      </c>
      <c r="N85" s="3">
        <v>2024010123</v>
      </c>
      <c r="O85" s="3">
        <f t="shared" si="9"/>
        <v>1.23</v>
      </c>
      <c r="P85" s="6">
        <f t="shared" si="10"/>
        <v>935037.39</v>
      </c>
      <c r="Q85" s="3" t="str">
        <f t="shared" si="11"/>
        <v>Excellent</v>
      </c>
      <c r="R85" s="3">
        <f t="shared" si="12"/>
        <v>2256</v>
      </c>
      <c r="S85" s="7">
        <f t="shared" si="13"/>
        <v>27072</v>
      </c>
      <c r="T85" s="3" t="str">
        <f t="shared" si="14"/>
        <v>High Profit</v>
      </c>
      <c r="U85" s="3" t="str">
        <f t="shared" si="15"/>
        <v>Medium Discount</v>
      </c>
      <c r="V85" s="3" t="str">
        <f t="shared" si="16"/>
        <v>Priority D</v>
      </c>
      <c r="W85">
        <f t="shared" si="17"/>
        <v>114028.95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23</v>
      </c>
      <c r="AD85" t="s">
        <v>23</v>
      </c>
      <c r="AE85" t="s">
        <v>23</v>
      </c>
      <c r="AF85" t="s">
        <v>23</v>
      </c>
      <c r="AG85" t="s">
        <v>23</v>
      </c>
      <c r="AH85" t="s">
        <v>23</v>
      </c>
      <c r="AI85" t="s">
        <v>23</v>
      </c>
      <c r="AJ85" t="s">
        <v>23</v>
      </c>
    </row>
    <row r="86" spans="1:36" x14ac:dyDescent="0.35">
      <c r="A86" s="2">
        <v>1084</v>
      </c>
      <c r="B86" s="4">
        <v>44955</v>
      </c>
      <c r="C86" s="1" t="s">
        <v>30</v>
      </c>
      <c r="D86" s="1" t="s">
        <v>43</v>
      </c>
      <c r="E86">
        <v>585237</v>
      </c>
      <c r="F86">
        <v>12</v>
      </c>
      <c r="G86" s="1" t="s">
        <v>26</v>
      </c>
      <c r="H86">
        <v>59257</v>
      </c>
      <c r="I86">
        <v>62597</v>
      </c>
      <c r="J86" s="1" t="s">
        <v>27</v>
      </c>
      <c r="K86" s="3">
        <v>10</v>
      </c>
      <c r="L86" s="1" t="s">
        <v>40</v>
      </c>
      <c r="M86" s="1" t="s">
        <v>37</v>
      </c>
      <c r="N86" s="3">
        <v>2024010123</v>
      </c>
      <c r="O86" s="3">
        <f t="shared" si="9"/>
        <v>1.23</v>
      </c>
      <c r="P86" s="6">
        <f t="shared" si="10"/>
        <v>719841.51</v>
      </c>
      <c r="Q86" s="3" t="str">
        <f t="shared" si="11"/>
        <v>Excellent</v>
      </c>
      <c r="R86" s="3">
        <f t="shared" si="12"/>
        <v>3340</v>
      </c>
      <c r="S86" s="7">
        <f t="shared" si="13"/>
        <v>40080</v>
      </c>
      <c r="T86" s="3" t="str">
        <f t="shared" si="14"/>
        <v>High Profit</v>
      </c>
      <c r="U86" s="3" t="str">
        <f t="shared" si="15"/>
        <v>Medium Discount</v>
      </c>
      <c r="V86" s="3" t="str">
        <f t="shared" si="16"/>
        <v>Priority C</v>
      </c>
      <c r="W86">
        <f t="shared" si="17"/>
        <v>87785.55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23</v>
      </c>
      <c r="AD86" t="s">
        <v>23</v>
      </c>
      <c r="AE86" t="s">
        <v>23</v>
      </c>
      <c r="AF86" t="s">
        <v>23</v>
      </c>
      <c r="AG86" t="s">
        <v>23</v>
      </c>
      <c r="AH86" t="s">
        <v>23</v>
      </c>
      <c r="AI86" t="s">
        <v>23</v>
      </c>
      <c r="AJ86" t="s">
        <v>23</v>
      </c>
    </row>
    <row r="87" spans="1:36" x14ac:dyDescent="0.35">
      <c r="A87" s="2">
        <v>1085</v>
      </c>
      <c r="B87" s="4">
        <v>45241</v>
      </c>
      <c r="C87" s="1" t="s">
        <v>34</v>
      </c>
      <c r="D87" s="1" t="s">
        <v>25</v>
      </c>
      <c r="E87">
        <v>894536</v>
      </c>
      <c r="F87">
        <v>12</v>
      </c>
      <c r="G87" s="1" t="s">
        <v>26</v>
      </c>
      <c r="H87">
        <v>40154</v>
      </c>
      <c r="I87">
        <v>43693</v>
      </c>
      <c r="J87" s="1" t="s">
        <v>33</v>
      </c>
      <c r="K87" s="3">
        <v>8</v>
      </c>
      <c r="L87" s="1" t="s">
        <v>36</v>
      </c>
      <c r="M87" s="1" t="s">
        <v>37</v>
      </c>
      <c r="N87" s="3">
        <v>2024010123</v>
      </c>
      <c r="O87" s="3">
        <f t="shared" si="9"/>
        <v>1.23</v>
      </c>
      <c r="P87" s="6">
        <f t="shared" si="10"/>
        <v>1100279.28</v>
      </c>
      <c r="Q87" s="3" t="str">
        <f t="shared" si="11"/>
        <v>Excellent</v>
      </c>
      <c r="R87" s="3">
        <f t="shared" si="12"/>
        <v>3539</v>
      </c>
      <c r="S87" s="7">
        <f t="shared" si="13"/>
        <v>42468</v>
      </c>
      <c r="T87" s="3" t="str">
        <f t="shared" si="14"/>
        <v>High Profit</v>
      </c>
      <c r="U87" s="3" t="str">
        <f t="shared" si="15"/>
        <v>Medium Discount</v>
      </c>
      <c r="V87" s="3" t="str">
        <f t="shared" si="16"/>
        <v>Priority C</v>
      </c>
      <c r="W87">
        <f t="shared" si="17"/>
        <v>89453.6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23</v>
      </c>
      <c r="AD87" t="s">
        <v>23</v>
      </c>
      <c r="AE87" t="s">
        <v>23</v>
      </c>
      <c r="AF87" t="s">
        <v>23</v>
      </c>
      <c r="AG87" t="s">
        <v>23</v>
      </c>
      <c r="AH87" t="s">
        <v>23</v>
      </c>
      <c r="AI87" t="s">
        <v>23</v>
      </c>
      <c r="AJ87" t="s">
        <v>23</v>
      </c>
    </row>
    <row r="88" spans="1:36" x14ac:dyDescent="0.35">
      <c r="A88" s="2">
        <v>1086</v>
      </c>
      <c r="B88" s="4">
        <v>45227</v>
      </c>
      <c r="C88" s="1" t="s">
        <v>30</v>
      </c>
      <c r="D88" s="1" t="s">
        <v>42</v>
      </c>
      <c r="E88">
        <v>49125</v>
      </c>
      <c r="F88">
        <v>12</v>
      </c>
      <c r="G88" s="1" t="s">
        <v>26</v>
      </c>
      <c r="H88">
        <v>53347</v>
      </c>
      <c r="I88">
        <v>57048</v>
      </c>
      <c r="J88" s="1" t="s">
        <v>33</v>
      </c>
      <c r="K88" s="3">
        <v>16</v>
      </c>
      <c r="L88" s="1" t="s">
        <v>36</v>
      </c>
      <c r="M88" s="1" t="s">
        <v>37</v>
      </c>
      <c r="N88" s="3">
        <v>2024010123</v>
      </c>
      <c r="O88" s="3">
        <f t="shared" si="9"/>
        <v>1.23</v>
      </c>
      <c r="P88" s="6">
        <f t="shared" si="10"/>
        <v>60423.75</v>
      </c>
      <c r="Q88" s="3" t="str">
        <f t="shared" si="11"/>
        <v>Excellent</v>
      </c>
      <c r="R88" s="3">
        <f t="shared" si="12"/>
        <v>3701</v>
      </c>
      <c r="S88" s="7">
        <f t="shared" si="13"/>
        <v>44412</v>
      </c>
      <c r="T88" s="3" t="str">
        <f t="shared" si="14"/>
        <v>High Profit</v>
      </c>
      <c r="U88" s="3" t="str">
        <f t="shared" si="15"/>
        <v>High Discount</v>
      </c>
      <c r="V88" s="3" t="str">
        <f t="shared" si="16"/>
        <v>Priority C</v>
      </c>
      <c r="W88">
        <f t="shared" si="17"/>
        <v>4912.5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23</v>
      </c>
      <c r="AD88" t="s">
        <v>23</v>
      </c>
      <c r="AE88" t="s">
        <v>23</v>
      </c>
      <c r="AF88" t="s">
        <v>23</v>
      </c>
      <c r="AG88" t="s">
        <v>23</v>
      </c>
      <c r="AH88" t="s">
        <v>23</v>
      </c>
      <c r="AI88" t="s">
        <v>23</v>
      </c>
      <c r="AJ88" t="s">
        <v>23</v>
      </c>
    </row>
    <row r="89" spans="1:36" x14ac:dyDescent="0.35">
      <c r="A89" s="2">
        <v>1087</v>
      </c>
      <c r="B89" s="4">
        <v>45225</v>
      </c>
      <c r="C89" s="1" t="s">
        <v>34</v>
      </c>
      <c r="D89" s="1" t="s">
        <v>42</v>
      </c>
      <c r="E89">
        <v>108019</v>
      </c>
      <c r="F89">
        <v>12</v>
      </c>
      <c r="G89" s="1" t="s">
        <v>35</v>
      </c>
      <c r="H89">
        <v>40062</v>
      </c>
      <c r="I89">
        <v>43958</v>
      </c>
      <c r="J89" s="1" t="s">
        <v>33</v>
      </c>
      <c r="K89" s="3">
        <v>25</v>
      </c>
      <c r="L89" s="1" t="s">
        <v>28</v>
      </c>
      <c r="M89" s="1" t="s">
        <v>37</v>
      </c>
      <c r="N89" s="3">
        <v>2024010123</v>
      </c>
      <c r="O89" s="3">
        <f t="shared" si="9"/>
        <v>1.23</v>
      </c>
      <c r="P89" s="6">
        <f t="shared" si="10"/>
        <v>132863.37</v>
      </c>
      <c r="Q89" s="3" t="str">
        <f t="shared" si="11"/>
        <v>Excellent</v>
      </c>
      <c r="R89" s="3">
        <f t="shared" si="12"/>
        <v>3896</v>
      </c>
      <c r="S89" s="7">
        <f t="shared" si="13"/>
        <v>46752</v>
      </c>
      <c r="T89" s="3" t="str">
        <f t="shared" si="14"/>
        <v>High Profit</v>
      </c>
      <c r="U89" s="3" t="str">
        <f t="shared" si="15"/>
        <v>High Discount</v>
      </c>
      <c r="V89" s="3" t="str">
        <f t="shared" si="16"/>
        <v>Priority C</v>
      </c>
      <c r="W89">
        <f t="shared" si="17"/>
        <v>10801.900000000001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23</v>
      </c>
      <c r="AD89" t="s">
        <v>23</v>
      </c>
      <c r="AE89" t="s">
        <v>23</v>
      </c>
      <c r="AF89" t="s">
        <v>23</v>
      </c>
      <c r="AG89" t="s">
        <v>23</v>
      </c>
      <c r="AH89" t="s">
        <v>23</v>
      </c>
      <c r="AI89" t="s">
        <v>23</v>
      </c>
      <c r="AJ89" t="s">
        <v>23</v>
      </c>
    </row>
    <row r="90" spans="1:36" x14ac:dyDescent="0.35">
      <c r="A90" s="2">
        <v>1088</v>
      </c>
      <c r="B90" s="4">
        <v>45227</v>
      </c>
      <c r="C90" s="1" t="s">
        <v>38</v>
      </c>
      <c r="D90" s="1" t="s">
        <v>42</v>
      </c>
      <c r="E90">
        <v>132513</v>
      </c>
      <c r="F90">
        <v>10</v>
      </c>
      <c r="G90" s="1" t="s">
        <v>32</v>
      </c>
      <c r="H90">
        <v>42373</v>
      </c>
      <c r="I90">
        <v>46679</v>
      </c>
      <c r="J90" s="1" t="s">
        <v>33</v>
      </c>
      <c r="K90" s="3">
        <v>28</v>
      </c>
      <c r="L90" s="1" t="s">
        <v>40</v>
      </c>
      <c r="M90" s="1" t="s">
        <v>29</v>
      </c>
      <c r="N90" s="3">
        <v>2024010123</v>
      </c>
      <c r="O90" s="3">
        <f t="shared" si="9"/>
        <v>1.23</v>
      </c>
      <c r="P90" s="6">
        <f t="shared" si="10"/>
        <v>162990.99</v>
      </c>
      <c r="Q90" s="3" t="str">
        <f t="shared" si="11"/>
        <v>Excellent</v>
      </c>
      <c r="R90" s="3">
        <f t="shared" si="12"/>
        <v>4306</v>
      </c>
      <c r="S90" s="7">
        <f t="shared" si="13"/>
        <v>43060</v>
      </c>
      <c r="T90" s="3" t="str">
        <f t="shared" si="14"/>
        <v>High Profit</v>
      </c>
      <c r="U90" s="3" t="str">
        <f t="shared" si="15"/>
        <v>High Discount</v>
      </c>
      <c r="V90" s="3" t="str">
        <f t="shared" si="16"/>
        <v>Priority D</v>
      </c>
      <c r="W90">
        <f t="shared" si="17"/>
        <v>13251.300000000001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23</v>
      </c>
      <c r="AD90" t="s">
        <v>23</v>
      </c>
      <c r="AE90" t="s">
        <v>23</v>
      </c>
      <c r="AF90" t="s">
        <v>23</v>
      </c>
      <c r="AG90" t="s">
        <v>23</v>
      </c>
      <c r="AH90" t="s">
        <v>23</v>
      </c>
      <c r="AI90" t="s">
        <v>23</v>
      </c>
      <c r="AJ90" t="s">
        <v>23</v>
      </c>
    </row>
    <row r="91" spans="1:36" x14ac:dyDescent="0.35">
      <c r="A91" s="2">
        <v>1089</v>
      </c>
      <c r="B91" s="4">
        <v>45218</v>
      </c>
      <c r="C91" s="1" t="s">
        <v>41</v>
      </c>
      <c r="D91" s="1" t="s">
        <v>43</v>
      </c>
      <c r="E91">
        <v>332580</v>
      </c>
      <c r="F91">
        <v>12</v>
      </c>
      <c r="G91" s="1" t="s">
        <v>35</v>
      </c>
      <c r="H91">
        <v>51111</v>
      </c>
      <c r="I91">
        <v>56006</v>
      </c>
      <c r="J91" s="1" t="s">
        <v>33</v>
      </c>
      <c r="K91" s="3">
        <v>22</v>
      </c>
      <c r="L91" s="1" t="s">
        <v>28</v>
      </c>
      <c r="M91" s="1" t="s">
        <v>37</v>
      </c>
      <c r="N91" s="3">
        <v>2024010123</v>
      </c>
      <c r="O91" s="3">
        <f t="shared" si="9"/>
        <v>1.23</v>
      </c>
      <c r="P91" s="6">
        <f t="shared" si="10"/>
        <v>409073.39999999997</v>
      </c>
      <c r="Q91" s="3" t="str">
        <f t="shared" si="11"/>
        <v>Excellent</v>
      </c>
      <c r="R91" s="3">
        <f t="shared" si="12"/>
        <v>4895</v>
      </c>
      <c r="S91" s="7">
        <f t="shared" si="13"/>
        <v>58740</v>
      </c>
      <c r="T91" s="3" t="str">
        <f t="shared" si="14"/>
        <v>High Profit</v>
      </c>
      <c r="U91" s="3" t="str">
        <f t="shared" si="15"/>
        <v>High Discount</v>
      </c>
      <c r="V91" s="3" t="str">
        <f t="shared" si="16"/>
        <v>Priority C</v>
      </c>
      <c r="W91">
        <f t="shared" si="17"/>
        <v>33258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23</v>
      </c>
      <c r="AD91" t="s">
        <v>23</v>
      </c>
      <c r="AE91" t="s">
        <v>23</v>
      </c>
      <c r="AF91" t="s">
        <v>23</v>
      </c>
      <c r="AG91" t="s">
        <v>23</v>
      </c>
      <c r="AH91" t="s">
        <v>23</v>
      </c>
      <c r="AI91" t="s">
        <v>23</v>
      </c>
      <c r="AJ91" t="s">
        <v>23</v>
      </c>
    </row>
    <row r="92" spans="1:36" x14ac:dyDescent="0.35">
      <c r="A92" s="2">
        <v>1090</v>
      </c>
      <c r="B92" s="4">
        <v>45179</v>
      </c>
      <c r="C92" s="1" t="s">
        <v>30</v>
      </c>
      <c r="D92" s="1" t="s">
        <v>25</v>
      </c>
      <c r="E92">
        <v>824048</v>
      </c>
      <c r="F92">
        <v>34</v>
      </c>
      <c r="G92" s="1" t="s">
        <v>35</v>
      </c>
      <c r="H92">
        <v>21709</v>
      </c>
      <c r="I92">
        <v>29108</v>
      </c>
      <c r="J92" s="1" t="s">
        <v>27</v>
      </c>
      <c r="K92" s="3">
        <v>0</v>
      </c>
      <c r="L92" s="1" t="s">
        <v>40</v>
      </c>
      <c r="M92" s="1" t="s">
        <v>37</v>
      </c>
      <c r="N92" s="3">
        <v>2024010123</v>
      </c>
      <c r="O92" s="3">
        <f t="shared" si="9"/>
        <v>1.23</v>
      </c>
      <c r="P92" s="6">
        <f t="shared" si="10"/>
        <v>1013579.04</v>
      </c>
      <c r="Q92" s="3" t="str">
        <f t="shared" si="11"/>
        <v>Excellent</v>
      </c>
      <c r="R92" s="3">
        <f t="shared" si="12"/>
        <v>7399</v>
      </c>
      <c r="S92" s="7">
        <f t="shared" si="13"/>
        <v>251566</v>
      </c>
      <c r="T92" s="3" t="str">
        <f t="shared" si="14"/>
        <v>High Profit</v>
      </c>
      <c r="U92" s="3" t="str">
        <f t="shared" si="15"/>
        <v>No Discount</v>
      </c>
      <c r="V92" s="3" t="str">
        <f t="shared" si="16"/>
        <v>Priority C</v>
      </c>
      <c r="W92">
        <f t="shared" si="17"/>
        <v>123607.2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23</v>
      </c>
      <c r="AD92" t="s">
        <v>23</v>
      </c>
      <c r="AE92" t="s">
        <v>23</v>
      </c>
      <c r="AF92" t="s">
        <v>23</v>
      </c>
      <c r="AG92" t="s">
        <v>23</v>
      </c>
      <c r="AH92" t="s">
        <v>23</v>
      </c>
      <c r="AI92" t="s">
        <v>23</v>
      </c>
      <c r="AJ92" t="s">
        <v>23</v>
      </c>
    </row>
    <row r="93" spans="1:36" x14ac:dyDescent="0.35">
      <c r="A93" s="2">
        <v>1091</v>
      </c>
      <c r="B93" s="4">
        <v>45195</v>
      </c>
      <c r="C93" s="1" t="s">
        <v>41</v>
      </c>
      <c r="D93" s="1" t="s">
        <v>42</v>
      </c>
      <c r="E93">
        <v>719013</v>
      </c>
      <c r="F93">
        <v>32</v>
      </c>
      <c r="G93" s="1" t="s">
        <v>26</v>
      </c>
      <c r="H93">
        <v>13803</v>
      </c>
      <c r="I93">
        <v>24212</v>
      </c>
      <c r="J93" s="1" t="s">
        <v>33</v>
      </c>
      <c r="K93" s="3">
        <v>3</v>
      </c>
      <c r="L93" s="1" t="s">
        <v>28</v>
      </c>
      <c r="M93" s="1" t="s">
        <v>29</v>
      </c>
      <c r="N93" s="3">
        <v>2024010123</v>
      </c>
      <c r="O93" s="3">
        <f t="shared" si="9"/>
        <v>1.23</v>
      </c>
      <c r="P93" s="6">
        <f t="shared" si="10"/>
        <v>884385.99</v>
      </c>
      <c r="Q93" s="3" t="str">
        <f t="shared" si="11"/>
        <v>Excellent</v>
      </c>
      <c r="R93" s="3">
        <f t="shared" si="12"/>
        <v>10409</v>
      </c>
      <c r="S93" s="7">
        <f t="shared" si="13"/>
        <v>333088</v>
      </c>
      <c r="T93" s="3" t="str">
        <f t="shared" si="14"/>
        <v>High Profit</v>
      </c>
      <c r="U93" s="3" t="str">
        <f t="shared" si="15"/>
        <v>Low Discount</v>
      </c>
      <c r="V93" s="3" t="str">
        <f t="shared" si="16"/>
        <v>Priority C</v>
      </c>
      <c r="W93">
        <f t="shared" si="17"/>
        <v>71901.3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23</v>
      </c>
      <c r="AD93" t="s">
        <v>23</v>
      </c>
      <c r="AE93" t="s">
        <v>23</v>
      </c>
      <c r="AF93" t="s">
        <v>23</v>
      </c>
      <c r="AG93" t="s">
        <v>23</v>
      </c>
      <c r="AH93" t="s">
        <v>23</v>
      </c>
      <c r="AI93" t="s">
        <v>23</v>
      </c>
      <c r="AJ93" t="s">
        <v>23</v>
      </c>
    </row>
    <row r="94" spans="1:36" x14ac:dyDescent="0.35">
      <c r="A94" s="2">
        <v>1092</v>
      </c>
      <c r="B94" s="4">
        <v>45046</v>
      </c>
      <c r="C94" s="1" t="s">
        <v>30</v>
      </c>
      <c r="D94" s="1" t="s">
        <v>42</v>
      </c>
      <c r="E94">
        <v>322548</v>
      </c>
      <c r="F94">
        <v>15</v>
      </c>
      <c r="G94" s="1" t="s">
        <v>26</v>
      </c>
      <c r="H94">
        <v>24796</v>
      </c>
      <c r="I94">
        <v>37819</v>
      </c>
      <c r="J94" s="1" t="s">
        <v>33</v>
      </c>
      <c r="K94" s="3">
        <v>3</v>
      </c>
      <c r="L94" s="1" t="s">
        <v>40</v>
      </c>
      <c r="M94" s="1" t="s">
        <v>37</v>
      </c>
      <c r="N94" s="3">
        <v>2024010123</v>
      </c>
      <c r="O94" s="3">
        <f t="shared" si="9"/>
        <v>1.23</v>
      </c>
      <c r="P94" s="6">
        <f t="shared" si="10"/>
        <v>396734.04</v>
      </c>
      <c r="Q94" s="3" t="str">
        <f t="shared" si="11"/>
        <v>Excellent</v>
      </c>
      <c r="R94" s="3">
        <f t="shared" si="12"/>
        <v>13023</v>
      </c>
      <c r="S94" s="7">
        <f t="shared" si="13"/>
        <v>195345</v>
      </c>
      <c r="T94" s="3" t="str">
        <f t="shared" si="14"/>
        <v>High Profit</v>
      </c>
      <c r="U94" s="3" t="str">
        <f t="shared" si="15"/>
        <v>Low Discount</v>
      </c>
      <c r="V94" s="3" t="str">
        <f t="shared" si="16"/>
        <v>Priority C</v>
      </c>
      <c r="W94">
        <f t="shared" si="17"/>
        <v>32254.800000000003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23</v>
      </c>
      <c r="AD94" t="s">
        <v>23</v>
      </c>
      <c r="AE94" t="s">
        <v>23</v>
      </c>
      <c r="AF94" t="s">
        <v>23</v>
      </c>
      <c r="AG94" t="s">
        <v>23</v>
      </c>
      <c r="AH94" t="s">
        <v>23</v>
      </c>
      <c r="AI94" t="s">
        <v>23</v>
      </c>
      <c r="AJ94" t="s">
        <v>23</v>
      </c>
    </row>
    <row r="95" spans="1:36" x14ac:dyDescent="0.35">
      <c r="A95" s="2">
        <v>1093</v>
      </c>
      <c r="B95" s="4">
        <v>45019</v>
      </c>
      <c r="C95" s="1" t="s">
        <v>38</v>
      </c>
      <c r="D95" s="1" t="s">
        <v>42</v>
      </c>
      <c r="E95">
        <v>187845</v>
      </c>
      <c r="F95">
        <v>37</v>
      </c>
      <c r="G95" s="1" t="s">
        <v>26</v>
      </c>
      <c r="H95">
        <v>25959</v>
      </c>
      <c r="I95">
        <v>39178</v>
      </c>
      <c r="J95" s="1" t="s">
        <v>33</v>
      </c>
      <c r="K95" s="3">
        <v>5</v>
      </c>
      <c r="L95" s="1" t="s">
        <v>36</v>
      </c>
      <c r="M95" s="1" t="s">
        <v>37</v>
      </c>
      <c r="N95" s="3">
        <v>2024010123</v>
      </c>
      <c r="O95" s="3">
        <f t="shared" si="9"/>
        <v>1.23</v>
      </c>
      <c r="P95" s="6">
        <f t="shared" si="10"/>
        <v>231049.35</v>
      </c>
      <c r="Q95" s="3" t="str">
        <f t="shared" si="11"/>
        <v>Excellent</v>
      </c>
      <c r="R95" s="3">
        <f t="shared" si="12"/>
        <v>13219</v>
      </c>
      <c r="S95" s="7">
        <f t="shared" si="13"/>
        <v>489103</v>
      </c>
      <c r="T95" s="3" t="str">
        <f t="shared" si="14"/>
        <v>High Profit</v>
      </c>
      <c r="U95" s="3" t="str">
        <f t="shared" si="15"/>
        <v>Medium Discount</v>
      </c>
      <c r="V95" s="3" t="str">
        <f t="shared" si="16"/>
        <v>Priority C</v>
      </c>
      <c r="W95">
        <f t="shared" si="17"/>
        <v>18784.5</v>
      </c>
      <c r="X95" t="s">
        <v>23</v>
      </c>
      <c r="Y95" t="s">
        <v>23</v>
      </c>
      <c r="Z95" t="s">
        <v>23</v>
      </c>
      <c r="AA95" t="s">
        <v>23</v>
      </c>
      <c r="AB95" t="s">
        <v>23</v>
      </c>
      <c r="AC95" t="s">
        <v>23</v>
      </c>
      <c r="AD95" t="s">
        <v>23</v>
      </c>
      <c r="AE95" t="s">
        <v>23</v>
      </c>
      <c r="AF95" t="s">
        <v>23</v>
      </c>
      <c r="AG95" t="s">
        <v>23</v>
      </c>
      <c r="AH95" t="s">
        <v>23</v>
      </c>
      <c r="AI95" t="s">
        <v>23</v>
      </c>
      <c r="AJ95" t="s">
        <v>23</v>
      </c>
    </row>
    <row r="96" spans="1:36" x14ac:dyDescent="0.35">
      <c r="A96" s="2">
        <v>1094</v>
      </c>
      <c r="B96" s="4">
        <v>44982</v>
      </c>
      <c r="C96" s="1" t="s">
        <v>30</v>
      </c>
      <c r="D96" s="1" t="s">
        <v>25</v>
      </c>
      <c r="E96">
        <v>848108</v>
      </c>
      <c r="F96">
        <v>12</v>
      </c>
      <c r="G96" s="1" t="s">
        <v>35</v>
      </c>
      <c r="H96">
        <v>14561</v>
      </c>
      <c r="I96">
        <v>27555</v>
      </c>
      <c r="J96" s="1" t="s">
        <v>27</v>
      </c>
      <c r="K96" s="3">
        <v>9</v>
      </c>
      <c r="L96" s="1" t="s">
        <v>28</v>
      </c>
      <c r="M96" s="1" t="s">
        <v>29</v>
      </c>
      <c r="N96" s="3">
        <v>2024010123</v>
      </c>
      <c r="O96" s="3">
        <f t="shared" si="9"/>
        <v>1.23</v>
      </c>
      <c r="P96" s="6">
        <f t="shared" si="10"/>
        <v>1043172.84</v>
      </c>
      <c r="Q96" s="3" t="str">
        <f t="shared" si="11"/>
        <v>Excellent</v>
      </c>
      <c r="R96" s="3">
        <f t="shared" si="12"/>
        <v>12994</v>
      </c>
      <c r="S96" s="7">
        <f t="shared" si="13"/>
        <v>155928</v>
      </c>
      <c r="T96" s="3" t="str">
        <f t="shared" si="14"/>
        <v>High Profit</v>
      </c>
      <c r="U96" s="3" t="str">
        <f t="shared" si="15"/>
        <v>Medium Discount</v>
      </c>
      <c r="V96" s="3" t="str">
        <f t="shared" si="16"/>
        <v>Priority D</v>
      </c>
      <c r="W96">
        <f t="shared" si="17"/>
        <v>127216.2</v>
      </c>
      <c r="X96" t="s">
        <v>23</v>
      </c>
      <c r="Y96" t="s">
        <v>23</v>
      </c>
      <c r="Z96" t="s">
        <v>23</v>
      </c>
      <c r="AA96" t="s">
        <v>23</v>
      </c>
      <c r="AB96" t="s">
        <v>23</v>
      </c>
      <c r="AC96" t="s">
        <v>23</v>
      </c>
      <c r="AD96" t="s">
        <v>23</v>
      </c>
      <c r="AE96" t="s">
        <v>23</v>
      </c>
      <c r="AF96" t="s">
        <v>23</v>
      </c>
      <c r="AG96" t="s">
        <v>23</v>
      </c>
      <c r="AH96" t="s">
        <v>23</v>
      </c>
      <c r="AI96" t="s">
        <v>23</v>
      </c>
      <c r="AJ96" t="s">
        <v>23</v>
      </c>
    </row>
    <row r="97" spans="1:36" x14ac:dyDescent="0.35">
      <c r="A97" s="2">
        <v>1095</v>
      </c>
      <c r="B97" s="4">
        <v>45178</v>
      </c>
      <c r="C97" s="1" t="s">
        <v>24</v>
      </c>
      <c r="D97" s="1" t="s">
        <v>25</v>
      </c>
      <c r="E97">
        <v>250053</v>
      </c>
      <c r="F97">
        <v>48</v>
      </c>
      <c r="G97" s="1" t="s">
        <v>32</v>
      </c>
      <c r="H97">
        <v>14074</v>
      </c>
      <c r="I97">
        <v>27461</v>
      </c>
      <c r="J97" s="1" t="s">
        <v>33</v>
      </c>
      <c r="K97" s="3">
        <v>6</v>
      </c>
      <c r="L97" s="1" t="s">
        <v>36</v>
      </c>
      <c r="M97" s="1" t="s">
        <v>29</v>
      </c>
      <c r="N97" s="3">
        <v>2024010123</v>
      </c>
      <c r="O97" s="3">
        <f t="shared" si="9"/>
        <v>1.23</v>
      </c>
      <c r="P97" s="6">
        <f t="shared" si="10"/>
        <v>307565.19</v>
      </c>
      <c r="Q97" s="3" t="str">
        <f t="shared" si="11"/>
        <v>Excellent</v>
      </c>
      <c r="R97" s="3">
        <f t="shared" si="12"/>
        <v>13387</v>
      </c>
      <c r="S97" s="7">
        <f t="shared" si="13"/>
        <v>642576</v>
      </c>
      <c r="T97" s="3" t="str">
        <f t="shared" si="14"/>
        <v>High Profit</v>
      </c>
      <c r="U97" s="3" t="str">
        <f t="shared" si="15"/>
        <v>Medium Discount</v>
      </c>
      <c r="V97" s="3" t="str">
        <f t="shared" si="16"/>
        <v>Priority B</v>
      </c>
      <c r="W97">
        <f t="shared" si="17"/>
        <v>25005.300000000003</v>
      </c>
      <c r="X97" t="s">
        <v>23</v>
      </c>
      <c r="Y97" t="s">
        <v>23</v>
      </c>
      <c r="Z97" t="s">
        <v>23</v>
      </c>
      <c r="AA97" t="s">
        <v>23</v>
      </c>
      <c r="AB97" t="s">
        <v>23</v>
      </c>
      <c r="AC97" t="s">
        <v>23</v>
      </c>
      <c r="AD97" t="s">
        <v>23</v>
      </c>
      <c r="AE97" t="s">
        <v>23</v>
      </c>
      <c r="AF97" t="s">
        <v>23</v>
      </c>
      <c r="AG97" t="s">
        <v>23</v>
      </c>
      <c r="AH97" t="s">
        <v>23</v>
      </c>
      <c r="AI97" t="s">
        <v>23</v>
      </c>
      <c r="AJ97" t="s">
        <v>23</v>
      </c>
    </row>
    <row r="98" spans="1:36" x14ac:dyDescent="0.35">
      <c r="A98" s="2">
        <v>1096</v>
      </c>
      <c r="B98" s="4">
        <v>45013</v>
      </c>
      <c r="C98" s="1" t="s">
        <v>41</v>
      </c>
      <c r="D98" s="1" t="s">
        <v>42</v>
      </c>
      <c r="E98">
        <v>833000</v>
      </c>
      <c r="F98">
        <v>29</v>
      </c>
      <c r="G98" s="1" t="s">
        <v>26</v>
      </c>
      <c r="H98">
        <v>10892</v>
      </c>
      <c r="I98">
        <v>19663</v>
      </c>
      <c r="J98" s="1" t="s">
        <v>27</v>
      </c>
      <c r="K98" s="3">
        <v>27</v>
      </c>
      <c r="L98" s="1" t="s">
        <v>36</v>
      </c>
      <c r="M98" s="1" t="s">
        <v>37</v>
      </c>
      <c r="N98" s="3">
        <v>2024010123</v>
      </c>
      <c r="O98" s="3">
        <f t="shared" si="9"/>
        <v>1.23</v>
      </c>
      <c r="P98" s="6">
        <f t="shared" si="10"/>
        <v>1024590</v>
      </c>
      <c r="Q98" s="3" t="str">
        <f t="shared" si="11"/>
        <v>Excellent</v>
      </c>
      <c r="R98" s="3">
        <f t="shared" si="12"/>
        <v>8771</v>
      </c>
      <c r="S98" s="7">
        <f t="shared" si="13"/>
        <v>254359</v>
      </c>
      <c r="T98" s="3" t="str">
        <f t="shared" si="14"/>
        <v>High Profit</v>
      </c>
      <c r="U98" s="3" t="str">
        <f t="shared" si="15"/>
        <v>High Discount</v>
      </c>
      <c r="V98" s="3" t="str">
        <f t="shared" si="16"/>
        <v>Priority C</v>
      </c>
      <c r="W98">
        <f t="shared" si="17"/>
        <v>124950</v>
      </c>
      <c r="X98" t="s">
        <v>23</v>
      </c>
      <c r="Y98" t="s">
        <v>23</v>
      </c>
      <c r="Z98" t="s">
        <v>23</v>
      </c>
      <c r="AA98" t="s">
        <v>23</v>
      </c>
      <c r="AB98" t="s">
        <v>23</v>
      </c>
      <c r="AC98" t="s">
        <v>23</v>
      </c>
      <c r="AD98" t="s">
        <v>23</v>
      </c>
      <c r="AE98" t="s">
        <v>23</v>
      </c>
      <c r="AF98" t="s">
        <v>23</v>
      </c>
      <c r="AG98" t="s">
        <v>23</v>
      </c>
      <c r="AH98" t="s">
        <v>23</v>
      </c>
      <c r="AI98" t="s">
        <v>23</v>
      </c>
      <c r="AJ98" t="s">
        <v>23</v>
      </c>
    </row>
    <row r="99" spans="1:36" x14ac:dyDescent="0.35">
      <c r="A99" s="2">
        <v>1097</v>
      </c>
      <c r="B99" s="4">
        <v>45262</v>
      </c>
      <c r="C99" s="1" t="s">
        <v>34</v>
      </c>
      <c r="D99" s="1" t="s">
        <v>42</v>
      </c>
      <c r="E99">
        <v>216394</v>
      </c>
      <c r="F99">
        <v>33</v>
      </c>
      <c r="G99" s="1" t="s">
        <v>35</v>
      </c>
      <c r="H99">
        <v>25592</v>
      </c>
      <c r="I99">
        <v>32507</v>
      </c>
      <c r="J99" s="1" t="s">
        <v>33</v>
      </c>
      <c r="K99" s="3">
        <v>25</v>
      </c>
      <c r="L99" s="1" t="s">
        <v>40</v>
      </c>
      <c r="M99" s="1" t="s">
        <v>29</v>
      </c>
      <c r="N99" s="3">
        <v>2024010123</v>
      </c>
      <c r="O99" s="3">
        <f t="shared" si="9"/>
        <v>1.23</v>
      </c>
      <c r="P99" s="6">
        <f t="shared" si="10"/>
        <v>266164.62</v>
      </c>
      <c r="Q99" s="3" t="str">
        <f t="shared" si="11"/>
        <v>Excellent</v>
      </c>
      <c r="R99" s="3">
        <f t="shared" si="12"/>
        <v>6915</v>
      </c>
      <c r="S99" s="7">
        <f t="shared" si="13"/>
        <v>228195</v>
      </c>
      <c r="T99" s="3" t="str">
        <f t="shared" si="14"/>
        <v>High Profit</v>
      </c>
      <c r="U99" s="3" t="str">
        <f t="shared" si="15"/>
        <v>High Discount</v>
      </c>
      <c r="V99" s="3" t="str">
        <f t="shared" si="16"/>
        <v>Priority C</v>
      </c>
      <c r="W99">
        <f t="shared" si="17"/>
        <v>21639.4</v>
      </c>
      <c r="X99" t="s">
        <v>23</v>
      </c>
      <c r="Y99" t="s">
        <v>23</v>
      </c>
      <c r="Z99" t="s">
        <v>23</v>
      </c>
      <c r="AA99" t="s">
        <v>23</v>
      </c>
      <c r="AB99" t="s">
        <v>23</v>
      </c>
      <c r="AC99" t="s">
        <v>23</v>
      </c>
      <c r="AD99" t="s">
        <v>23</v>
      </c>
      <c r="AE99" t="s">
        <v>23</v>
      </c>
      <c r="AF99" t="s">
        <v>23</v>
      </c>
      <c r="AG99" t="s">
        <v>23</v>
      </c>
      <c r="AH99" t="s">
        <v>23</v>
      </c>
      <c r="AI99" t="s">
        <v>23</v>
      </c>
      <c r="AJ99" t="s">
        <v>23</v>
      </c>
    </row>
    <row r="100" spans="1:36" x14ac:dyDescent="0.35">
      <c r="A100" s="2">
        <v>1098</v>
      </c>
      <c r="B100" s="4">
        <v>45055</v>
      </c>
      <c r="C100" s="1" t="s">
        <v>24</v>
      </c>
      <c r="D100" s="1" t="s">
        <v>42</v>
      </c>
      <c r="E100">
        <v>769731</v>
      </c>
      <c r="F100">
        <v>18</v>
      </c>
      <c r="G100" s="1" t="s">
        <v>35</v>
      </c>
      <c r="H100">
        <v>26044</v>
      </c>
      <c r="I100">
        <v>36964</v>
      </c>
      <c r="J100" s="1" t="s">
        <v>33</v>
      </c>
      <c r="K100" s="3">
        <v>28</v>
      </c>
      <c r="L100" s="1" t="s">
        <v>36</v>
      </c>
      <c r="M100" s="1" t="s">
        <v>37</v>
      </c>
      <c r="N100" s="3">
        <v>2024010123</v>
      </c>
      <c r="O100" s="3">
        <f t="shared" si="9"/>
        <v>1.23</v>
      </c>
      <c r="P100" s="6">
        <f t="shared" si="10"/>
        <v>946769.13</v>
      </c>
      <c r="Q100" s="3" t="str">
        <f t="shared" si="11"/>
        <v>Excellent</v>
      </c>
      <c r="R100" s="3">
        <f t="shared" si="12"/>
        <v>10920</v>
      </c>
      <c r="S100" s="7">
        <f t="shared" si="13"/>
        <v>196560</v>
      </c>
      <c r="T100" s="3" t="str">
        <f t="shared" si="14"/>
        <v>High Profit</v>
      </c>
      <c r="U100" s="3" t="str">
        <f t="shared" si="15"/>
        <v>High Discount</v>
      </c>
      <c r="V100" s="3" t="str">
        <f t="shared" si="16"/>
        <v>Priority C</v>
      </c>
      <c r="W100">
        <f t="shared" si="17"/>
        <v>76973.100000000006</v>
      </c>
      <c r="X100" t="s">
        <v>23</v>
      </c>
      <c r="Y100" t="s">
        <v>23</v>
      </c>
      <c r="Z100" t="s">
        <v>23</v>
      </c>
      <c r="AA100" t="s">
        <v>23</v>
      </c>
      <c r="AB100" t="s">
        <v>23</v>
      </c>
      <c r="AC100" t="s">
        <v>23</v>
      </c>
      <c r="AD100" t="s">
        <v>23</v>
      </c>
      <c r="AE100" t="s">
        <v>23</v>
      </c>
      <c r="AF100" t="s">
        <v>23</v>
      </c>
      <c r="AG100" t="s">
        <v>23</v>
      </c>
      <c r="AH100" t="s">
        <v>23</v>
      </c>
      <c r="AI100" t="s">
        <v>23</v>
      </c>
      <c r="AJ100" t="s">
        <v>23</v>
      </c>
    </row>
    <row r="101" spans="1:36" x14ac:dyDescent="0.35">
      <c r="A101" s="2">
        <v>1099</v>
      </c>
      <c r="B101" s="4">
        <v>45142</v>
      </c>
      <c r="C101" s="1" t="s">
        <v>24</v>
      </c>
      <c r="D101" s="1" t="s">
        <v>43</v>
      </c>
      <c r="E101">
        <v>165539</v>
      </c>
      <c r="F101">
        <v>40</v>
      </c>
      <c r="G101" s="1" t="s">
        <v>39</v>
      </c>
      <c r="H101">
        <v>19659</v>
      </c>
      <c r="I101">
        <v>32429</v>
      </c>
      <c r="J101" s="1" t="s">
        <v>27</v>
      </c>
      <c r="K101" s="3">
        <v>21</v>
      </c>
      <c r="L101" s="1" t="s">
        <v>36</v>
      </c>
      <c r="M101" s="1" t="s">
        <v>29</v>
      </c>
      <c r="N101" s="3">
        <v>2024010123</v>
      </c>
      <c r="O101" s="3">
        <f t="shared" si="9"/>
        <v>1.23</v>
      </c>
      <c r="P101" s="6">
        <f t="shared" si="10"/>
        <v>203612.97</v>
      </c>
      <c r="Q101" s="3" t="str">
        <f t="shared" si="11"/>
        <v>Excellent</v>
      </c>
      <c r="R101" s="3">
        <f t="shared" si="12"/>
        <v>12770</v>
      </c>
      <c r="S101" s="7">
        <f t="shared" si="13"/>
        <v>510800</v>
      </c>
      <c r="T101" s="3" t="str">
        <f t="shared" si="14"/>
        <v>High Profit</v>
      </c>
      <c r="U101" s="3" t="str">
        <f t="shared" si="15"/>
        <v>High Discount</v>
      </c>
      <c r="V101" s="3" t="str">
        <f t="shared" si="16"/>
        <v>Priority B</v>
      </c>
      <c r="W101">
        <f t="shared" si="17"/>
        <v>24830.85</v>
      </c>
      <c r="X101" t="s">
        <v>23</v>
      </c>
      <c r="Y101" t="s">
        <v>23</v>
      </c>
      <c r="Z101" t="s">
        <v>23</v>
      </c>
      <c r="AA101" t="s">
        <v>23</v>
      </c>
      <c r="AB101" t="s">
        <v>23</v>
      </c>
      <c r="AC101" t="s">
        <v>23</v>
      </c>
      <c r="AD101" t="s">
        <v>23</v>
      </c>
      <c r="AE101" t="s">
        <v>23</v>
      </c>
      <c r="AF101" t="s">
        <v>23</v>
      </c>
      <c r="AG101" t="s">
        <v>23</v>
      </c>
      <c r="AH101" t="s">
        <v>23</v>
      </c>
      <c r="AI101" t="s">
        <v>23</v>
      </c>
      <c r="AJ101" t="s">
        <v>23</v>
      </c>
    </row>
    <row r="102" spans="1:36" x14ac:dyDescent="0.35">
      <c r="A102" s="2">
        <v>1100</v>
      </c>
      <c r="B102" s="4">
        <v>44994</v>
      </c>
      <c r="C102" s="1" t="s">
        <v>34</v>
      </c>
      <c r="D102" s="1" t="s">
        <v>42</v>
      </c>
      <c r="E102">
        <v>835799</v>
      </c>
      <c r="F102">
        <v>12</v>
      </c>
      <c r="G102" s="1" t="s">
        <v>39</v>
      </c>
      <c r="H102">
        <v>12000</v>
      </c>
      <c r="I102">
        <v>23000</v>
      </c>
      <c r="J102" s="1" t="s">
        <v>27</v>
      </c>
      <c r="K102" s="3">
        <v>0</v>
      </c>
      <c r="L102" s="1" t="s">
        <v>40</v>
      </c>
      <c r="M102" s="1" t="s">
        <v>37</v>
      </c>
      <c r="N102" s="3">
        <v>2024010123</v>
      </c>
      <c r="O102" s="3">
        <f t="shared" si="9"/>
        <v>1.23</v>
      </c>
      <c r="P102" s="6">
        <f t="shared" si="10"/>
        <v>1028032.77</v>
      </c>
      <c r="Q102" s="3" t="str">
        <f t="shared" si="11"/>
        <v>Excellent</v>
      </c>
      <c r="R102" s="3">
        <f t="shared" si="12"/>
        <v>11000</v>
      </c>
      <c r="S102" s="7">
        <f t="shared" si="13"/>
        <v>132000</v>
      </c>
      <c r="T102" s="3" t="str">
        <f t="shared" si="14"/>
        <v>High Profit</v>
      </c>
      <c r="U102" s="3" t="str">
        <f t="shared" si="15"/>
        <v>No Discount</v>
      </c>
      <c r="V102" s="3" t="str">
        <f t="shared" si="16"/>
        <v>Priority C</v>
      </c>
      <c r="W102">
        <f t="shared" si="17"/>
        <v>125369.84999999999</v>
      </c>
      <c r="X102" t="s">
        <v>23</v>
      </c>
      <c r="Y102" t="s">
        <v>23</v>
      </c>
      <c r="Z102" t="s">
        <v>23</v>
      </c>
      <c r="AA102" t="s">
        <v>23</v>
      </c>
      <c r="AB102" t="s">
        <v>23</v>
      </c>
      <c r="AC102" t="s">
        <v>23</v>
      </c>
      <c r="AD102" t="s">
        <v>23</v>
      </c>
      <c r="AE102" t="s">
        <v>23</v>
      </c>
      <c r="AF102" t="s">
        <v>23</v>
      </c>
      <c r="AG102" t="s">
        <v>23</v>
      </c>
      <c r="AH102" t="s">
        <v>23</v>
      </c>
      <c r="AI102" t="s">
        <v>23</v>
      </c>
      <c r="AJ102" t="s">
        <v>23</v>
      </c>
    </row>
    <row r="103" spans="1:36" x14ac:dyDescent="0.35">
      <c r="A103" s="2">
        <v>1101</v>
      </c>
      <c r="B103" s="4">
        <v>44936</v>
      </c>
      <c r="C103" s="1" t="s">
        <v>24</v>
      </c>
      <c r="D103" s="1" t="s">
        <v>31</v>
      </c>
      <c r="E103">
        <v>991224</v>
      </c>
      <c r="F103">
        <v>18</v>
      </c>
      <c r="G103" s="1" t="s">
        <v>39</v>
      </c>
      <c r="H103">
        <v>28005</v>
      </c>
      <c r="I103">
        <v>31949</v>
      </c>
      <c r="J103" s="1" t="s">
        <v>33</v>
      </c>
      <c r="K103" s="3">
        <v>2</v>
      </c>
      <c r="L103" s="1" t="s">
        <v>40</v>
      </c>
      <c r="M103" s="1" t="s">
        <v>29</v>
      </c>
      <c r="N103" s="3">
        <v>2024010123</v>
      </c>
      <c r="O103" s="3">
        <f t="shared" si="9"/>
        <v>1.23</v>
      </c>
      <c r="P103" s="6">
        <f t="shared" si="10"/>
        <v>1219205.52</v>
      </c>
      <c r="Q103" s="3" t="str">
        <f t="shared" si="11"/>
        <v>Excellent</v>
      </c>
      <c r="R103" s="3">
        <f t="shared" si="12"/>
        <v>3944</v>
      </c>
      <c r="S103" s="7">
        <f t="shared" si="13"/>
        <v>70992</v>
      </c>
      <c r="T103" s="3" t="str">
        <f t="shared" si="14"/>
        <v>High Profit</v>
      </c>
      <c r="U103" s="3" t="str">
        <f t="shared" si="15"/>
        <v>Low Discount</v>
      </c>
      <c r="V103" s="3" t="str">
        <f t="shared" si="16"/>
        <v>Priority C</v>
      </c>
      <c r="W103">
        <f t="shared" si="17"/>
        <v>99122.400000000009</v>
      </c>
      <c r="X103" t="s">
        <v>23</v>
      </c>
      <c r="Y103" t="s">
        <v>23</v>
      </c>
      <c r="Z103" t="s">
        <v>23</v>
      </c>
      <c r="AA103" t="s">
        <v>23</v>
      </c>
      <c r="AB103" t="s">
        <v>23</v>
      </c>
      <c r="AC103" t="s">
        <v>23</v>
      </c>
      <c r="AD103" t="s">
        <v>23</v>
      </c>
      <c r="AE103" t="s">
        <v>23</v>
      </c>
      <c r="AF103" t="s">
        <v>23</v>
      </c>
      <c r="AG103" t="s">
        <v>23</v>
      </c>
      <c r="AH103" t="s">
        <v>23</v>
      </c>
      <c r="AI103" t="s">
        <v>23</v>
      </c>
      <c r="AJ103" t="s">
        <v>23</v>
      </c>
    </row>
    <row r="104" spans="1:36" x14ac:dyDescent="0.35">
      <c r="A104" s="2">
        <v>1102</v>
      </c>
      <c r="B104" s="4">
        <v>44962</v>
      </c>
      <c r="C104" s="1" t="s">
        <v>38</v>
      </c>
      <c r="D104" s="1" t="s">
        <v>42</v>
      </c>
      <c r="E104">
        <v>642721</v>
      </c>
      <c r="F104">
        <v>18</v>
      </c>
      <c r="G104" s="1" t="s">
        <v>39</v>
      </c>
      <c r="H104">
        <v>32378</v>
      </c>
      <c r="I104">
        <v>39653</v>
      </c>
      <c r="J104" s="1" t="s">
        <v>33</v>
      </c>
      <c r="K104" s="3">
        <v>2</v>
      </c>
      <c r="L104" s="1" t="s">
        <v>36</v>
      </c>
      <c r="M104" s="1" t="s">
        <v>37</v>
      </c>
      <c r="N104" s="3">
        <v>2024010123</v>
      </c>
      <c r="O104" s="3">
        <f t="shared" si="9"/>
        <v>1.23</v>
      </c>
      <c r="P104" s="6">
        <f t="shared" si="10"/>
        <v>790546.83</v>
      </c>
      <c r="Q104" s="3" t="str">
        <f t="shared" si="11"/>
        <v>Excellent</v>
      </c>
      <c r="R104" s="3">
        <f t="shared" si="12"/>
        <v>7275</v>
      </c>
      <c r="S104" s="7">
        <f t="shared" si="13"/>
        <v>130950</v>
      </c>
      <c r="T104" s="3" t="str">
        <f t="shared" si="14"/>
        <v>High Profit</v>
      </c>
      <c r="U104" s="3" t="str">
        <f t="shared" si="15"/>
        <v>Low Discount</v>
      </c>
      <c r="V104" s="3" t="str">
        <f t="shared" si="16"/>
        <v>Priority C</v>
      </c>
      <c r="W104">
        <f t="shared" si="17"/>
        <v>64272.100000000006</v>
      </c>
      <c r="X104" t="s">
        <v>23</v>
      </c>
      <c r="Y104" t="s">
        <v>23</v>
      </c>
      <c r="Z104" t="s">
        <v>23</v>
      </c>
      <c r="AA104" t="s">
        <v>23</v>
      </c>
      <c r="AB104" t="s">
        <v>23</v>
      </c>
      <c r="AC104" t="s">
        <v>23</v>
      </c>
      <c r="AD104" t="s">
        <v>23</v>
      </c>
      <c r="AE104" t="s">
        <v>23</v>
      </c>
      <c r="AF104" t="s">
        <v>23</v>
      </c>
      <c r="AG104" t="s">
        <v>23</v>
      </c>
      <c r="AH104" t="s">
        <v>23</v>
      </c>
      <c r="AI104" t="s">
        <v>23</v>
      </c>
      <c r="AJ104" t="s">
        <v>23</v>
      </c>
    </row>
    <row r="105" spans="1:36" x14ac:dyDescent="0.35">
      <c r="A105" s="2">
        <v>1103</v>
      </c>
      <c r="B105" s="4">
        <v>45034</v>
      </c>
      <c r="C105" s="1" t="s">
        <v>41</v>
      </c>
      <c r="D105" s="1" t="s">
        <v>25</v>
      </c>
      <c r="E105">
        <v>667780</v>
      </c>
      <c r="F105">
        <v>11</v>
      </c>
      <c r="G105" s="1" t="s">
        <v>35</v>
      </c>
      <c r="H105">
        <v>29970</v>
      </c>
      <c r="I105">
        <v>37253</v>
      </c>
      <c r="J105" s="1" t="s">
        <v>27</v>
      </c>
      <c r="K105" s="3">
        <v>7</v>
      </c>
      <c r="L105" s="1" t="s">
        <v>28</v>
      </c>
      <c r="M105" s="1" t="s">
        <v>37</v>
      </c>
      <c r="N105" s="3">
        <v>2024010123</v>
      </c>
      <c r="O105" s="3">
        <f t="shared" si="9"/>
        <v>1.23</v>
      </c>
      <c r="P105" s="6">
        <f t="shared" si="10"/>
        <v>821369.4</v>
      </c>
      <c r="Q105" s="3" t="str">
        <f t="shared" si="11"/>
        <v>Excellent</v>
      </c>
      <c r="R105" s="3">
        <f t="shared" si="12"/>
        <v>7283</v>
      </c>
      <c r="S105" s="7">
        <f t="shared" si="13"/>
        <v>80113</v>
      </c>
      <c r="T105" s="3" t="str">
        <f t="shared" si="14"/>
        <v>High Profit</v>
      </c>
      <c r="U105" s="3" t="str">
        <f t="shared" si="15"/>
        <v>Medium Discount</v>
      </c>
      <c r="V105" s="3" t="str">
        <f t="shared" si="16"/>
        <v>Priority C</v>
      </c>
      <c r="W105">
        <f t="shared" si="17"/>
        <v>100167</v>
      </c>
      <c r="X105" t="s">
        <v>23</v>
      </c>
      <c r="Y105" t="s">
        <v>23</v>
      </c>
      <c r="Z105" t="s">
        <v>23</v>
      </c>
      <c r="AA105" t="s">
        <v>23</v>
      </c>
      <c r="AB105" t="s">
        <v>23</v>
      </c>
      <c r="AC105" t="s">
        <v>23</v>
      </c>
      <c r="AD105" t="s">
        <v>23</v>
      </c>
      <c r="AE105" t="s">
        <v>23</v>
      </c>
      <c r="AF105" t="s">
        <v>23</v>
      </c>
      <c r="AG105" t="s">
        <v>23</v>
      </c>
      <c r="AH105" t="s">
        <v>23</v>
      </c>
      <c r="AI105" t="s">
        <v>23</v>
      </c>
      <c r="AJ105" t="s">
        <v>23</v>
      </c>
    </row>
    <row r="106" spans="1:36" x14ac:dyDescent="0.35">
      <c r="A106" s="2">
        <v>1104</v>
      </c>
      <c r="B106" s="4">
        <v>44988</v>
      </c>
      <c r="C106" s="1" t="s">
        <v>34</v>
      </c>
      <c r="D106" s="1" t="s">
        <v>43</v>
      </c>
      <c r="E106">
        <v>75923</v>
      </c>
      <c r="F106">
        <v>8</v>
      </c>
      <c r="G106" s="1" t="s">
        <v>35</v>
      </c>
      <c r="H106">
        <v>39714</v>
      </c>
      <c r="I106">
        <v>44093</v>
      </c>
      <c r="J106" s="1" t="s">
        <v>33</v>
      </c>
      <c r="K106" s="3">
        <v>10</v>
      </c>
      <c r="L106" s="1" t="s">
        <v>40</v>
      </c>
      <c r="M106" s="1" t="s">
        <v>37</v>
      </c>
      <c r="N106" s="3">
        <v>2024010123</v>
      </c>
      <c r="O106" s="3">
        <f t="shared" si="9"/>
        <v>1.23</v>
      </c>
      <c r="P106" s="6">
        <f t="shared" si="10"/>
        <v>93385.29</v>
      </c>
      <c r="Q106" s="3" t="str">
        <f t="shared" si="11"/>
        <v>Excellent</v>
      </c>
      <c r="R106" s="3">
        <f t="shared" si="12"/>
        <v>4379</v>
      </c>
      <c r="S106" s="7">
        <f t="shared" si="13"/>
        <v>35032</v>
      </c>
      <c r="T106" s="3" t="str">
        <f t="shared" si="14"/>
        <v>High Profit</v>
      </c>
      <c r="U106" s="3" t="str">
        <f t="shared" si="15"/>
        <v>Medium Discount</v>
      </c>
      <c r="V106" s="3" t="str">
        <f t="shared" si="16"/>
        <v>Priority C</v>
      </c>
      <c r="W106">
        <f t="shared" si="17"/>
        <v>7592.3</v>
      </c>
      <c r="X106" t="s">
        <v>23</v>
      </c>
      <c r="Y106" t="s">
        <v>23</v>
      </c>
      <c r="Z106" t="s">
        <v>23</v>
      </c>
      <c r="AA106" t="s">
        <v>23</v>
      </c>
      <c r="AB106" t="s">
        <v>23</v>
      </c>
      <c r="AC106" t="s">
        <v>23</v>
      </c>
      <c r="AD106" t="s">
        <v>23</v>
      </c>
      <c r="AE106" t="s">
        <v>23</v>
      </c>
      <c r="AF106" t="s">
        <v>23</v>
      </c>
      <c r="AG106" t="s">
        <v>23</v>
      </c>
      <c r="AH106" t="s">
        <v>23</v>
      </c>
      <c r="AI106" t="s">
        <v>23</v>
      </c>
      <c r="AJ106" t="s">
        <v>23</v>
      </c>
    </row>
    <row r="107" spans="1:36" x14ac:dyDescent="0.35">
      <c r="A107" s="2">
        <v>1105</v>
      </c>
      <c r="B107" s="4">
        <v>45087</v>
      </c>
      <c r="C107" s="1" t="s">
        <v>38</v>
      </c>
      <c r="D107" s="1" t="s">
        <v>43</v>
      </c>
      <c r="E107">
        <v>32020</v>
      </c>
      <c r="F107">
        <v>18</v>
      </c>
      <c r="G107" s="1" t="s">
        <v>32</v>
      </c>
      <c r="H107">
        <v>15226</v>
      </c>
      <c r="I107">
        <v>19657</v>
      </c>
      <c r="J107" s="1" t="s">
        <v>33</v>
      </c>
      <c r="K107" s="3">
        <v>12</v>
      </c>
      <c r="L107" s="1" t="s">
        <v>28</v>
      </c>
      <c r="M107" s="1" t="s">
        <v>29</v>
      </c>
      <c r="N107" s="3">
        <v>2024010123</v>
      </c>
      <c r="O107" s="3">
        <f t="shared" si="9"/>
        <v>1.23</v>
      </c>
      <c r="P107" s="6">
        <f t="shared" si="10"/>
        <v>39384.6</v>
      </c>
      <c r="Q107" s="3" t="str">
        <f t="shared" si="11"/>
        <v>Excellent</v>
      </c>
      <c r="R107" s="3">
        <f t="shared" si="12"/>
        <v>4431</v>
      </c>
      <c r="S107" s="7">
        <f t="shared" si="13"/>
        <v>79758</v>
      </c>
      <c r="T107" s="3" t="str">
        <f t="shared" si="14"/>
        <v>High Profit</v>
      </c>
      <c r="U107" s="3" t="str">
        <f t="shared" si="15"/>
        <v>Medium Discount</v>
      </c>
      <c r="V107" s="3" t="str">
        <f t="shared" si="16"/>
        <v>Priority C</v>
      </c>
      <c r="W107">
        <f t="shared" si="17"/>
        <v>3202</v>
      </c>
      <c r="X107" t="s">
        <v>23</v>
      </c>
      <c r="Y107" t="s">
        <v>23</v>
      </c>
      <c r="Z107" t="s">
        <v>23</v>
      </c>
      <c r="AA107" t="s">
        <v>23</v>
      </c>
      <c r="AB107" t="s">
        <v>23</v>
      </c>
      <c r="AC107" t="s">
        <v>23</v>
      </c>
      <c r="AD107" t="s">
        <v>23</v>
      </c>
      <c r="AE107" t="s">
        <v>23</v>
      </c>
      <c r="AF107" t="s">
        <v>23</v>
      </c>
      <c r="AG107" t="s">
        <v>23</v>
      </c>
      <c r="AH107" t="s">
        <v>23</v>
      </c>
      <c r="AI107" t="s">
        <v>23</v>
      </c>
      <c r="AJ107" t="s">
        <v>23</v>
      </c>
    </row>
    <row r="108" spans="1:36" x14ac:dyDescent="0.35">
      <c r="A108" s="2">
        <v>1106</v>
      </c>
      <c r="B108" s="4">
        <v>44960</v>
      </c>
      <c r="C108" s="1" t="s">
        <v>24</v>
      </c>
      <c r="D108" s="1" t="s">
        <v>42</v>
      </c>
      <c r="E108">
        <v>83345</v>
      </c>
      <c r="F108">
        <v>18</v>
      </c>
      <c r="G108" s="1" t="s">
        <v>35</v>
      </c>
      <c r="H108">
        <v>23112</v>
      </c>
      <c r="I108">
        <v>28865</v>
      </c>
      <c r="J108" s="1" t="s">
        <v>27</v>
      </c>
      <c r="K108" s="3">
        <v>28</v>
      </c>
      <c r="L108" s="1" t="s">
        <v>36</v>
      </c>
      <c r="M108" s="1" t="s">
        <v>29</v>
      </c>
      <c r="N108" s="3">
        <v>2024010123</v>
      </c>
      <c r="O108" s="3">
        <f t="shared" si="9"/>
        <v>1.23</v>
      </c>
      <c r="P108" s="6">
        <f t="shared" si="10"/>
        <v>102514.34999999999</v>
      </c>
      <c r="Q108" s="3" t="str">
        <f t="shared" si="11"/>
        <v>Excellent</v>
      </c>
      <c r="R108" s="3">
        <f t="shared" si="12"/>
        <v>5753</v>
      </c>
      <c r="S108" s="7">
        <f t="shared" si="13"/>
        <v>103554</v>
      </c>
      <c r="T108" s="3" t="str">
        <f t="shared" si="14"/>
        <v>High Profit</v>
      </c>
      <c r="U108" s="3" t="str">
        <f t="shared" si="15"/>
        <v>High Discount</v>
      </c>
      <c r="V108" s="3" t="str">
        <f t="shared" si="16"/>
        <v>Priority C</v>
      </c>
      <c r="W108">
        <f t="shared" si="17"/>
        <v>12501.75</v>
      </c>
      <c r="X108" t="s">
        <v>23</v>
      </c>
      <c r="Y108" t="s">
        <v>23</v>
      </c>
      <c r="Z108" t="s">
        <v>23</v>
      </c>
      <c r="AA108" t="s">
        <v>23</v>
      </c>
      <c r="AB108" t="s">
        <v>23</v>
      </c>
      <c r="AC108" t="s">
        <v>23</v>
      </c>
      <c r="AD108" t="s">
        <v>23</v>
      </c>
      <c r="AE108" t="s">
        <v>23</v>
      </c>
      <c r="AF108" t="s">
        <v>23</v>
      </c>
      <c r="AG108" t="s">
        <v>23</v>
      </c>
      <c r="AH108" t="s">
        <v>23</v>
      </c>
      <c r="AI108" t="s">
        <v>23</v>
      </c>
      <c r="AJ108" t="s">
        <v>23</v>
      </c>
    </row>
    <row r="109" spans="1:36" x14ac:dyDescent="0.35">
      <c r="A109" s="2">
        <v>1107</v>
      </c>
      <c r="B109" s="4">
        <v>45136</v>
      </c>
      <c r="C109" s="1" t="s">
        <v>34</v>
      </c>
      <c r="D109" s="1" t="s">
        <v>31</v>
      </c>
      <c r="E109">
        <v>882756</v>
      </c>
      <c r="F109">
        <v>8</v>
      </c>
      <c r="G109" s="1" t="s">
        <v>26</v>
      </c>
      <c r="H109">
        <v>16884</v>
      </c>
      <c r="I109">
        <v>22357</v>
      </c>
      <c r="J109" s="1" t="s">
        <v>27</v>
      </c>
      <c r="K109" s="3">
        <v>16</v>
      </c>
      <c r="L109" s="1" t="s">
        <v>28</v>
      </c>
      <c r="M109" s="1" t="s">
        <v>29</v>
      </c>
      <c r="N109" s="3">
        <v>2024010123</v>
      </c>
      <c r="O109" s="3">
        <f t="shared" si="9"/>
        <v>1.23</v>
      </c>
      <c r="P109" s="6">
        <f t="shared" si="10"/>
        <v>1085789.8799999999</v>
      </c>
      <c r="Q109" s="3" t="str">
        <f t="shared" si="11"/>
        <v>Excellent</v>
      </c>
      <c r="R109" s="3">
        <f t="shared" si="12"/>
        <v>5473</v>
      </c>
      <c r="S109" s="7">
        <f t="shared" si="13"/>
        <v>43784</v>
      </c>
      <c r="T109" s="3" t="str">
        <f t="shared" si="14"/>
        <v>High Profit</v>
      </c>
      <c r="U109" s="3" t="str">
        <f t="shared" si="15"/>
        <v>High Discount</v>
      </c>
      <c r="V109" s="3" t="str">
        <f t="shared" si="16"/>
        <v>Priority D</v>
      </c>
      <c r="W109">
        <f t="shared" si="17"/>
        <v>132413.4</v>
      </c>
      <c r="X109" t="s">
        <v>23</v>
      </c>
      <c r="Y109" t="s">
        <v>23</v>
      </c>
      <c r="Z109" t="s">
        <v>23</v>
      </c>
      <c r="AA109" t="s">
        <v>23</v>
      </c>
      <c r="AB109" t="s">
        <v>23</v>
      </c>
      <c r="AC109" t="s">
        <v>23</v>
      </c>
      <c r="AD109" t="s">
        <v>23</v>
      </c>
      <c r="AE109" t="s">
        <v>23</v>
      </c>
      <c r="AF109" t="s">
        <v>23</v>
      </c>
      <c r="AG109" t="s">
        <v>23</v>
      </c>
      <c r="AH109" t="s">
        <v>23</v>
      </c>
      <c r="AI109" t="s">
        <v>23</v>
      </c>
      <c r="AJ109" t="s">
        <v>23</v>
      </c>
    </row>
    <row r="110" spans="1:36" x14ac:dyDescent="0.35">
      <c r="A110" s="2">
        <v>1108</v>
      </c>
      <c r="B110" s="4">
        <v>45200</v>
      </c>
      <c r="C110" s="1" t="s">
        <v>30</v>
      </c>
      <c r="D110" s="1" t="s">
        <v>25</v>
      </c>
      <c r="E110">
        <v>690478</v>
      </c>
      <c r="F110">
        <v>18</v>
      </c>
      <c r="G110" s="1" t="s">
        <v>26</v>
      </c>
      <c r="H110">
        <v>23335</v>
      </c>
      <c r="I110">
        <v>31014</v>
      </c>
      <c r="J110" s="1" t="s">
        <v>33</v>
      </c>
      <c r="K110" s="3">
        <v>22</v>
      </c>
      <c r="L110" s="1" t="s">
        <v>28</v>
      </c>
      <c r="M110" s="1" t="s">
        <v>37</v>
      </c>
      <c r="N110" s="3">
        <v>2024010123</v>
      </c>
      <c r="O110" s="3">
        <f t="shared" si="9"/>
        <v>1.23</v>
      </c>
      <c r="P110" s="6">
        <f t="shared" si="10"/>
        <v>849287.94</v>
      </c>
      <c r="Q110" s="3" t="str">
        <f t="shared" si="11"/>
        <v>Excellent</v>
      </c>
      <c r="R110" s="3">
        <f t="shared" si="12"/>
        <v>7679</v>
      </c>
      <c r="S110" s="7">
        <f t="shared" si="13"/>
        <v>138222</v>
      </c>
      <c r="T110" s="3" t="str">
        <f t="shared" si="14"/>
        <v>High Profit</v>
      </c>
      <c r="U110" s="3" t="str">
        <f t="shared" si="15"/>
        <v>High Discount</v>
      </c>
      <c r="V110" s="3" t="str">
        <f t="shared" si="16"/>
        <v>Priority C</v>
      </c>
      <c r="W110">
        <f t="shared" si="17"/>
        <v>69047.8</v>
      </c>
      <c r="X110" t="s">
        <v>23</v>
      </c>
      <c r="Y110" t="s">
        <v>23</v>
      </c>
      <c r="Z110" t="s">
        <v>23</v>
      </c>
      <c r="AA110" t="s">
        <v>23</v>
      </c>
      <c r="AB110" t="s">
        <v>23</v>
      </c>
      <c r="AC110" t="s">
        <v>23</v>
      </c>
      <c r="AD110" t="s">
        <v>23</v>
      </c>
      <c r="AE110" t="s">
        <v>23</v>
      </c>
      <c r="AF110" t="s">
        <v>23</v>
      </c>
      <c r="AG110" t="s">
        <v>23</v>
      </c>
      <c r="AH110" t="s">
        <v>23</v>
      </c>
      <c r="AI110" t="s">
        <v>23</v>
      </c>
      <c r="AJ110" t="s">
        <v>23</v>
      </c>
    </row>
    <row r="111" spans="1:36" x14ac:dyDescent="0.35">
      <c r="A111" s="2">
        <v>1109</v>
      </c>
      <c r="B111" s="4">
        <v>45148</v>
      </c>
      <c r="C111" s="1" t="s">
        <v>34</v>
      </c>
      <c r="D111" s="1" t="s">
        <v>25</v>
      </c>
      <c r="E111">
        <v>607648</v>
      </c>
      <c r="F111">
        <v>18</v>
      </c>
      <c r="G111" s="1" t="s">
        <v>39</v>
      </c>
      <c r="H111">
        <v>35657</v>
      </c>
      <c r="I111">
        <v>40010</v>
      </c>
      <c r="J111" s="1" t="s">
        <v>33</v>
      </c>
      <c r="K111" s="3">
        <v>23</v>
      </c>
      <c r="L111" s="1" t="s">
        <v>36</v>
      </c>
      <c r="M111" s="1" t="s">
        <v>37</v>
      </c>
      <c r="N111" s="3">
        <v>2024010123</v>
      </c>
      <c r="O111" s="3">
        <f t="shared" si="9"/>
        <v>1.23</v>
      </c>
      <c r="P111" s="6">
        <f t="shared" si="10"/>
        <v>747407.04</v>
      </c>
      <c r="Q111" s="3" t="str">
        <f t="shared" si="11"/>
        <v>Excellent</v>
      </c>
      <c r="R111" s="3">
        <f t="shared" si="12"/>
        <v>4353</v>
      </c>
      <c r="S111" s="7">
        <f t="shared" si="13"/>
        <v>78354</v>
      </c>
      <c r="T111" s="3" t="str">
        <f t="shared" si="14"/>
        <v>High Profit</v>
      </c>
      <c r="U111" s="3" t="str">
        <f t="shared" si="15"/>
        <v>High Discount</v>
      </c>
      <c r="V111" s="3" t="str">
        <f t="shared" si="16"/>
        <v>Priority C</v>
      </c>
      <c r="W111">
        <f t="shared" si="17"/>
        <v>60764.800000000003</v>
      </c>
      <c r="X111" t="s">
        <v>23</v>
      </c>
      <c r="Y111" t="s">
        <v>23</v>
      </c>
      <c r="Z111" t="s">
        <v>23</v>
      </c>
      <c r="AA111" t="s">
        <v>23</v>
      </c>
      <c r="AB111" t="s">
        <v>23</v>
      </c>
      <c r="AC111" t="s">
        <v>23</v>
      </c>
      <c r="AD111" t="s">
        <v>23</v>
      </c>
      <c r="AE111" t="s">
        <v>23</v>
      </c>
      <c r="AF111" t="s">
        <v>23</v>
      </c>
      <c r="AG111" t="s">
        <v>23</v>
      </c>
      <c r="AH111" t="s">
        <v>23</v>
      </c>
      <c r="AI111" t="s">
        <v>23</v>
      </c>
      <c r="AJ111" t="s">
        <v>23</v>
      </c>
    </row>
    <row r="112" spans="1:36" x14ac:dyDescent="0.35">
      <c r="A112" s="2">
        <v>1110</v>
      </c>
      <c r="B112" s="4">
        <v>45122</v>
      </c>
      <c r="C112" s="1" t="s">
        <v>30</v>
      </c>
      <c r="D112" s="1" t="s">
        <v>42</v>
      </c>
      <c r="E112">
        <v>491032</v>
      </c>
      <c r="F112">
        <v>12</v>
      </c>
      <c r="G112" s="1" t="s">
        <v>39</v>
      </c>
      <c r="H112">
        <v>24550</v>
      </c>
      <c r="I112">
        <v>26952</v>
      </c>
      <c r="J112" s="1" t="s">
        <v>33</v>
      </c>
      <c r="K112" s="3">
        <v>0</v>
      </c>
      <c r="L112" s="1" t="s">
        <v>36</v>
      </c>
      <c r="M112" s="1" t="s">
        <v>29</v>
      </c>
      <c r="N112" s="3">
        <v>2024010123</v>
      </c>
      <c r="O112" s="3">
        <f t="shared" si="9"/>
        <v>1.23</v>
      </c>
      <c r="P112" s="6">
        <f t="shared" si="10"/>
        <v>603969.36</v>
      </c>
      <c r="Q112" s="3" t="str">
        <f t="shared" si="11"/>
        <v>Excellent</v>
      </c>
      <c r="R112" s="3">
        <f t="shared" si="12"/>
        <v>2402</v>
      </c>
      <c r="S112" s="7">
        <f t="shared" si="13"/>
        <v>28824</v>
      </c>
      <c r="T112" s="3" t="str">
        <f t="shared" si="14"/>
        <v>High Profit</v>
      </c>
      <c r="U112" s="3" t="str">
        <f t="shared" si="15"/>
        <v>No Discount</v>
      </c>
      <c r="V112" s="3" t="str">
        <f t="shared" si="16"/>
        <v>Priority D</v>
      </c>
      <c r="W112">
        <f t="shared" si="17"/>
        <v>49103.200000000004</v>
      </c>
      <c r="X112" t="s">
        <v>23</v>
      </c>
      <c r="Y112" t="s">
        <v>23</v>
      </c>
      <c r="Z112" t="s">
        <v>23</v>
      </c>
      <c r="AA112" t="s">
        <v>23</v>
      </c>
      <c r="AB112" t="s">
        <v>23</v>
      </c>
      <c r="AC112" t="s">
        <v>23</v>
      </c>
      <c r="AD112" t="s">
        <v>23</v>
      </c>
      <c r="AE112" t="s">
        <v>23</v>
      </c>
      <c r="AF112" t="s">
        <v>23</v>
      </c>
      <c r="AG112" t="s">
        <v>23</v>
      </c>
      <c r="AH112" t="s">
        <v>23</v>
      </c>
      <c r="AI112" t="s">
        <v>23</v>
      </c>
      <c r="AJ112" t="s">
        <v>23</v>
      </c>
    </row>
    <row r="113" spans="1:36" x14ac:dyDescent="0.35">
      <c r="A113" s="2">
        <v>1111</v>
      </c>
      <c r="B113" s="4">
        <v>44976</v>
      </c>
      <c r="C113" s="1" t="s">
        <v>38</v>
      </c>
      <c r="D113" s="1" t="s">
        <v>31</v>
      </c>
      <c r="E113">
        <v>401988</v>
      </c>
      <c r="F113">
        <v>12</v>
      </c>
      <c r="G113" s="1" t="s">
        <v>26</v>
      </c>
      <c r="H113">
        <v>52051</v>
      </c>
      <c r="I113">
        <v>54979</v>
      </c>
      <c r="J113" s="1" t="s">
        <v>27</v>
      </c>
      <c r="K113" s="3">
        <v>2</v>
      </c>
      <c r="L113" s="1" t="s">
        <v>36</v>
      </c>
      <c r="M113" s="1" t="s">
        <v>37</v>
      </c>
      <c r="N113" s="3">
        <v>2024010123</v>
      </c>
      <c r="O113" s="3">
        <f t="shared" si="9"/>
        <v>1.23</v>
      </c>
      <c r="P113" s="6">
        <f t="shared" si="10"/>
        <v>494445.24</v>
      </c>
      <c r="Q113" s="3" t="str">
        <f t="shared" si="11"/>
        <v>Excellent</v>
      </c>
      <c r="R113" s="3">
        <f t="shared" si="12"/>
        <v>2928</v>
      </c>
      <c r="S113" s="7">
        <f t="shared" si="13"/>
        <v>35136</v>
      </c>
      <c r="T113" s="3" t="str">
        <f t="shared" si="14"/>
        <v>High Profit</v>
      </c>
      <c r="U113" s="3" t="str">
        <f t="shared" si="15"/>
        <v>Low Discount</v>
      </c>
      <c r="V113" s="3" t="str">
        <f t="shared" si="16"/>
        <v>Priority C</v>
      </c>
      <c r="W113">
        <f t="shared" si="17"/>
        <v>60298.2</v>
      </c>
      <c r="X113" t="s">
        <v>23</v>
      </c>
      <c r="Y113" t="s">
        <v>23</v>
      </c>
      <c r="Z113" t="s">
        <v>23</v>
      </c>
      <c r="AA113" t="s">
        <v>23</v>
      </c>
      <c r="AB113" t="s">
        <v>23</v>
      </c>
      <c r="AC113" t="s">
        <v>23</v>
      </c>
      <c r="AD113" t="s">
        <v>23</v>
      </c>
      <c r="AE113" t="s">
        <v>23</v>
      </c>
      <c r="AF113" t="s">
        <v>23</v>
      </c>
      <c r="AG113" t="s">
        <v>23</v>
      </c>
      <c r="AH113" t="s">
        <v>23</v>
      </c>
      <c r="AI113" t="s">
        <v>23</v>
      </c>
      <c r="AJ113" t="s">
        <v>23</v>
      </c>
    </row>
    <row r="114" spans="1:36" x14ac:dyDescent="0.35">
      <c r="A114" s="2">
        <v>1112</v>
      </c>
      <c r="B114" s="4">
        <v>44974</v>
      </c>
      <c r="C114" s="1" t="s">
        <v>34</v>
      </c>
      <c r="D114" s="1" t="s">
        <v>25</v>
      </c>
      <c r="E114">
        <v>229263</v>
      </c>
      <c r="F114">
        <v>12</v>
      </c>
      <c r="G114" s="1" t="s">
        <v>26</v>
      </c>
      <c r="H114">
        <v>35191</v>
      </c>
      <c r="I114">
        <v>39715</v>
      </c>
      <c r="J114" s="1" t="s">
        <v>27</v>
      </c>
      <c r="K114" s="3">
        <v>4</v>
      </c>
      <c r="L114" s="1" t="s">
        <v>36</v>
      </c>
      <c r="M114" s="1" t="s">
        <v>37</v>
      </c>
      <c r="N114" s="3">
        <v>2024010123</v>
      </c>
      <c r="O114" s="3">
        <f t="shared" si="9"/>
        <v>1.23</v>
      </c>
      <c r="P114" s="6">
        <f t="shared" si="10"/>
        <v>281993.49</v>
      </c>
      <c r="Q114" s="3" t="str">
        <f t="shared" si="11"/>
        <v>Excellent</v>
      </c>
      <c r="R114" s="3">
        <f t="shared" si="12"/>
        <v>4524</v>
      </c>
      <c r="S114" s="7">
        <f t="shared" si="13"/>
        <v>54288</v>
      </c>
      <c r="T114" s="3" t="str">
        <f t="shared" si="14"/>
        <v>High Profit</v>
      </c>
      <c r="U114" s="3" t="str">
        <f t="shared" si="15"/>
        <v>Low Discount</v>
      </c>
      <c r="V114" s="3" t="str">
        <f t="shared" si="16"/>
        <v>Priority C</v>
      </c>
      <c r="W114">
        <f t="shared" si="17"/>
        <v>34389.449999999997</v>
      </c>
      <c r="X114" t="s">
        <v>23</v>
      </c>
      <c r="Y114" t="s">
        <v>23</v>
      </c>
      <c r="Z114" t="s">
        <v>23</v>
      </c>
      <c r="AA114" t="s">
        <v>23</v>
      </c>
      <c r="AB114" t="s">
        <v>23</v>
      </c>
      <c r="AC114" t="s">
        <v>23</v>
      </c>
      <c r="AD114" t="s">
        <v>23</v>
      </c>
      <c r="AE114" t="s">
        <v>23</v>
      </c>
      <c r="AF114" t="s">
        <v>23</v>
      </c>
      <c r="AG114" t="s">
        <v>23</v>
      </c>
      <c r="AH114" t="s">
        <v>23</v>
      </c>
      <c r="AI114" t="s">
        <v>23</v>
      </c>
      <c r="AJ114" t="s">
        <v>23</v>
      </c>
    </row>
    <row r="115" spans="1:36" x14ac:dyDescent="0.35">
      <c r="A115" s="2">
        <v>1113</v>
      </c>
      <c r="B115" s="4">
        <v>45210</v>
      </c>
      <c r="C115" s="1" t="s">
        <v>34</v>
      </c>
      <c r="D115" s="1" t="s">
        <v>42</v>
      </c>
      <c r="E115">
        <v>312440</v>
      </c>
      <c r="F115">
        <v>12</v>
      </c>
      <c r="G115" s="1" t="s">
        <v>39</v>
      </c>
      <c r="H115">
        <v>34287</v>
      </c>
      <c r="I115">
        <v>37282</v>
      </c>
      <c r="J115" s="1" t="s">
        <v>27</v>
      </c>
      <c r="K115" s="3">
        <v>10</v>
      </c>
      <c r="L115" s="1" t="s">
        <v>36</v>
      </c>
      <c r="M115" s="1" t="s">
        <v>29</v>
      </c>
      <c r="N115" s="3">
        <v>2024010123</v>
      </c>
      <c r="O115" s="3">
        <f t="shared" si="9"/>
        <v>1.23</v>
      </c>
      <c r="P115" s="6">
        <f t="shared" si="10"/>
        <v>384301.2</v>
      </c>
      <c r="Q115" s="3" t="str">
        <f t="shared" si="11"/>
        <v>Excellent</v>
      </c>
      <c r="R115" s="3">
        <f t="shared" si="12"/>
        <v>2995</v>
      </c>
      <c r="S115" s="7">
        <f t="shared" si="13"/>
        <v>35940</v>
      </c>
      <c r="T115" s="3" t="str">
        <f t="shared" si="14"/>
        <v>High Profit</v>
      </c>
      <c r="U115" s="3" t="str">
        <f t="shared" si="15"/>
        <v>Medium Discount</v>
      </c>
      <c r="V115" s="3" t="str">
        <f t="shared" si="16"/>
        <v>Priority D</v>
      </c>
      <c r="W115">
        <f t="shared" si="17"/>
        <v>46866</v>
      </c>
      <c r="X115" t="s">
        <v>23</v>
      </c>
      <c r="Y115" t="s">
        <v>23</v>
      </c>
      <c r="Z115" t="s">
        <v>23</v>
      </c>
      <c r="AA115" t="s">
        <v>23</v>
      </c>
      <c r="AB115" t="s">
        <v>23</v>
      </c>
      <c r="AC115" t="s">
        <v>23</v>
      </c>
      <c r="AD115" t="s">
        <v>23</v>
      </c>
      <c r="AE115" t="s">
        <v>23</v>
      </c>
      <c r="AF115" t="s">
        <v>23</v>
      </c>
      <c r="AG115" t="s">
        <v>23</v>
      </c>
      <c r="AH115" t="s">
        <v>23</v>
      </c>
      <c r="AI115" t="s">
        <v>23</v>
      </c>
      <c r="AJ115" t="s">
        <v>23</v>
      </c>
    </row>
    <row r="116" spans="1:36" x14ac:dyDescent="0.35">
      <c r="A116" s="2">
        <v>1114</v>
      </c>
      <c r="B116" s="4">
        <v>45039</v>
      </c>
      <c r="C116" s="1" t="s">
        <v>24</v>
      </c>
      <c r="D116" s="1" t="s">
        <v>31</v>
      </c>
      <c r="E116">
        <v>423302</v>
      </c>
      <c r="F116">
        <v>12</v>
      </c>
      <c r="G116" s="1" t="s">
        <v>32</v>
      </c>
      <c r="H116">
        <v>55376</v>
      </c>
      <c r="I116">
        <v>58357</v>
      </c>
      <c r="J116" s="1" t="s">
        <v>33</v>
      </c>
      <c r="K116" s="3">
        <v>8</v>
      </c>
      <c r="L116" s="1" t="s">
        <v>28</v>
      </c>
      <c r="M116" s="1" t="s">
        <v>29</v>
      </c>
      <c r="N116" s="3">
        <v>2024010123</v>
      </c>
      <c r="O116" s="3">
        <f t="shared" si="9"/>
        <v>1.23</v>
      </c>
      <c r="P116" s="6">
        <f t="shared" si="10"/>
        <v>520661.46</v>
      </c>
      <c r="Q116" s="3" t="str">
        <f t="shared" si="11"/>
        <v>Excellent</v>
      </c>
      <c r="R116" s="3">
        <f t="shared" si="12"/>
        <v>2981</v>
      </c>
      <c r="S116" s="7">
        <f t="shared" si="13"/>
        <v>35772</v>
      </c>
      <c r="T116" s="3" t="str">
        <f t="shared" si="14"/>
        <v>High Profit</v>
      </c>
      <c r="U116" s="3" t="str">
        <f t="shared" si="15"/>
        <v>Medium Discount</v>
      </c>
      <c r="V116" s="3" t="str">
        <f t="shared" si="16"/>
        <v>Priority D</v>
      </c>
      <c r="W116">
        <f t="shared" si="17"/>
        <v>42330.200000000004</v>
      </c>
      <c r="X116" t="s">
        <v>23</v>
      </c>
      <c r="Y116" t="s">
        <v>23</v>
      </c>
      <c r="Z116" t="s">
        <v>23</v>
      </c>
      <c r="AA116" t="s">
        <v>23</v>
      </c>
      <c r="AB116" t="s">
        <v>23</v>
      </c>
      <c r="AC116" t="s">
        <v>23</v>
      </c>
      <c r="AD116" t="s">
        <v>23</v>
      </c>
      <c r="AE116" t="s">
        <v>23</v>
      </c>
      <c r="AF116" t="s">
        <v>23</v>
      </c>
      <c r="AG116" t="s">
        <v>23</v>
      </c>
      <c r="AH116" t="s">
        <v>23</v>
      </c>
      <c r="AI116" t="s">
        <v>23</v>
      </c>
      <c r="AJ116" t="s">
        <v>23</v>
      </c>
    </row>
    <row r="117" spans="1:36" x14ac:dyDescent="0.35">
      <c r="A117" s="2">
        <v>1115</v>
      </c>
      <c r="B117" s="4">
        <v>45119</v>
      </c>
      <c r="C117" s="1" t="s">
        <v>34</v>
      </c>
      <c r="D117" s="1" t="s">
        <v>42</v>
      </c>
      <c r="E117">
        <v>810779</v>
      </c>
      <c r="F117">
        <v>11</v>
      </c>
      <c r="G117" s="1" t="s">
        <v>32</v>
      </c>
      <c r="H117">
        <v>39437</v>
      </c>
      <c r="I117">
        <v>44175</v>
      </c>
      <c r="J117" s="1" t="s">
        <v>27</v>
      </c>
      <c r="K117" s="3">
        <v>5</v>
      </c>
      <c r="L117" s="1" t="s">
        <v>40</v>
      </c>
      <c r="M117" s="1" t="s">
        <v>37</v>
      </c>
      <c r="N117" s="3">
        <v>2024010123</v>
      </c>
      <c r="O117" s="3">
        <f t="shared" si="9"/>
        <v>1.23</v>
      </c>
      <c r="P117" s="6">
        <f t="shared" si="10"/>
        <v>997258.17</v>
      </c>
      <c r="Q117" s="3" t="str">
        <f t="shared" si="11"/>
        <v>Excellent</v>
      </c>
      <c r="R117" s="3">
        <f t="shared" si="12"/>
        <v>4738</v>
      </c>
      <c r="S117" s="7">
        <f t="shared" si="13"/>
        <v>52118</v>
      </c>
      <c r="T117" s="3" t="str">
        <f t="shared" si="14"/>
        <v>High Profit</v>
      </c>
      <c r="U117" s="3" t="str">
        <f t="shared" si="15"/>
        <v>Medium Discount</v>
      </c>
      <c r="V117" s="3" t="str">
        <f t="shared" si="16"/>
        <v>Priority C</v>
      </c>
      <c r="W117">
        <f t="shared" si="17"/>
        <v>121616.84999999999</v>
      </c>
      <c r="X117" t="s">
        <v>23</v>
      </c>
      <c r="Y117" t="s">
        <v>23</v>
      </c>
      <c r="Z117" t="s">
        <v>23</v>
      </c>
      <c r="AA117" t="s">
        <v>23</v>
      </c>
      <c r="AB117" t="s">
        <v>23</v>
      </c>
      <c r="AC117" t="s">
        <v>23</v>
      </c>
      <c r="AD117" t="s">
        <v>23</v>
      </c>
      <c r="AE117" t="s">
        <v>23</v>
      </c>
      <c r="AF117" t="s">
        <v>23</v>
      </c>
      <c r="AG117" t="s">
        <v>23</v>
      </c>
      <c r="AH117" t="s">
        <v>23</v>
      </c>
      <c r="AI117" t="s">
        <v>23</v>
      </c>
      <c r="AJ117" t="s">
        <v>23</v>
      </c>
    </row>
    <row r="118" spans="1:36" x14ac:dyDescent="0.35">
      <c r="A118" s="2">
        <v>1116</v>
      </c>
      <c r="B118" s="4">
        <v>45087</v>
      </c>
      <c r="C118" s="1" t="s">
        <v>38</v>
      </c>
      <c r="D118" s="1" t="s">
        <v>43</v>
      </c>
      <c r="E118">
        <v>383505</v>
      </c>
      <c r="F118">
        <v>12</v>
      </c>
      <c r="G118" s="1" t="s">
        <v>32</v>
      </c>
      <c r="H118">
        <v>50396</v>
      </c>
      <c r="I118">
        <v>53107</v>
      </c>
      <c r="J118" s="1" t="s">
        <v>27</v>
      </c>
      <c r="K118" s="3">
        <v>19</v>
      </c>
      <c r="L118" s="1" t="s">
        <v>36</v>
      </c>
      <c r="M118" s="1" t="s">
        <v>29</v>
      </c>
      <c r="N118" s="3">
        <v>2024010123</v>
      </c>
      <c r="O118" s="3">
        <f t="shared" si="9"/>
        <v>1.23</v>
      </c>
      <c r="P118" s="6">
        <f t="shared" si="10"/>
        <v>471711.14999999997</v>
      </c>
      <c r="Q118" s="3" t="str">
        <f t="shared" si="11"/>
        <v>Excellent</v>
      </c>
      <c r="R118" s="3">
        <f t="shared" si="12"/>
        <v>2711</v>
      </c>
      <c r="S118" s="7">
        <f t="shared" si="13"/>
        <v>32532</v>
      </c>
      <c r="T118" s="3" t="str">
        <f t="shared" si="14"/>
        <v>High Profit</v>
      </c>
      <c r="U118" s="3" t="str">
        <f t="shared" si="15"/>
        <v>High Discount</v>
      </c>
      <c r="V118" s="3" t="str">
        <f t="shared" si="16"/>
        <v>Priority D</v>
      </c>
      <c r="W118">
        <f t="shared" si="17"/>
        <v>57525.75</v>
      </c>
      <c r="X118" t="s">
        <v>23</v>
      </c>
      <c r="Y118" t="s">
        <v>23</v>
      </c>
      <c r="Z118" t="s">
        <v>23</v>
      </c>
      <c r="AA118" t="s">
        <v>23</v>
      </c>
      <c r="AB118" t="s">
        <v>23</v>
      </c>
      <c r="AC118" t="s">
        <v>23</v>
      </c>
      <c r="AD118" t="s">
        <v>23</v>
      </c>
      <c r="AE118" t="s">
        <v>23</v>
      </c>
      <c r="AF118" t="s">
        <v>23</v>
      </c>
      <c r="AG118" t="s">
        <v>23</v>
      </c>
      <c r="AH118" t="s">
        <v>23</v>
      </c>
      <c r="AI118" t="s">
        <v>23</v>
      </c>
      <c r="AJ118" t="s">
        <v>23</v>
      </c>
    </row>
    <row r="119" spans="1:36" x14ac:dyDescent="0.35">
      <c r="A119" s="2">
        <v>1117</v>
      </c>
      <c r="B119" s="4">
        <v>45237</v>
      </c>
      <c r="C119" s="1" t="s">
        <v>34</v>
      </c>
      <c r="D119" s="1" t="s">
        <v>25</v>
      </c>
      <c r="E119">
        <v>794999</v>
      </c>
      <c r="F119">
        <v>12</v>
      </c>
      <c r="G119" s="1" t="s">
        <v>39</v>
      </c>
      <c r="H119">
        <v>24875</v>
      </c>
      <c r="I119">
        <v>28006</v>
      </c>
      <c r="J119" s="1" t="s">
        <v>33</v>
      </c>
      <c r="K119" s="3">
        <v>28</v>
      </c>
      <c r="L119" s="1" t="s">
        <v>40</v>
      </c>
      <c r="M119" s="1" t="s">
        <v>29</v>
      </c>
      <c r="N119" s="3">
        <v>2024010123</v>
      </c>
      <c r="O119" s="3">
        <f t="shared" si="9"/>
        <v>1.23</v>
      </c>
      <c r="P119" s="6">
        <f t="shared" si="10"/>
        <v>977848.77</v>
      </c>
      <c r="Q119" s="3" t="str">
        <f t="shared" si="11"/>
        <v>Excellent</v>
      </c>
      <c r="R119" s="3">
        <f t="shared" si="12"/>
        <v>3131</v>
      </c>
      <c r="S119" s="7">
        <f t="shared" si="13"/>
        <v>37572</v>
      </c>
      <c r="T119" s="3" t="str">
        <f t="shared" si="14"/>
        <v>High Profit</v>
      </c>
      <c r="U119" s="3" t="str">
        <f t="shared" si="15"/>
        <v>High Discount</v>
      </c>
      <c r="V119" s="3" t="str">
        <f t="shared" si="16"/>
        <v>Priority D</v>
      </c>
      <c r="W119">
        <f t="shared" si="17"/>
        <v>79499.900000000009</v>
      </c>
      <c r="X119" t="s">
        <v>23</v>
      </c>
      <c r="Y119" t="s">
        <v>23</v>
      </c>
      <c r="Z119" t="s">
        <v>23</v>
      </c>
      <c r="AA119" t="s">
        <v>23</v>
      </c>
      <c r="AB119" t="s">
        <v>23</v>
      </c>
      <c r="AC119" t="s">
        <v>23</v>
      </c>
      <c r="AD119" t="s">
        <v>23</v>
      </c>
      <c r="AE119" t="s">
        <v>23</v>
      </c>
      <c r="AF119" t="s">
        <v>23</v>
      </c>
      <c r="AG119" t="s">
        <v>23</v>
      </c>
      <c r="AH119" t="s">
        <v>23</v>
      </c>
      <c r="AI119" t="s">
        <v>23</v>
      </c>
      <c r="AJ119" t="s">
        <v>23</v>
      </c>
    </row>
    <row r="120" spans="1:36" x14ac:dyDescent="0.35">
      <c r="A120" s="2">
        <v>1118</v>
      </c>
      <c r="B120" s="4">
        <v>45256</v>
      </c>
      <c r="C120" s="1" t="s">
        <v>30</v>
      </c>
      <c r="D120" s="1" t="s">
        <v>43</v>
      </c>
      <c r="E120">
        <v>994174</v>
      </c>
      <c r="F120">
        <v>5</v>
      </c>
      <c r="G120" s="1" t="s">
        <v>32</v>
      </c>
      <c r="H120">
        <v>55883</v>
      </c>
      <c r="I120">
        <v>57398</v>
      </c>
      <c r="J120" s="1" t="s">
        <v>33</v>
      </c>
      <c r="K120" s="3">
        <v>15</v>
      </c>
      <c r="L120" s="1" t="s">
        <v>36</v>
      </c>
      <c r="M120" s="1" t="s">
        <v>29</v>
      </c>
      <c r="N120" s="3">
        <v>2024010123</v>
      </c>
      <c r="O120" s="3">
        <f t="shared" si="9"/>
        <v>1.23</v>
      </c>
      <c r="P120" s="6">
        <f t="shared" si="10"/>
        <v>1222834.02</v>
      </c>
      <c r="Q120" s="3" t="str">
        <f t="shared" si="11"/>
        <v>Excellent</v>
      </c>
      <c r="R120" s="3">
        <f t="shared" si="12"/>
        <v>1515</v>
      </c>
      <c r="S120" s="7">
        <f t="shared" si="13"/>
        <v>7575</v>
      </c>
      <c r="T120" s="3" t="str">
        <f t="shared" si="14"/>
        <v>High Profit</v>
      </c>
      <c r="U120" s="3" t="str">
        <f t="shared" si="15"/>
        <v>High Discount</v>
      </c>
      <c r="V120" s="3" t="str">
        <f t="shared" si="16"/>
        <v>Priority D</v>
      </c>
      <c r="W120">
        <f t="shared" si="17"/>
        <v>99417.400000000009</v>
      </c>
      <c r="X120" t="s">
        <v>23</v>
      </c>
      <c r="Y120" t="s">
        <v>23</v>
      </c>
      <c r="Z120" t="s">
        <v>23</v>
      </c>
      <c r="AA120" t="s">
        <v>23</v>
      </c>
      <c r="AB120" t="s">
        <v>23</v>
      </c>
      <c r="AC120" t="s">
        <v>23</v>
      </c>
      <c r="AD120" t="s">
        <v>23</v>
      </c>
      <c r="AE120" t="s">
        <v>23</v>
      </c>
      <c r="AF120" t="s">
        <v>23</v>
      </c>
      <c r="AG120" t="s">
        <v>23</v>
      </c>
      <c r="AH120" t="s">
        <v>23</v>
      </c>
      <c r="AI120" t="s">
        <v>23</v>
      </c>
      <c r="AJ120" t="s">
        <v>23</v>
      </c>
    </row>
    <row r="121" spans="1:36" x14ac:dyDescent="0.35">
      <c r="A121" s="2">
        <v>1119</v>
      </c>
      <c r="B121" s="4">
        <v>45159</v>
      </c>
      <c r="C121" s="1" t="s">
        <v>38</v>
      </c>
      <c r="D121" s="1" t="s">
        <v>42</v>
      </c>
      <c r="E121">
        <v>982606</v>
      </c>
      <c r="F121">
        <v>12</v>
      </c>
      <c r="G121" s="1" t="s">
        <v>32</v>
      </c>
      <c r="H121">
        <v>53166</v>
      </c>
      <c r="I121">
        <v>56208</v>
      </c>
      <c r="J121" s="1" t="s">
        <v>33</v>
      </c>
      <c r="K121" s="3">
        <v>29</v>
      </c>
      <c r="L121" s="1" t="s">
        <v>40</v>
      </c>
      <c r="M121" s="1" t="s">
        <v>37</v>
      </c>
      <c r="N121" s="3">
        <v>2024010123</v>
      </c>
      <c r="O121" s="3">
        <f t="shared" si="9"/>
        <v>1.23</v>
      </c>
      <c r="P121" s="6">
        <f t="shared" si="10"/>
        <v>1208605.3799999999</v>
      </c>
      <c r="Q121" s="3" t="str">
        <f t="shared" si="11"/>
        <v>Excellent</v>
      </c>
      <c r="R121" s="3">
        <f t="shared" si="12"/>
        <v>3042</v>
      </c>
      <c r="S121" s="7">
        <f t="shared" si="13"/>
        <v>36504</v>
      </c>
      <c r="T121" s="3" t="str">
        <f t="shared" si="14"/>
        <v>High Profit</v>
      </c>
      <c r="U121" s="3" t="str">
        <f t="shared" si="15"/>
        <v>High Discount</v>
      </c>
      <c r="V121" s="3" t="str">
        <f t="shared" si="16"/>
        <v>Priority C</v>
      </c>
      <c r="W121">
        <f t="shared" si="17"/>
        <v>98260.6</v>
      </c>
      <c r="X121" t="s">
        <v>23</v>
      </c>
      <c r="Y121" t="s">
        <v>23</v>
      </c>
      <c r="Z121" t="s">
        <v>23</v>
      </c>
      <c r="AA121" t="s">
        <v>23</v>
      </c>
      <c r="AB121" t="s">
        <v>23</v>
      </c>
      <c r="AC121" t="s">
        <v>23</v>
      </c>
      <c r="AD121" t="s">
        <v>23</v>
      </c>
      <c r="AE121" t="s">
        <v>23</v>
      </c>
      <c r="AF121" t="s">
        <v>23</v>
      </c>
      <c r="AG121" t="s">
        <v>23</v>
      </c>
      <c r="AH121" t="s">
        <v>23</v>
      </c>
      <c r="AI121" t="s">
        <v>23</v>
      </c>
      <c r="AJ121" t="s">
        <v>23</v>
      </c>
    </row>
    <row r="122" spans="1:36" x14ac:dyDescent="0.35">
      <c r="A122" s="2">
        <v>1120</v>
      </c>
      <c r="B122" s="4">
        <v>45269</v>
      </c>
      <c r="C122" s="1" t="s">
        <v>38</v>
      </c>
      <c r="D122" s="1" t="s">
        <v>43</v>
      </c>
      <c r="E122">
        <v>609313</v>
      </c>
      <c r="F122">
        <v>50</v>
      </c>
      <c r="G122" s="1" t="s">
        <v>26</v>
      </c>
      <c r="H122">
        <v>23071</v>
      </c>
      <c r="I122">
        <v>29162</v>
      </c>
      <c r="J122" s="1" t="s">
        <v>27</v>
      </c>
      <c r="K122" s="3">
        <v>0</v>
      </c>
      <c r="L122" s="1" t="s">
        <v>40</v>
      </c>
      <c r="M122" s="1" t="s">
        <v>37</v>
      </c>
      <c r="N122" s="3">
        <v>2024010123</v>
      </c>
      <c r="O122" s="3">
        <f t="shared" si="9"/>
        <v>1.23</v>
      </c>
      <c r="P122" s="6">
        <f t="shared" si="10"/>
        <v>749454.99</v>
      </c>
      <c r="Q122" s="3" t="str">
        <f t="shared" si="11"/>
        <v>Excellent</v>
      </c>
      <c r="R122" s="3">
        <f t="shared" si="12"/>
        <v>6091</v>
      </c>
      <c r="S122" s="7">
        <f t="shared" si="13"/>
        <v>304550</v>
      </c>
      <c r="T122" s="3" t="str">
        <f t="shared" si="14"/>
        <v>High Profit</v>
      </c>
      <c r="U122" s="3" t="str">
        <f t="shared" si="15"/>
        <v>No Discount</v>
      </c>
      <c r="V122" s="3" t="str">
        <f t="shared" si="16"/>
        <v>Priority C</v>
      </c>
      <c r="W122">
        <f t="shared" si="17"/>
        <v>91396.95</v>
      </c>
      <c r="X122" t="s">
        <v>23</v>
      </c>
      <c r="Y122" t="s">
        <v>23</v>
      </c>
      <c r="Z122" t="s">
        <v>23</v>
      </c>
      <c r="AA122" t="s">
        <v>23</v>
      </c>
      <c r="AB122" t="s">
        <v>23</v>
      </c>
      <c r="AC122" t="s">
        <v>23</v>
      </c>
      <c r="AD122" t="s">
        <v>23</v>
      </c>
      <c r="AE122" t="s">
        <v>23</v>
      </c>
      <c r="AF122" t="s">
        <v>23</v>
      </c>
      <c r="AG122" t="s">
        <v>23</v>
      </c>
      <c r="AH122" t="s">
        <v>23</v>
      </c>
      <c r="AI122" t="s">
        <v>23</v>
      </c>
      <c r="AJ122" t="s">
        <v>23</v>
      </c>
    </row>
    <row r="123" spans="1:36" x14ac:dyDescent="0.35">
      <c r="A123" s="2">
        <v>1121</v>
      </c>
      <c r="B123" s="4">
        <v>45281</v>
      </c>
      <c r="C123" s="1" t="s">
        <v>34</v>
      </c>
      <c r="D123" s="1" t="s">
        <v>31</v>
      </c>
      <c r="E123">
        <v>53742</v>
      </c>
      <c r="F123">
        <v>12</v>
      </c>
      <c r="G123" s="1" t="s">
        <v>39</v>
      </c>
      <c r="H123">
        <v>11545</v>
      </c>
      <c r="I123">
        <v>19864</v>
      </c>
      <c r="J123" s="1" t="s">
        <v>27</v>
      </c>
      <c r="K123" s="3">
        <v>1</v>
      </c>
      <c r="L123" s="1" t="s">
        <v>36</v>
      </c>
      <c r="M123" s="1" t="s">
        <v>37</v>
      </c>
      <c r="N123" s="3">
        <v>2024010123</v>
      </c>
      <c r="O123" s="3">
        <f t="shared" si="9"/>
        <v>1.23</v>
      </c>
      <c r="P123" s="6">
        <f t="shared" si="10"/>
        <v>66102.66</v>
      </c>
      <c r="Q123" s="3" t="str">
        <f t="shared" si="11"/>
        <v>Excellent</v>
      </c>
      <c r="R123" s="3">
        <f t="shared" si="12"/>
        <v>8319</v>
      </c>
      <c r="S123" s="7">
        <f t="shared" si="13"/>
        <v>99828</v>
      </c>
      <c r="T123" s="3" t="str">
        <f t="shared" si="14"/>
        <v>High Profit</v>
      </c>
      <c r="U123" s="3" t="str">
        <f t="shared" si="15"/>
        <v>Low Discount</v>
      </c>
      <c r="V123" s="3" t="str">
        <f t="shared" si="16"/>
        <v>Priority C</v>
      </c>
      <c r="W123">
        <f t="shared" si="17"/>
        <v>8061.2999999999993</v>
      </c>
      <c r="X123" t="s">
        <v>23</v>
      </c>
      <c r="Y123" t="s">
        <v>23</v>
      </c>
      <c r="Z123" t="s">
        <v>23</v>
      </c>
      <c r="AA123" t="s">
        <v>23</v>
      </c>
      <c r="AB123" t="s">
        <v>23</v>
      </c>
      <c r="AC123" t="s">
        <v>23</v>
      </c>
      <c r="AD123" t="s">
        <v>23</v>
      </c>
      <c r="AE123" t="s">
        <v>23</v>
      </c>
      <c r="AF123" t="s">
        <v>23</v>
      </c>
      <c r="AG123" t="s">
        <v>23</v>
      </c>
      <c r="AH123" t="s">
        <v>23</v>
      </c>
      <c r="AI123" t="s">
        <v>23</v>
      </c>
      <c r="AJ123" t="s">
        <v>23</v>
      </c>
    </row>
    <row r="124" spans="1:36" x14ac:dyDescent="0.35">
      <c r="A124" s="2">
        <v>1122</v>
      </c>
      <c r="B124" s="4">
        <v>45196</v>
      </c>
      <c r="C124" s="1" t="s">
        <v>30</v>
      </c>
      <c r="D124" s="1" t="s">
        <v>43</v>
      </c>
      <c r="E124">
        <v>182419</v>
      </c>
      <c r="F124">
        <v>27</v>
      </c>
      <c r="G124" s="1" t="s">
        <v>35</v>
      </c>
      <c r="H124">
        <v>21741</v>
      </c>
      <c r="I124">
        <v>28325</v>
      </c>
      <c r="J124" s="1" t="s">
        <v>33</v>
      </c>
      <c r="K124" s="3">
        <v>4</v>
      </c>
      <c r="L124" s="1" t="s">
        <v>40</v>
      </c>
      <c r="M124" s="1" t="s">
        <v>29</v>
      </c>
      <c r="N124" s="3">
        <v>2024010123</v>
      </c>
      <c r="O124" s="3">
        <f t="shared" si="9"/>
        <v>1.23</v>
      </c>
      <c r="P124" s="6">
        <f t="shared" si="10"/>
        <v>224375.37</v>
      </c>
      <c r="Q124" s="3" t="str">
        <f t="shared" si="11"/>
        <v>Excellent</v>
      </c>
      <c r="R124" s="3">
        <f t="shared" si="12"/>
        <v>6584</v>
      </c>
      <c r="S124" s="7">
        <f t="shared" si="13"/>
        <v>177768</v>
      </c>
      <c r="T124" s="3" t="str">
        <f t="shared" si="14"/>
        <v>High Profit</v>
      </c>
      <c r="U124" s="3" t="str">
        <f t="shared" si="15"/>
        <v>Low Discount</v>
      </c>
      <c r="V124" s="3" t="str">
        <f t="shared" si="16"/>
        <v>Priority C</v>
      </c>
      <c r="W124">
        <f t="shared" si="17"/>
        <v>18241.900000000001</v>
      </c>
      <c r="X124" t="s">
        <v>23</v>
      </c>
      <c r="Y124" t="s">
        <v>23</v>
      </c>
      <c r="Z124" t="s">
        <v>23</v>
      </c>
      <c r="AA124" t="s">
        <v>23</v>
      </c>
      <c r="AB124" t="s">
        <v>23</v>
      </c>
      <c r="AC124" t="s">
        <v>23</v>
      </c>
      <c r="AD124" t="s">
        <v>23</v>
      </c>
      <c r="AE124" t="s">
        <v>23</v>
      </c>
      <c r="AF124" t="s">
        <v>23</v>
      </c>
      <c r="AG124" t="s">
        <v>23</v>
      </c>
      <c r="AH124" t="s">
        <v>23</v>
      </c>
      <c r="AI124" t="s">
        <v>23</v>
      </c>
      <c r="AJ124" t="s">
        <v>23</v>
      </c>
    </row>
    <row r="125" spans="1:36" x14ac:dyDescent="0.35">
      <c r="A125" s="2">
        <v>1123</v>
      </c>
      <c r="B125" s="4">
        <v>45167</v>
      </c>
      <c r="C125" s="1" t="s">
        <v>24</v>
      </c>
      <c r="D125" s="1" t="s">
        <v>43</v>
      </c>
      <c r="E125">
        <v>618550</v>
      </c>
      <c r="F125">
        <v>50</v>
      </c>
      <c r="G125" s="1" t="s">
        <v>32</v>
      </c>
      <c r="H125">
        <v>23472</v>
      </c>
      <c r="I125">
        <v>29567</v>
      </c>
      <c r="J125" s="1" t="s">
        <v>33</v>
      </c>
      <c r="K125" s="3">
        <v>6</v>
      </c>
      <c r="L125" s="1" t="s">
        <v>40</v>
      </c>
      <c r="M125" s="1" t="s">
        <v>29</v>
      </c>
      <c r="N125" s="3">
        <v>2024010123</v>
      </c>
      <c r="O125" s="3">
        <f t="shared" si="9"/>
        <v>1.23</v>
      </c>
      <c r="P125" s="6">
        <f t="shared" si="10"/>
        <v>760816.5</v>
      </c>
      <c r="Q125" s="3" t="str">
        <f t="shared" si="11"/>
        <v>Excellent</v>
      </c>
      <c r="R125" s="3">
        <f t="shared" si="12"/>
        <v>6095</v>
      </c>
      <c r="S125" s="7">
        <f t="shared" si="13"/>
        <v>304750</v>
      </c>
      <c r="T125" s="3" t="str">
        <f t="shared" si="14"/>
        <v>High Profit</v>
      </c>
      <c r="U125" s="3" t="str">
        <f t="shared" si="15"/>
        <v>Medium Discount</v>
      </c>
      <c r="V125" s="3" t="str">
        <f t="shared" si="16"/>
        <v>Priority B</v>
      </c>
      <c r="W125">
        <f t="shared" si="17"/>
        <v>61855</v>
      </c>
      <c r="X125" t="s">
        <v>23</v>
      </c>
      <c r="Y125" t="s">
        <v>23</v>
      </c>
      <c r="Z125" t="s">
        <v>23</v>
      </c>
      <c r="AA125" t="s">
        <v>23</v>
      </c>
      <c r="AB125" t="s">
        <v>23</v>
      </c>
      <c r="AC125" t="s">
        <v>23</v>
      </c>
      <c r="AD125" t="s">
        <v>23</v>
      </c>
      <c r="AE125" t="s">
        <v>23</v>
      </c>
      <c r="AF125" t="s">
        <v>23</v>
      </c>
      <c r="AG125" t="s">
        <v>23</v>
      </c>
      <c r="AH125" t="s">
        <v>23</v>
      </c>
      <c r="AI125" t="s">
        <v>23</v>
      </c>
      <c r="AJ125" t="s">
        <v>23</v>
      </c>
    </row>
    <row r="126" spans="1:36" x14ac:dyDescent="0.35">
      <c r="A126" s="2">
        <v>1124</v>
      </c>
      <c r="B126" s="4">
        <v>44955</v>
      </c>
      <c r="C126" s="1" t="s">
        <v>24</v>
      </c>
      <c r="D126" s="1" t="s">
        <v>31</v>
      </c>
      <c r="E126">
        <v>899614</v>
      </c>
      <c r="F126">
        <v>27</v>
      </c>
      <c r="G126" s="1" t="s">
        <v>35</v>
      </c>
      <c r="H126">
        <v>18359</v>
      </c>
      <c r="I126">
        <v>27977</v>
      </c>
      <c r="J126" s="1" t="s">
        <v>27</v>
      </c>
      <c r="K126" s="3">
        <v>13</v>
      </c>
      <c r="L126" s="1" t="s">
        <v>40</v>
      </c>
      <c r="M126" s="1" t="s">
        <v>29</v>
      </c>
      <c r="N126" s="3">
        <v>2024010123</v>
      </c>
      <c r="O126" s="3">
        <f t="shared" si="9"/>
        <v>1.23</v>
      </c>
      <c r="P126" s="6">
        <f t="shared" si="10"/>
        <v>1106525.22</v>
      </c>
      <c r="Q126" s="3" t="str">
        <f t="shared" si="11"/>
        <v>Excellent</v>
      </c>
      <c r="R126" s="3">
        <f t="shared" si="12"/>
        <v>9618</v>
      </c>
      <c r="S126" s="7">
        <f t="shared" si="13"/>
        <v>259686</v>
      </c>
      <c r="T126" s="3" t="str">
        <f t="shared" si="14"/>
        <v>High Profit</v>
      </c>
      <c r="U126" s="3" t="str">
        <f t="shared" si="15"/>
        <v>Medium Discount</v>
      </c>
      <c r="V126" s="3" t="str">
        <f t="shared" si="16"/>
        <v>Priority C</v>
      </c>
      <c r="W126">
        <f t="shared" si="17"/>
        <v>134942.1</v>
      </c>
      <c r="X126" t="s">
        <v>23</v>
      </c>
      <c r="Y126" t="s">
        <v>23</v>
      </c>
      <c r="Z126" t="s">
        <v>23</v>
      </c>
      <c r="AA126" t="s">
        <v>23</v>
      </c>
      <c r="AB126" t="s">
        <v>23</v>
      </c>
      <c r="AC126" t="s">
        <v>23</v>
      </c>
      <c r="AD126" t="s">
        <v>23</v>
      </c>
      <c r="AE126" t="s">
        <v>23</v>
      </c>
      <c r="AF126" t="s">
        <v>23</v>
      </c>
      <c r="AG126" t="s">
        <v>23</v>
      </c>
      <c r="AH126" t="s">
        <v>23</v>
      </c>
      <c r="AI126" t="s">
        <v>23</v>
      </c>
      <c r="AJ126" t="s">
        <v>23</v>
      </c>
    </row>
    <row r="127" spans="1:36" x14ac:dyDescent="0.35">
      <c r="A127" s="2">
        <v>1125</v>
      </c>
      <c r="B127" s="4">
        <v>45223</v>
      </c>
      <c r="C127" s="1" t="s">
        <v>24</v>
      </c>
      <c r="D127" s="1" t="s">
        <v>31</v>
      </c>
      <c r="E127">
        <v>885955</v>
      </c>
      <c r="F127">
        <v>41</v>
      </c>
      <c r="G127" s="1" t="s">
        <v>32</v>
      </c>
      <c r="H127">
        <v>12410</v>
      </c>
      <c r="I127">
        <v>18827</v>
      </c>
      <c r="J127" s="1" t="s">
        <v>33</v>
      </c>
      <c r="K127" s="3">
        <v>9</v>
      </c>
      <c r="L127" s="1" t="s">
        <v>28</v>
      </c>
      <c r="M127" s="1" t="s">
        <v>29</v>
      </c>
      <c r="N127" s="3">
        <v>2024010123</v>
      </c>
      <c r="O127" s="3">
        <f t="shared" si="9"/>
        <v>1.23</v>
      </c>
      <c r="P127" s="6">
        <f t="shared" si="10"/>
        <v>1089724.6499999999</v>
      </c>
      <c r="Q127" s="3" t="str">
        <f t="shared" si="11"/>
        <v>Excellent</v>
      </c>
      <c r="R127" s="3">
        <f t="shared" si="12"/>
        <v>6417</v>
      </c>
      <c r="S127" s="7">
        <f t="shared" si="13"/>
        <v>263097</v>
      </c>
      <c r="T127" s="3" t="str">
        <f t="shared" si="14"/>
        <v>High Profit</v>
      </c>
      <c r="U127" s="3" t="str">
        <f t="shared" si="15"/>
        <v>Medium Discount</v>
      </c>
      <c r="V127" s="3" t="str">
        <f t="shared" si="16"/>
        <v>Priority B</v>
      </c>
      <c r="W127">
        <f t="shared" si="17"/>
        <v>88595.5</v>
      </c>
      <c r="X127" t="s">
        <v>23</v>
      </c>
      <c r="Y127" t="s">
        <v>23</v>
      </c>
      <c r="Z127" t="s">
        <v>23</v>
      </c>
      <c r="AA127" t="s">
        <v>23</v>
      </c>
      <c r="AB127" t="s">
        <v>23</v>
      </c>
      <c r="AC127" t="s">
        <v>23</v>
      </c>
      <c r="AD127" t="s">
        <v>23</v>
      </c>
      <c r="AE127" t="s">
        <v>23</v>
      </c>
      <c r="AF127" t="s">
        <v>23</v>
      </c>
      <c r="AG127" t="s">
        <v>23</v>
      </c>
      <c r="AH127" t="s">
        <v>23</v>
      </c>
      <c r="AI127" t="s">
        <v>23</v>
      </c>
      <c r="AJ127" t="s">
        <v>23</v>
      </c>
    </row>
    <row r="128" spans="1:36" x14ac:dyDescent="0.35">
      <c r="A128" s="2">
        <v>1126</v>
      </c>
      <c r="B128" s="4">
        <v>45150</v>
      </c>
      <c r="C128" s="1" t="s">
        <v>24</v>
      </c>
      <c r="D128" s="1" t="s">
        <v>31</v>
      </c>
      <c r="E128">
        <v>664802</v>
      </c>
      <c r="F128">
        <v>12</v>
      </c>
      <c r="G128" s="1" t="s">
        <v>35</v>
      </c>
      <c r="H128">
        <v>17381</v>
      </c>
      <c r="I128">
        <v>25021</v>
      </c>
      <c r="J128" s="1" t="s">
        <v>33</v>
      </c>
      <c r="K128" s="3">
        <v>26</v>
      </c>
      <c r="L128" s="1" t="s">
        <v>28</v>
      </c>
      <c r="M128" s="1" t="s">
        <v>37</v>
      </c>
      <c r="N128" s="3">
        <v>2024010123</v>
      </c>
      <c r="O128" s="3">
        <f t="shared" si="9"/>
        <v>1.23</v>
      </c>
      <c r="P128" s="6">
        <f t="shared" si="10"/>
        <v>817706.46</v>
      </c>
      <c r="Q128" s="3" t="str">
        <f t="shared" si="11"/>
        <v>Excellent</v>
      </c>
      <c r="R128" s="3">
        <f t="shared" si="12"/>
        <v>7640</v>
      </c>
      <c r="S128" s="7">
        <f t="shared" si="13"/>
        <v>91680</v>
      </c>
      <c r="T128" s="3" t="str">
        <f t="shared" si="14"/>
        <v>High Profit</v>
      </c>
      <c r="U128" s="3" t="str">
        <f t="shared" si="15"/>
        <v>High Discount</v>
      </c>
      <c r="V128" s="3" t="str">
        <f t="shared" si="16"/>
        <v>Priority C</v>
      </c>
      <c r="W128">
        <f t="shared" si="17"/>
        <v>66480.2</v>
      </c>
      <c r="X128" t="s">
        <v>23</v>
      </c>
      <c r="Y128" t="s">
        <v>23</v>
      </c>
      <c r="Z128" t="s">
        <v>23</v>
      </c>
      <c r="AA128" t="s">
        <v>23</v>
      </c>
      <c r="AB128" t="s">
        <v>23</v>
      </c>
      <c r="AC128" t="s">
        <v>23</v>
      </c>
      <c r="AD128" t="s">
        <v>23</v>
      </c>
      <c r="AE128" t="s">
        <v>23</v>
      </c>
      <c r="AF128" t="s">
        <v>23</v>
      </c>
      <c r="AG128" t="s">
        <v>23</v>
      </c>
      <c r="AH128" t="s">
        <v>23</v>
      </c>
      <c r="AI128" t="s">
        <v>23</v>
      </c>
      <c r="AJ128" t="s">
        <v>23</v>
      </c>
    </row>
    <row r="129" spans="1:36" x14ac:dyDescent="0.35">
      <c r="A129" s="2">
        <v>1127</v>
      </c>
      <c r="B129" s="4">
        <v>45235</v>
      </c>
      <c r="C129" s="1" t="s">
        <v>24</v>
      </c>
      <c r="D129" s="1" t="s">
        <v>42</v>
      </c>
      <c r="E129">
        <v>85875</v>
      </c>
      <c r="F129">
        <v>12</v>
      </c>
      <c r="G129" s="1" t="s">
        <v>26</v>
      </c>
      <c r="H129">
        <v>16746</v>
      </c>
      <c r="I129">
        <v>24142</v>
      </c>
      <c r="J129" s="1" t="s">
        <v>27</v>
      </c>
      <c r="K129" s="3">
        <v>23</v>
      </c>
      <c r="L129" s="1" t="s">
        <v>36</v>
      </c>
      <c r="M129" s="1" t="s">
        <v>29</v>
      </c>
      <c r="N129" s="3">
        <v>2024010123</v>
      </c>
      <c r="O129" s="3">
        <f t="shared" si="9"/>
        <v>1.23</v>
      </c>
      <c r="P129" s="6">
        <f t="shared" si="10"/>
        <v>105626.25</v>
      </c>
      <c r="Q129" s="3" t="str">
        <f t="shared" si="11"/>
        <v>Excellent</v>
      </c>
      <c r="R129" s="3">
        <f t="shared" si="12"/>
        <v>7396</v>
      </c>
      <c r="S129" s="7">
        <f t="shared" si="13"/>
        <v>88752</v>
      </c>
      <c r="T129" s="3" t="str">
        <f t="shared" si="14"/>
        <v>High Profit</v>
      </c>
      <c r="U129" s="3" t="str">
        <f t="shared" si="15"/>
        <v>High Discount</v>
      </c>
      <c r="V129" s="3" t="str">
        <f t="shared" si="16"/>
        <v>Priority D</v>
      </c>
      <c r="W129">
        <f t="shared" si="17"/>
        <v>12881.25</v>
      </c>
      <c r="X129" t="s">
        <v>23</v>
      </c>
      <c r="Y129" t="s">
        <v>23</v>
      </c>
      <c r="Z129" t="s">
        <v>23</v>
      </c>
      <c r="AA129" t="s">
        <v>23</v>
      </c>
      <c r="AB129" t="s">
        <v>23</v>
      </c>
      <c r="AC129" t="s">
        <v>23</v>
      </c>
      <c r="AD129" t="s">
        <v>23</v>
      </c>
      <c r="AE129" t="s">
        <v>23</v>
      </c>
      <c r="AF129" t="s">
        <v>23</v>
      </c>
      <c r="AG129" t="s">
        <v>23</v>
      </c>
      <c r="AH129" t="s">
        <v>23</v>
      </c>
      <c r="AI129" t="s">
        <v>23</v>
      </c>
      <c r="AJ129" t="s">
        <v>23</v>
      </c>
    </row>
    <row r="130" spans="1:36" x14ac:dyDescent="0.35">
      <c r="A130" s="2">
        <v>1128</v>
      </c>
      <c r="B130" s="4">
        <v>45219</v>
      </c>
      <c r="C130" s="1" t="s">
        <v>34</v>
      </c>
      <c r="D130" s="1" t="s">
        <v>42</v>
      </c>
      <c r="E130">
        <v>517336</v>
      </c>
      <c r="F130">
        <v>17</v>
      </c>
      <c r="G130" s="1" t="s">
        <v>39</v>
      </c>
      <c r="H130">
        <v>25956</v>
      </c>
      <c r="I130">
        <v>37420</v>
      </c>
      <c r="J130" s="1" t="s">
        <v>33</v>
      </c>
      <c r="K130" s="3">
        <v>18</v>
      </c>
      <c r="L130" s="1" t="s">
        <v>28</v>
      </c>
      <c r="M130" s="1" t="s">
        <v>37</v>
      </c>
      <c r="N130" s="3">
        <v>2024010123</v>
      </c>
      <c r="O130" s="3">
        <f t="shared" si="9"/>
        <v>1.23</v>
      </c>
      <c r="P130" s="6">
        <f t="shared" si="10"/>
        <v>636323.28</v>
      </c>
      <c r="Q130" s="3" t="str">
        <f t="shared" si="11"/>
        <v>Excellent</v>
      </c>
      <c r="R130" s="3">
        <f t="shared" si="12"/>
        <v>11464</v>
      </c>
      <c r="S130" s="7">
        <f t="shared" si="13"/>
        <v>194888</v>
      </c>
      <c r="T130" s="3" t="str">
        <f t="shared" si="14"/>
        <v>High Profit</v>
      </c>
      <c r="U130" s="3" t="str">
        <f t="shared" si="15"/>
        <v>High Discount</v>
      </c>
      <c r="V130" s="3" t="str">
        <f t="shared" si="16"/>
        <v>Priority C</v>
      </c>
      <c r="W130">
        <f t="shared" si="17"/>
        <v>51733.600000000006</v>
      </c>
      <c r="X130" t="s">
        <v>23</v>
      </c>
      <c r="Y130" t="s">
        <v>23</v>
      </c>
      <c r="Z130" t="s">
        <v>23</v>
      </c>
      <c r="AA130" t="s">
        <v>23</v>
      </c>
      <c r="AB130" t="s">
        <v>23</v>
      </c>
      <c r="AC130" t="s">
        <v>23</v>
      </c>
      <c r="AD130" t="s">
        <v>23</v>
      </c>
      <c r="AE130" t="s">
        <v>23</v>
      </c>
      <c r="AF130" t="s">
        <v>23</v>
      </c>
      <c r="AG130" t="s">
        <v>23</v>
      </c>
      <c r="AH130" t="s">
        <v>23</v>
      </c>
      <c r="AI130" t="s">
        <v>23</v>
      </c>
      <c r="AJ130" t="s">
        <v>23</v>
      </c>
    </row>
    <row r="131" spans="1:36" x14ac:dyDescent="0.35">
      <c r="A131" s="2">
        <v>1129</v>
      </c>
      <c r="B131" s="4">
        <v>45270</v>
      </c>
      <c r="C131" s="1" t="s">
        <v>30</v>
      </c>
      <c r="D131" s="1" t="s">
        <v>42</v>
      </c>
      <c r="E131">
        <v>89952</v>
      </c>
      <c r="F131">
        <v>33</v>
      </c>
      <c r="G131" s="1" t="s">
        <v>39</v>
      </c>
      <c r="H131">
        <v>28002</v>
      </c>
      <c r="I131">
        <v>35488</v>
      </c>
      <c r="J131" s="1" t="s">
        <v>27</v>
      </c>
      <c r="K131" s="3">
        <v>28</v>
      </c>
      <c r="L131" s="1" t="s">
        <v>36</v>
      </c>
      <c r="M131" s="1" t="s">
        <v>37</v>
      </c>
      <c r="N131" s="3">
        <v>2024010123</v>
      </c>
      <c r="O131" s="3">
        <f t="shared" ref="O131:O194" si="18">VALUE(RIGHT($N$2,3))/100</f>
        <v>1.23</v>
      </c>
      <c r="P131" s="6">
        <f t="shared" ref="P131:P194" si="19">E131*$O131</f>
        <v>110640.95999999999</v>
      </c>
      <c r="Q131" s="3" t="str">
        <f t="shared" ref="Q131:Q194" si="20">IF(P131&gt;=5000,"Excellent",
   IF(P131&gt;=3000,"Good",
      IF(P131&gt;=1500,"Average","Below Average")))</f>
        <v>Excellent</v>
      </c>
      <c r="R131" s="3">
        <f t="shared" ref="R131:R194" si="21">I131-H131</f>
        <v>7486</v>
      </c>
      <c r="S131" s="7">
        <f t="shared" ref="S131:S194" si="22">R131*F131</f>
        <v>247038</v>
      </c>
      <c r="T131" s="3" t="str">
        <f t="shared" ref="T131:T194" si="23">IF(S131&gt;=1000,"High Profit",
   IF(S131&gt;=500,"Medium Profit","Low Profit"))</f>
        <v>High Profit</v>
      </c>
      <c r="U131" s="3" t="str">
        <f t="shared" ref="U131:U194" si="24">_xlfn.LET(
  _xlpm.d0, K131,
  _xlpm.d, IF(_xlpm.d0&gt;=1, _xlpm.d0/100, _xlpm.d0),
  IF(_xlpm.d&gt;=0.15, "High Discount",
     IF(_xlpm.d&gt;=0.05, "Medium Discount",
        IF(_xlpm.d&gt;0, "Low Discount", "No Discount")))
)</f>
        <v>High Discount</v>
      </c>
      <c r="V131" s="3" t="str">
        <f t="shared" ref="V131:V194" si="25">IF(AND(G131="Electronics",F131&gt;=30,M131="Online"),"Priority A",
   IF(AND(OR(G131="Furniture",G131="Electronics"),F131&gt;=20),"Priority B",
      IF(OR(M131="Online",F131&gt;=15),"Priority C","Priority D")))</f>
        <v>Priority A</v>
      </c>
      <c r="W131">
        <f t="shared" ref="W131:W194" si="26">IF(AND(Q131="Excellent",J131="Returning",T131="High Profit"),E131*0.15,
   IF(AND(Q131="Excellent",J131="New"),E131*0.1,
      IF(AND(OR(Q131="Good",Q131="Excellent"),L131="Cash"),E131*0.08,
         IF(AND(Q131="Good",T131="High Profit"),E131*0.06,
            IF(Q131="Average",E131*0.03,
               IF(Q131="Below Average",E131*0.01,0))))))</f>
        <v>13492.8</v>
      </c>
      <c r="X131" t="s">
        <v>23</v>
      </c>
      <c r="Y131" t="s">
        <v>23</v>
      </c>
      <c r="Z131" t="s">
        <v>23</v>
      </c>
      <c r="AA131" t="s">
        <v>23</v>
      </c>
      <c r="AB131" t="s">
        <v>23</v>
      </c>
      <c r="AC131" t="s">
        <v>23</v>
      </c>
      <c r="AD131" t="s">
        <v>23</v>
      </c>
      <c r="AE131" t="s">
        <v>23</v>
      </c>
      <c r="AF131" t="s">
        <v>23</v>
      </c>
      <c r="AG131" t="s">
        <v>23</v>
      </c>
      <c r="AH131" t="s">
        <v>23</v>
      </c>
      <c r="AI131" t="s">
        <v>23</v>
      </c>
      <c r="AJ131" t="s">
        <v>23</v>
      </c>
    </row>
    <row r="132" spans="1:36" x14ac:dyDescent="0.35">
      <c r="A132" s="2">
        <v>1130</v>
      </c>
      <c r="B132" s="4">
        <v>45092</v>
      </c>
      <c r="C132" s="1" t="s">
        <v>34</v>
      </c>
      <c r="D132" s="1" t="s">
        <v>31</v>
      </c>
      <c r="E132">
        <v>96814</v>
      </c>
      <c r="F132">
        <v>18</v>
      </c>
      <c r="G132" s="1" t="s">
        <v>26</v>
      </c>
      <c r="H132">
        <v>31964</v>
      </c>
      <c r="I132">
        <v>35884</v>
      </c>
      <c r="J132" s="1" t="s">
        <v>27</v>
      </c>
      <c r="K132" s="3">
        <v>0</v>
      </c>
      <c r="L132" s="1" t="s">
        <v>36</v>
      </c>
      <c r="M132" s="1" t="s">
        <v>29</v>
      </c>
      <c r="N132" s="3">
        <v>2024010123</v>
      </c>
      <c r="O132" s="3">
        <f t="shared" si="18"/>
        <v>1.23</v>
      </c>
      <c r="P132" s="6">
        <f t="shared" si="19"/>
        <v>119081.22</v>
      </c>
      <c r="Q132" s="3" t="str">
        <f t="shared" si="20"/>
        <v>Excellent</v>
      </c>
      <c r="R132" s="3">
        <f t="shared" si="21"/>
        <v>3920</v>
      </c>
      <c r="S132" s="7">
        <f t="shared" si="22"/>
        <v>70560</v>
      </c>
      <c r="T132" s="3" t="str">
        <f t="shared" si="23"/>
        <v>High Profit</v>
      </c>
      <c r="U132" s="3" t="str">
        <f t="shared" si="24"/>
        <v>No Discount</v>
      </c>
      <c r="V132" s="3" t="str">
        <f t="shared" si="25"/>
        <v>Priority C</v>
      </c>
      <c r="W132">
        <f t="shared" si="26"/>
        <v>14522.1</v>
      </c>
      <c r="X132" t="s">
        <v>23</v>
      </c>
      <c r="Y132" t="s">
        <v>23</v>
      </c>
      <c r="Z132" t="s">
        <v>23</v>
      </c>
      <c r="AA132" t="s">
        <v>23</v>
      </c>
      <c r="AB132" t="s">
        <v>23</v>
      </c>
      <c r="AC132" t="s">
        <v>23</v>
      </c>
      <c r="AD132" t="s">
        <v>23</v>
      </c>
      <c r="AE132" t="s">
        <v>23</v>
      </c>
      <c r="AF132" t="s">
        <v>23</v>
      </c>
      <c r="AG132" t="s">
        <v>23</v>
      </c>
      <c r="AH132" t="s">
        <v>23</v>
      </c>
      <c r="AI132" t="s">
        <v>23</v>
      </c>
      <c r="AJ132" t="s">
        <v>23</v>
      </c>
    </row>
    <row r="133" spans="1:36" x14ac:dyDescent="0.35">
      <c r="A133" s="2">
        <v>1131</v>
      </c>
      <c r="B133" s="4">
        <v>44972</v>
      </c>
      <c r="C133" s="1" t="s">
        <v>34</v>
      </c>
      <c r="D133" s="1" t="s">
        <v>42</v>
      </c>
      <c r="E133">
        <v>819094</v>
      </c>
      <c r="F133">
        <v>8</v>
      </c>
      <c r="G133" s="1" t="s">
        <v>26</v>
      </c>
      <c r="H133">
        <v>37581</v>
      </c>
      <c r="I133">
        <v>43816</v>
      </c>
      <c r="J133" s="1" t="s">
        <v>27</v>
      </c>
      <c r="K133" s="3">
        <v>4</v>
      </c>
      <c r="L133" s="1" t="s">
        <v>40</v>
      </c>
      <c r="M133" s="1" t="s">
        <v>37</v>
      </c>
      <c r="N133" s="3">
        <v>2024010123</v>
      </c>
      <c r="O133" s="3">
        <f t="shared" si="18"/>
        <v>1.23</v>
      </c>
      <c r="P133" s="6">
        <f t="shared" si="19"/>
        <v>1007485.62</v>
      </c>
      <c r="Q133" s="3" t="str">
        <f t="shared" si="20"/>
        <v>Excellent</v>
      </c>
      <c r="R133" s="3">
        <f t="shared" si="21"/>
        <v>6235</v>
      </c>
      <c r="S133" s="7">
        <f t="shared" si="22"/>
        <v>49880</v>
      </c>
      <c r="T133" s="3" t="str">
        <f t="shared" si="23"/>
        <v>High Profit</v>
      </c>
      <c r="U133" s="3" t="str">
        <f t="shared" si="24"/>
        <v>Low Discount</v>
      </c>
      <c r="V133" s="3" t="str">
        <f t="shared" si="25"/>
        <v>Priority C</v>
      </c>
      <c r="W133">
        <f t="shared" si="26"/>
        <v>122864.09999999999</v>
      </c>
      <c r="X133" t="s">
        <v>23</v>
      </c>
      <c r="Y133" t="s">
        <v>23</v>
      </c>
      <c r="Z133" t="s">
        <v>23</v>
      </c>
      <c r="AA133" t="s">
        <v>23</v>
      </c>
      <c r="AB133" t="s">
        <v>23</v>
      </c>
      <c r="AC133" t="s">
        <v>23</v>
      </c>
      <c r="AD133" t="s">
        <v>23</v>
      </c>
      <c r="AE133" t="s">
        <v>23</v>
      </c>
      <c r="AF133" t="s">
        <v>23</v>
      </c>
      <c r="AG133" t="s">
        <v>23</v>
      </c>
      <c r="AH133" t="s">
        <v>23</v>
      </c>
      <c r="AI133" t="s">
        <v>23</v>
      </c>
      <c r="AJ133" t="s">
        <v>23</v>
      </c>
    </row>
    <row r="134" spans="1:36" x14ac:dyDescent="0.35">
      <c r="A134" s="2">
        <v>1132</v>
      </c>
      <c r="B134" s="4">
        <v>45258</v>
      </c>
      <c r="C134" s="1" t="s">
        <v>34</v>
      </c>
      <c r="D134" s="1" t="s">
        <v>43</v>
      </c>
      <c r="E134">
        <v>662825</v>
      </c>
      <c r="F134">
        <v>18</v>
      </c>
      <c r="G134" s="1" t="s">
        <v>32</v>
      </c>
      <c r="H134">
        <v>40987</v>
      </c>
      <c r="I134">
        <v>46617</v>
      </c>
      <c r="J134" s="1" t="s">
        <v>27</v>
      </c>
      <c r="K134" s="3">
        <v>4</v>
      </c>
      <c r="L134" s="1" t="s">
        <v>28</v>
      </c>
      <c r="M134" s="1" t="s">
        <v>37</v>
      </c>
      <c r="N134" s="3">
        <v>2024010123</v>
      </c>
      <c r="O134" s="3">
        <f t="shared" si="18"/>
        <v>1.23</v>
      </c>
      <c r="P134" s="6">
        <f t="shared" si="19"/>
        <v>815274.75</v>
      </c>
      <c r="Q134" s="3" t="str">
        <f t="shared" si="20"/>
        <v>Excellent</v>
      </c>
      <c r="R134" s="3">
        <f t="shared" si="21"/>
        <v>5630</v>
      </c>
      <c r="S134" s="7">
        <f t="shared" si="22"/>
        <v>101340</v>
      </c>
      <c r="T134" s="3" t="str">
        <f t="shared" si="23"/>
        <v>High Profit</v>
      </c>
      <c r="U134" s="3" t="str">
        <f t="shared" si="24"/>
        <v>Low Discount</v>
      </c>
      <c r="V134" s="3" t="str">
        <f t="shared" si="25"/>
        <v>Priority C</v>
      </c>
      <c r="W134">
        <f t="shared" si="26"/>
        <v>99423.75</v>
      </c>
      <c r="X134" t="s">
        <v>23</v>
      </c>
      <c r="Y134" t="s">
        <v>23</v>
      </c>
      <c r="Z134" t="s">
        <v>23</v>
      </c>
      <c r="AA134" t="s">
        <v>23</v>
      </c>
      <c r="AB134" t="s">
        <v>23</v>
      </c>
      <c r="AC134" t="s">
        <v>23</v>
      </c>
      <c r="AD134" t="s">
        <v>23</v>
      </c>
      <c r="AE134" t="s">
        <v>23</v>
      </c>
      <c r="AF134" t="s">
        <v>23</v>
      </c>
      <c r="AG134" t="s">
        <v>23</v>
      </c>
      <c r="AH134" t="s">
        <v>23</v>
      </c>
      <c r="AI134" t="s">
        <v>23</v>
      </c>
      <c r="AJ134" t="s">
        <v>23</v>
      </c>
    </row>
    <row r="135" spans="1:36" x14ac:dyDescent="0.35">
      <c r="A135" s="2">
        <v>1133</v>
      </c>
      <c r="B135" s="4">
        <v>45160</v>
      </c>
      <c r="C135" s="1" t="s">
        <v>34</v>
      </c>
      <c r="D135" s="1" t="s">
        <v>31</v>
      </c>
      <c r="E135">
        <v>90293</v>
      </c>
      <c r="F135">
        <v>11</v>
      </c>
      <c r="G135" s="1" t="s">
        <v>26</v>
      </c>
      <c r="H135">
        <v>29205</v>
      </c>
      <c r="I135">
        <v>37199</v>
      </c>
      <c r="J135" s="1" t="s">
        <v>27</v>
      </c>
      <c r="K135" s="3">
        <v>5</v>
      </c>
      <c r="L135" s="1" t="s">
        <v>36</v>
      </c>
      <c r="M135" s="1" t="s">
        <v>29</v>
      </c>
      <c r="N135" s="3">
        <v>2024010123</v>
      </c>
      <c r="O135" s="3">
        <f t="shared" si="18"/>
        <v>1.23</v>
      </c>
      <c r="P135" s="6">
        <f t="shared" si="19"/>
        <v>111060.39</v>
      </c>
      <c r="Q135" s="3" t="str">
        <f t="shared" si="20"/>
        <v>Excellent</v>
      </c>
      <c r="R135" s="3">
        <f t="shared" si="21"/>
        <v>7994</v>
      </c>
      <c r="S135" s="7">
        <f t="shared" si="22"/>
        <v>87934</v>
      </c>
      <c r="T135" s="3" t="str">
        <f t="shared" si="23"/>
        <v>High Profit</v>
      </c>
      <c r="U135" s="3" t="str">
        <f t="shared" si="24"/>
        <v>Medium Discount</v>
      </c>
      <c r="V135" s="3" t="str">
        <f t="shared" si="25"/>
        <v>Priority D</v>
      </c>
      <c r="W135">
        <f t="shared" si="26"/>
        <v>13543.949999999999</v>
      </c>
      <c r="X135" t="s">
        <v>23</v>
      </c>
      <c r="Y135" t="s">
        <v>23</v>
      </c>
      <c r="Z135" t="s">
        <v>23</v>
      </c>
      <c r="AA135" t="s">
        <v>23</v>
      </c>
      <c r="AB135" t="s">
        <v>23</v>
      </c>
      <c r="AC135" t="s">
        <v>23</v>
      </c>
      <c r="AD135" t="s">
        <v>23</v>
      </c>
      <c r="AE135" t="s">
        <v>23</v>
      </c>
      <c r="AF135" t="s">
        <v>23</v>
      </c>
      <c r="AG135" t="s">
        <v>23</v>
      </c>
      <c r="AH135" t="s">
        <v>23</v>
      </c>
      <c r="AI135" t="s">
        <v>23</v>
      </c>
      <c r="AJ135" t="s">
        <v>23</v>
      </c>
    </row>
    <row r="136" spans="1:36" x14ac:dyDescent="0.35">
      <c r="A136" s="2">
        <v>1134</v>
      </c>
      <c r="B136" s="4">
        <v>45096</v>
      </c>
      <c r="C136" s="1" t="s">
        <v>38</v>
      </c>
      <c r="D136" s="1" t="s">
        <v>42</v>
      </c>
      <c r="E136">
        <v>988726</v>
      </c>
      <c r="F136">
        <v>18</v>
      </c>
      <c r="G136" s="1" t="s">
        <v>32</v>
      </c>
      <c r="H136">
        <v>22129</v>
      </c>
      <c r="I136">
        <v>26454</v>
      </c>
      <c r="J136" s="1" t="s">
        <v>33</v>
      </c>
      <c r="K136" s="3">
        <v>13</v>
      </c>
      <c r="L136" s="1" t="s">
        <v>40</v>
      </c>
      <c r="M136" s="1" t="s">
        <v>29</v>
      </c>
      <c r="N136" s="3">
        <v>2024010123</v>
      </c>
      <c r="O136" s="3">
        <f t="shared" si="18"/>
        <v>1.23</v>
      </c>
      <c r="P136" s="6">
        <f t="shared" si="19"/>
        <v>1216132.98</v>
      </c>
      <c r="Q136" s="3" t="str">
        <f t="shared" si="20"/>
        <v>Excellent</v>
      </c>
      <c r="R136" s="3">
        <f t="shared" si="21"/>
        <v>4325</v>
      </c>
      <c r="S136" s="7">
        <f t="shared" si="22"/>
        <v>77850</v>
      </c>
      <c r="T136" s="3" t="str">
        <f t="shared" si="23"/>
        <v>High Profit</v>
      </c>
      <c r="U136" s="3" t="str">
        <f t="shared" si="24"/>
        <v>Medium Discount</v>
      </c>
      <c r="V136" s="3" t="str">
        <f t="shared" si="25"/>
        <v>Priority C</v>
      </c>
      <c r="W136">
        <f t="shared" si="26"/>
        <v>98872.6</v>
      </c>
      <c r="X136" t="s">
        <v>23</v>
      </c>
      <c r="Y136" t="s">
        <v>23</v>
      </c>
      <c r="Z136" t="s">
        <v>23</v>
      </c>
      <c r="AA136" t="s">
        <v>23</v>
      </c>
      <c r="AB136" t="s">
        <v>23</v>
      </c>
      <c r="AC136" t="s">
        <v>23</v>
      </c>
      <c r="AD136" t="s">
        <v>23</v>
      </c>
      <c r="AE136" t="s">
        <v>23</v>
      </c>
      <c r="AF136" t="s">
        <v>23</v>
      </c>
      <c r="AG136" t="s">
        <v>23</v>
      </c>
      <c r="AH136" t="s">
        <v>23</v>
      </c>
      <c r="AI136" t="s">
        <v>23</v>
      </c>
      <c r="AJ136" t="s">
        <v>23</v>
      </c>
    </row>
    <row r="137" spans="1:36" x14ac:dyDescent="0.35">
      <c r="A137" s="2">
        <v>1135</v>
      </c>
      <c r="B137" s="4">
        <v>45142</v>
      </c>
      <c r="C137" s="1" t="s">
        <v>34</v>
      </c>
      <c r="D137" s="1" t="s">
        <v>42</v>
      </c>
      <c r="E137">
        <v>232665</v>
      </c>
      <c r="F137">
        <v>18</v>
      </c>
      <c r="G137" s="1" t="s">
        <v>39</v>
      </c>
      <c r="H137">
        <v>21124</v>
      </c>
      <c r="I137">
        <v>25153</v>
      </c>
      <c r="J137" s="1" t="s">
        <v>27</v>
      </c>
      <c r="K137" s="3">
        <v>7</v>
      </c>
      <c r="L137" s="1" t="s">
        <v>36</v>
      </c>
      <c r="M137" s="1" t="s">
        <v>37</v>
      </c>
      <c r="N137" s="3">
        <v>2024010123</v>
      </c>
      <c r="O137" s="3">
        <f t="shared" si="18"/>
        <v>1.23</v>
      </c>
      <c r="P137" s="6">
        <f t="shared" si="19"/>
        <v>286177.95</v>
      </c>
      <c r="Q137" s="3" t="str">
        <f t="shared" si="20"/>
        <v>Excellent</v>
      </c>
      <c r="R137" s="3">
        <f t="shared" si="21"/>
        <v>4029</v>
      </c>
      <c r="S137" s="7">
        <f t="shared" si="22"/>
        <v>72522</v>
      </c>
      <c r="T137" s="3" t="str">
        <f t="shared" si="23"/>
        <v>High Profit</v>
      </c>
      <c r="U137" s="3" t="str">
        <f t="shared" si="24"/>
        <v>Medium Discount</v>
      </c>
      <c r="V137" s="3" t="str">
        <f t="shared" si="25"/>
        <v>Priority C</v>
      </c>
      <c r="W137">
        <f t="shared" si="26"/>
        <v>34899.75</v>
      </c>
      <c r="X137" t="s">
        <v>23</v>
      </c>
      <c r="Y137" t="s">
        <v>23</v>
      </c>
      <c r="Z137" t="s">
        <v>23</v>
      </c>
      <c r="AA137" t="s">
        <v>23</v>
      </c>
      <c r="AB137" t="s">
        <v>23</v>
      </c>
      <c r="AC137" t="s">
        <v>23</v>
      </c>
      <c r="AD137" t="s">
        <v>23</v>
      </c>
      <c r="AE137" t="s">
        <v>23</v>
      </c>
      <c r="AF137" t="s">
        <v>23</v>
      </c>
      <c r="AG137" t="s">
        <v>23</v>
      </c>
      <c r="AH137" t="s">
        <v>23</v>
      </c>
      <c r="AI137" t="s">
        <v>23</v>
      </c>
      <c r="AJ137" t="s">
        <v>23</v>
      </c>
    </row>
    <row r="138" spans="1:36" x14ac:dyDescent="0.35">
      <c r="A138" s="2">
        <v>1136</v>
      </c>
      <c r="B138" s="4">
        <v>45020</v>
      </c>
      <c r="C138" s="1" t="s">
        <v>30</v>
      </c>
      <c r="D138" s="1" t="s">
        <v>31</v>
      </c>
      <c r="E138">
        <v>683492</v>
      </c>
      <c r="F138">
        <v>8</v>
      </c>
      <c r="G138" s="1" t="s">
        <v>35</v>
      </c>
      <c r="H138">
        <v>27616</v>
      </c>
      <c r="I138">
        <v>32531</v>
      </c>
      <c r="J138" s="1" t="s">
        <v>27</v>
      </c>
      <c r="K138" s="3">
        <v>29</v>
      </c>
      <c r="L138" s="1" t="s">
        <v>40</v>
      </c>
      <c r="M138" s="1" t="s">
        <v>37</v>
      </c>
      <c r="N138" s="3">
        <v>2024010123</v>
      </c>
      <c r="O138" s="3">
        <f t="shared" si="18"/>
        <v>1.23</v>
      </c>
      <c r="P138" s="6">
        <f t="shared" si="19"/>
        <v>840695.16</v>
      </c>
      <c r="Q138" s="3" t="str">
        <f t="shared" si="20"/>
        <v>Excellent</v>
      </c>
      <c r="R138" s="3">
        <f t="shared" si="21"/>
        <v>4915</v>
      </c>
      <c r="S138" s="7">
        <f t="shared" si="22"/>
        <v>39320</v>
      </c>
      <c r="T138" s="3" t="str">
        <f t="shared" si="23"/>
        <v>High Profit</v>
      </c>
      <c r="U138" s="3" t="str">
        <f t="shared" si="24"/>
        <v>High Discount</v>
      </c>
      <c r="V138" s="3" t="str">
        <f t="shared" si="25"/>
        <v>Priority C</v>
      </c>
      <c r="W138">
        <f t="shared" si="26"/>
        <v>102523.8</v>
      </c>
      <c r="X138" t="s">
        <v>23</v>
      </c>
      <c r="Y138" t="s">
        <v>23</v>
      </c>
      <c r="Z138" t="s">
        <v>23</v>
      </c>
      <c r="AA138" t="s">
        <v>23</v>
      </c>
      <c r="AB138" t="s">
        <v>23</v>
      </c>
      <c r="AC138" t="s">
        <v>23</v>
      </c>
      <c r="AD138" t="s">
        <v>23</v>
      </c>
      <c r="AE138" t="s">
        <v>23</v>
      </c>
      <c r="AF138" t="s">
        <v>23</v>
      </c>
      <c r="AG138" t="s">
        <v>23</v>
      </c>
      <c r="AH138" t="s">
        <v>23</v>
      </c>
      <c r="AI138" t="s">
        <v>23</v>
      </c>
      <c r="AJ138" t="s">
        <v>23</v>
      </c>
    </row>
    <row r="139" spans="1:36" x14ac:dyDescent="0.35">
      <c r="A139" s="2">
        <v>1137</v>
      </c>
      <c r="B139" s="4">
        <v>45032</v>
      </c>
      <c r="C139" s="1" t="s">
        <v>24</v>
      </c>
      <c r="D139" s="1" t="s">
        <v>43</v>
      </c>
      <c r="E139">
        <v>638517</v>
      </c>
      <c r="F139">
        <v>9</v>
      </c>
      <c r="G139" s="1" t="s">
        <v>39</v>
      </c>
      <c r="H139">
        <v>40692</v>
      </c>
      <c r="I139">
        <v>46918</v>
      </c>
      <c r="J139" s="1" t="s">
        <v>27</v>
      </c>
      <c r="K139" s="3">
        <v>30</v>
      </c>
      <c r="L139" s="1" t="s">
        <v>28</v>
      </c>
      <c r="M139" s="1" t="s">
        <v>29</v>
      </c>
      <c r="N139" s="3">
        <v>2024010123</v>
      </c>
      <c r="O139" s="3">
        <f t="shared" si="18"/>
        <v>1.23</v>
      </c>
      <c r="P139" s="6">
        <f t="shared" si="19"/>
        <v>785375.91</v>
      </c>
      <c r="Q139" s="3" t="str">
        <f t="shared" si="20"/>
        <v>Excellent</v>
      </c>
      <c r="R139" s="3">
        <f t="shared" si="21"/>
        <v>6226</v>
      </c>
      <c r="S139" s="7">
        <f t="shared" si="22"/>
        <v>56034</v>
      </c>
      <c r="T139" s="3" t="str">
        <f t="shared" si="23"/>
        <v>High Profit</v>
      </c>
      <c r="U139" s="3" t="str">
        <f t="shared" si="24"/>
        <v>High Discount</v>
      </c>
      <c r="V139" s="3" t="str">
        <f t="shared" si="25"/>
        <v>Priority D</v>
      </c>
      <c r="W139">
        <f t="shared" si="26"/>
        <v>95777.55</v>
      </c>
      <c r="X139" t="s">
        <v>23</v>
      </c>
      <c r="Y139" t="s">
        <v>23</v>
      </c>
      <c r="Z139" t="s">
        <v>23</v>
      </c>
      <c r="AA139" t="s">
        <v>23</v>
      </c>
      <c r="AB139" t="s">
        <v>23</v>
      </c>
      <c r="AC139" t="s">
        <v>23</v>
      </c>
      <c r="AD139" t="s">
        <v>23</v>
      </c>
      <c r="AE139" t="s">
        <v>23</v>
      </c>
      <c r="AF139" t="s">
        <v>23</v>
      </c>
      <c r="AG139" t="s">
        <v>23</v>
      </c>
      <c r="AH139" t="s">
        <v>23</v>
      </c>
      <c r="AI139" t="s">
        <v>23</v>
      </c>
      <c r="AJ139" t="s">
        <v>23</v>
      </c>
    </row>
    <row r="140" spans="1:36" x14ac:dyDescent="0.35">
      <c r="A140" s="2">
        <v>1138</v>
      </c>
      <c r="B140" s="4">
        <v>45082</v>
      </c>
      <c r="C140" s="1" t="s">
        <v>38</v>
      </c>
      <c r="D140" s="1" t="s">
        <v>25</v>
      </c>
      <c r="E140">
        <v>725008</v>
      </c>
      <c r="F140">
        <v>16</v>
      </c>
      <c r="G140" s="1" t="s">
        <v>32</v>
      </c>
      <c r="H140">
        <v>41783</v>
      </c>
      <c r="I140">
        <v>48277</v>
      </c>
      <c r="J140" s="1" t="s">
        <v>27</v>
      </c>
      <c r="K140" s="3">
        <v>25</v>
      </c>
      <c r="L140" s="1" t="s">
        <v>36</v>
      </c>
      <c r="M140" s="1" t="s">
        <v>37</v>
      </c>
      <c r="N140" s="3">
        <v>2024010123</v>
      </c>
      <c r="O140" s="3">
        <f t="shared" si="18"/>
        <v>1.23</v>
      </c>
      <c r="P140" s="6">
        <f t="shared" si="19"/>
        <v>891759.84</v>
      </c>
      <c r="Q140" s="3" t="str">
        <f t="shared" si="20"/>
        <v>Excellent</v>
      </c>
      <c r="R140" s="3">
        <f t="shared" si="21"/>
        <v>6494</v>
      </c>
      <c r="S140" s="7">
        <f t="shared" si="22"/>
        <v>103904</v>
      </c>
      <c r="T140" s="3" t="str">
        <f t="shared" si="23"/>
        <v>High Profit</v>
      </c>
      <c r="U140" s="3" t="str">
        <f t="shared" si="24"/>
        <v>High Discount</v>
      </c>
      <c r="V140" s="3" t="str">
        <f t="shared" si="25"/>
        <v>Priority C</v>
      </c>
      <c r="W140">
        <f t="shared" si="26"/>
        <v>108751.2</v>
      </c>
      <c r="X140" t="s">
        <v>23</v>
      </c>
      <c r="Y140" t="s">
        <v>23</v>
      </c>
      <c r="Z140" t="s">
        <v>23</v>
      </c>
      <c r="AA140" t="s">
        <v>23</v>
      </c>
      <c r="AB140" t="s">
        <v>23</v>
      </c>
      <c r="AC140" t="s">
        <v>23</v>
      </c>
      <c r="AD140" t="s">
        <v>23</v>
      </c>
      <c r="AE140" t="s">
        <v>23</v>
      </c>
      <c r="AF140" t="s">
        <v>23</v>
      </c>
      <c r="AG140" t="s">
        <v>23</v>
      </c>
      <c r="AH140" t="s">
        <v>23</v>
      </c>
      <c r="AI140" t="s">
        <v>23</v>
      </c>
      <c r="AJ140" t="s">
        <v>23</v>
      </c>
    </row>
    <row r="141" spans="1:36" x14ac:dyDescent="0.35">
      <c r="A141" s="2">
        <v>1139</v>
      </c>
      <c r="B141" s="4">
        <v>44990</v>
      </c>
      <c r="C141" s="1" t="s">
        <v>24</v>
      </c>
      <c r="D141" s="1" t="s">
        <v>42</v>
      </c>
      <c r="E141">
        <v>197650</v>
      </c>
      <c r="F141">
        <v>18</v>
      </c>
      <c r="G141" s="1" t="s">
        <v>39</v>
      </c>
      <c r="H141">
        <v>30942</v>
      </c>
      <c r="I141">
        <v>35525</v>
      </c>
      <c r="J141" s="1" t="s">
        <v>33</v>
      </c>
      <c r="K141" s="3">
        <v>28</v>
      </c>
      <c r="L141" s="1" t="s">
        <v>36</v>
      </c>
      <c r="M141" s="1" t="s">
        <v>29</v>
      </c>
      <c r="N141" s="3">
        <v>2024010123</v>
      </c>
      <c r="O141" s="3">
        <f t="shared" si="18"/>
        <v>1.23</v>
      </c>
      <c r="P141" s="6">
        <f t="shared" si="19"/>
        <v>243109.5</v>
      </c>
      <c r="Q141" s="3" t="str">
        <f t="shared" si="20"/>
        <v>Excellent</v>
      </c>
      <c r="R141" s="3">
        <f t="shared" si="21"/>
        <v>4583</v>
      </c>
      <c r="S141" s="7">
        <f t="shared" si="22"/>
        <v>82494</v>
      </c>
      <c r="T141" s="3" t="str">
        <f t="shared" si="23"/>
        <v>High Profit</v>
      </c>
      <c r="U141" s="3" t="str">
        <f t="shared" si="24"/>
        <v>High Discount</v>
      </c>
      <c r="V141" s="3" t="str">
        <f t="shared" si="25"/>
        <v>Priority C</v>
      </c>
      <c r="W141">
        <f t="shared" si="26"/>
        <v>19765</v>
      </c>
      <c r="X141" t="s">
        <v>23</v>
      </c>
      <c r="Y141" t="s">
        <v>23</v>
      </c>
      <c r="Z141" t="s">
        <v>23</v>
      </c>
      <c r="AA141" t="s">
        <v>23</v>
      </c>
      <c r="AB141" t="s">
        <v>23</v>
      </c>
      <c r="AC141" t="s">
        <v>23</v>
      </c>
      <c r="AD141" t="s">
        <v>23</v>
      </c>
      <c r="AE141" t="s">
        <v>23</v>
      </c>
      <c r="AF141" t="s">
        <v>23</v>
      </c>
      <c r="AG141" t="s">
        <v>23</v>
      </c>
      <c r="AH141" t="s">
        <v>23</v>
      </c>
      <c r="AI141" t="s">
        <v>23</v>
      </c>
      <c r="AJ141" t="s">
        <v>23</v>
      </c>
    </row>
    <row r="142" spans="1:36" x14ac:dyDescent="0.35">
      <c r="A142" s="2">
        <v>1140</v>
      </c>
      <c r="B142" s="4">
        <v>45154</v>
      </c>
      <c r="C142" s="1" t="s">
        <v>38</v>
      </c>
      <c r="D142" s="1" t="s">
        <v>31</v>
      </c>
      <c r="E142">
        <v>178708</v>
      </c>
      <c r="F142">
        <v>4</v>
      </c>
      <c r="G142" s="1" t="s">
        <v>26</v>
      </c>
      <c r="H142">
        <v>55448</v>
      </c>
      <c r="I142">
        <v>58024</v>
      </c>
      <c r="J142" s="1" t="s">
        <v>27</v>
      </c>
      <c r="K142" s="3">
        <v>0</v>
      </c>
      <c r="L142" s="1" t="s">
        <v>40</v>
      </c>
      <c r="M142" s="1" t="s">
        <v>29</v>
      </c>
      <c r="N142" s="3">
        <v>2024010123</v>
      </c>
      <c r="O142" s="3">
        <f t="shared" si="18"/>
        <v>1.23</v>
      </c>
      <c r="P142" s="6">
        <f t="shared" si="19"/>
        <v>219810.84</v>
      </c>
      <c r="Q142" s="3" t="str">
        <f t="shared" si="20"/>
        <v>Excellent</v>
      </c>
      <c r="R142" s="3">
        <f t="shared" si="21"/>
        <v>2576</v>
      </c>
      <c r="S142" s="7">
        <f t="shared" si="22"/>
        <v>10304</v>
      </c>
      <c r="T142" s="3" t="str">
        <f t="shared" si="23"/>
        <v>High Profit</v>
      </c>
      <c r="U142" s="3" t="str">
        <f t="shared" si="24"/>
        <v>No Discount</v>
      </c>
      <c r="V142" s="3" t="str">
        <f t="shared" si="25"/>
        <v>Priority D</v>
      </c>
      <c r="W142">
        <f t="shared" si="26"/>
        <v>26806.2</v>
      </c>
      <c r="X142" t="s">
        <v>23</v>
      </c>
      <c r="Y142" t="s">
        <v>23</v>
      </c>
      <c r="Z142" t="s">
        <v>23</v>
      </c>
      <c r="AA142" t="s">
        <v>23</v>
      </c>
      <c r="AB142" t="s">
        <v>23</v>
      </c>
      <c r="AC142" t="s">
        <v>23</v>
      </c>
      <c r="AD142" t="s">
        <v>23</v>
      </c>
      <c r="AE142" t="s">
        <v>23</v>
      </c>
      <c r="AF142" t="s">
        <v>23</v>
      </c>
      <c r="AG142" t="s">
        <v>23</v>
      </c>
      <c r="AH142" t="s">
        <v>23</v>
      </c>
      <c r="AI142" t="s">
        <v>23</v>
      </c>
      <c r="AJ142" t="s">
        <v>23</v>
      </c>
    </row>
    <row r="143" spans="1:36" x14ac:dyDescent="0.35">
      <c r="A143" s="2">
        <v>1141</v>
      </c>
      <c r="B143" s="4">
        <v>45174</v>
      </c>
      <c r="C143" s="1" t="s">
        <v>24</v>
      </c>
      <c r="D143" s="1" t="s">
        <v>43</v>
      </c>
      <c r="E143">
        <v>154919</v>
      </c>
      <c r="F143">
        <v>12</v>
      </c>
      <c r="G143" s="1" t="s">
        <v>26</v>
      </c>
      <c r="H143">
        <v>51850</v>
      </c>
      <c r="I143">
        <v>54165</v>
      </c>
      <c r="J143" s="1" t="s">
        <v>27</v>
      </c>
      <c r="K143" s="3">
        <v>3</v>
      </c>
      <c r="L143" s="1" t="s">
        <v>40</v>
      </c>
      <c r="M143" s="1" t="s">
        <v>37</v>
      </c>
      <c r="N143" s="3">
        <v>2024010123</v>
      </c>
      <c r="O143" s="3">
        <f t="shared" si="18"/>
        <v>1.23</v>
      </c>
      <c r="P143" s="6">
        <f t="shared" si="19"/>
        <v>190550.37</v>
      </c>
      <c r="Q143" s="3" t="str">
        <f t="shared" si="20"/>
        <v>Excellent</v>
      </c>
      <c r="R143" s="3">
        <f t="shared" si="21"/>
        <v>2315</v>
      </c>
      <c r="S143" s="7">
        <f t="shared" si="22"/>
        <v>27780</v>
      </c>
      <c r="T143" s="3" t="str">
        <f t="shared" si="23"/>
        <v>High Profit</v>
      </c>
      <c r="U143" s="3" t="str">
        <f t="shared" si="24"/>
        <v>Low Discount</v>
      </c>
      <c r="V143" s="3" t="str">
        <f t="shared" si="25"/>
        <v>Priority C</v>
      </c>
      <c r="W143">
        <f t="shared" si="26"/>
        <v>23237.85</v>
      </c>
      <c r="X143" t="s">
        <v>23</v>
      </c>
      <c r="Y143" t="s">
        <v>23</v>
      </c>
      <c r="Z143" t="s">
        <v>23</v>
      </c>
      <c r="AA143" t="s">
        <v>23</v>
      </c>
      <c r="AB143" t="s">
        <v>23</v>
      </c>
      <c r="AC143" t="s">
        <v>23</v>
      </c>
      <c r="AD143" t="s">
        <v>23</v>
      </c>
      <c r="AE143" t="s">
        <v>23</v>
      </c>
      <c r="AF143" t="s">
        <v>23</v>
      </c>
      <c r="AG143" t="s">
        <v>23</v>
      </c>
      <c r="AH143" t="s">
        <v>23</v>
      </c>
      <c r="AI143" t="s">
        <v>23</v>
      </c>
      <c r="AJ143" t="s">
        <v>23</v>
      </c>
    </row>
    <row r="144" spans="1:36" x14ac:dyDescent="0.35">
      <c r="A144" s="2">
        <v>1142</v>
      </c>
      <c r="B144" s="4">
        <v>45212</v>
      </c>
      <c r="C144" s="1" t="s">
        <v>24</v>
      </c>
      <c r="D144" s="1" t="s">
        <v>43</v>
      </c>
      <c r="E144">
        <v>207000</v>
      </c>
      <c r="F144">
        <v>12</v>
      </c>
      <c r="G144" s="1" t="s">
        <v>32</v>
      </c>
      <c r="H144">
        <v>53912</v>
      </c>
      <c r="I144">
        <v>57894</v>
      </c>
      <c r="J144" s="1" t="s">
        <v>33</v>
      </c>
      <c r="K144" s="3">
        <v>2</v>
      </c>
      <c r="L144" s="1" t="s">
        <v>28</v>
      </c>
      <c r="M144" s="1" t="s">
        <v>29</v>
      </c>
      <c r="N144" s="3">
        <v>2024010123</v>
      </c>
      <c r="O144" s="3">
        <f t="shared" si="18"/>
        <v>1.23</v>
      </c>
      <c r="P144" s="6">
        <f t="shared" si="19"/>
        <v>254610</v>
      </c>
      <c r="Q144" s="3" t="str">
        <f t="shared" si="20"/>
        <v>Excellent</v>
      </c>
      <c r="R144" s="3">
        <f t="shared" si="21"/>
        <v>3982</v>
      </c>
      <c r="S144" s="7">
        <f t="shared" si="22"/>
        <v>47784</v>
      </c>
      <c r="T144" s="3" t="str">
        <f t="shared" si="23"/>
        <v>High Profit</v>
      </c>
      <c r="U144" s="3" t="str">
        <f t="shared" si="24"/>
        <v>Low Discount</v>
      </c>
      <c r="V144" s="3" t="str">
        <f t="shared" si="25"/>
        <v>Priority D</v>
      </c>
      <c r="W144">
        <f t="shared" si="26"/>
        <v>20700</v>
      </c>
      <c r="X144" t="s">
        <v>23</v>
      </c>
      <c r="Y144" t="s">
        <v>23</v>
      </c>
      <c r="Z144" t="s">
        <v>23</v>
      </c>
      <c r="AA144" t="s">
        <v>23</v>
      </c>
      <c r="AB144" t="s">
        <v>23</v>
      </c>
      <c r="AC144" t="s">
        <v>23</v>
      </c>
      <c r="AD144" t="s">
        <v>23</v>
      </c>
      <c r="AE144" t="s">
        <v>23</v>
      </c>
      <c r="AF144" t="s">
        <v>23</v>
      </c>
      <c r="AG144" t="s">
        <v>23</v>
      </c>
      <c r="AH144" t="s">
        <v>23</v>
      </c>
      <c r="AI144" t="s">
        <v>23</v>
      </c>
      <c r="AJ144" t="s">
        <v>23</v>
      </c>
    </row>
    <row r="145" spans="1:36" x14ac:dyDescent="0.35">
      <c r="A145" s="2">
        <v>1143</v>
      </c>
      <c r="B145" s="4">
        <v>45283</v>
      </c>
      <c r="C145" s="1" t="s">
        <v>30</v>
      </c>
      <c r="D145" s="1" t="s">
        <v>42</v>
      </c>
      <c r="E145">
        <v>781589</v>
      </c>
      <c r="F145">
        <v>4</v>
      </c>
      <c r="G145" s="1" t="s">
        <v>39</v>
      </c>
      <c r="H145">
        <v>24530</v>
      </c>
      <c r="I145">
        <v>27806</v>
      </c>
      <c r="J145" s="1" t="s">
        <v>33</v>
      </c>
      <c r="K145" s="3">
        <v>12</v>
      </c>
      <c r="L145" s="1" t="s">
        <v>28</v>
      </c>
      <c r="M145" s="1" t="s">
        <v>29</v>
      </c>
      <c r="N145" s="3">
        <v>2024010123</v>
      </c>
      <c r="O145" s="3">
        <f t="shared" si="18"/>
        <v>1.23</v>
      </c>
      <c r="P145" s="6">
        <f t="shared" si="19"/>
        <v>961354.47</v>
      </c>
      <c r="Q145" s="3" t="str">
        <f t="shared" si="20"/>
        <v>Excellent</v>
      </c>
      <c r="R145" s="3">
        <f t="shared" si="21"/>
        <v>3276</v>
      </c>
      <c r="S145" s="7">
        <f t="shared" si="22"/>
        <v>13104</v>
      </c>
      <c r="T145" s="3" t="str">
        <f t="shared" si="23"/>
        <v>High Profit</v>
      </c>
      <c r="U145" s="3" t="str">
        <f t="shared" si="24"/>
        <v>Medium Discount</v>
      </c>
      <c r="V145" s="3" t="str">
        <f t="shared" si="25"/>
        <v>Priority D</v>
      </c>
      <c r="W145">
        <f t="shared" si="26"/>
        <v>78158.900000000009</v>
      </c>
      <c r="X145" t="s">
        <v>23</v>
      </c>
      <c r="Y145" t="s">
        <v>23</v>
      </c>
      <c r="Z145" t="s">
        <v>23</v>
      </c>
      <c r="AA145" t="s">
        <v>23</v>
      </c>
      <c r="AB145" t="s">
        <v>23</v>
      </c>
      <c r="AC145" t="s">
        <v>23</v>
      </c>
      <c r="AD145" t="s">
        <v>23</v>
      </c>
      <c r="AE145" t="s">
        <v>23</v>
      </c>
      <c r="AF145" t="s">
        <v>23</v>
      </c>
      <c r="AG145" t="s">
        <v>23</v>
      </c>
      <c r="AH145" t="s">
        <v>23</v>
      </c>
      <c r="AI145" t="s">
        <v>23</v>
      </c>
      <c r="AJ145" t="s">
        <v>23</v>
      </c>
    </row>
    <row r="146" spans="1:36" x14ac:dyDescent="0.35">
      <c r="A146" s="2">
        <v>1144</v>
      </c>
      <c r="B146" s="4">
        <v>45143</v>
      </c>
      <c r="C146" s="1" t="s">
        <v>41</v>
      </c>
      <c r="D146" s="1" t="s">
        <v>25</v>
      </c>
      <c r="E146">
        <v>910137</v>
      </c>
      <c r="F146">
        <v>12</v>
      </c>
      <c r="G146" s="1" t="s">
        <v>35</v>
      </c>
      <c r="H146">
        <v>38894</v>
      </c>
      <c r="I146">
        <v>40868</v>
      </c>
      <c r="J146" s="1" t="s">
        <v>33</v>
      </c>
      <c r="K146" s="3">
        <v>9</v>
      </c>
      <c r="L146" s="1" t="s">
        <v>28</v>
      </c>
      <c r="M146" s="1" t="s">
        <v>29</v>
      </c>
      <c r="N146" s="3">
        <v>2024010123</v>
      </c>
      <c r="O146" s="3">
        <f t="shared" si="18"/>
        <v>1.23</v>
      </c>
      <c r="P146" s="6">
        <f t="shared" si="19"/>
        <v>1119468.51</v>
      </c>
      <c r="Q146" s="3" t="str">
        <f t="shared" si="20"/>
        <v>Excellent</v>
      </c>
      <c r="R146" s="3">
        <f t="shared" si="21"/>
        <v>1974</v>
      </c>
      <c r="S146" s="7">
        <f t="shared" si="22"/>
        <v>23688</v>
      </c>
      <c r="T146" s="3" t="str">
        <f t="shared" si="23"/>
        <v>High Profit</v>
      </c>
      <c r="U146" s="3" t="str">
        <f t="shared" si="24"/>
        <v>Medium Discount</v>
      </c>
      <c r="V146" s="3" t="str">
        <f t="shared" si="25"/>
        <v>Priority D</v>
      </c>
      <c r="W146">
        <f t="shared" si="26"/>
        <v>91013.700000000012</v>
      </c>
      <c r="X146" t="s">
        <v>23</v>
      </c>
      <c r="Y146" t="s">
        <v>23</v>
      </c>
      <c r="Z146" t="s">
        <v>23</v>
      </c>
      <c r="AA146" t="s">
        <v>23</v>
      </c>
      <c r="AB146" t="s">
        <v>23</v>
      </c>
      <c r="AC146" t="s">
        <v>23</v>
      </c>
      <c r="AD146" t="s">
        <v>23</v>
      </c>
      <c r="AE146" t="s">
        <v>23</v>
      </c>
      <c r="AF146" t="s">
        <v>23</v>
      </c>
      <c r="AG146" t="s">
        <v>23</v>
      </c>
      <c r="AH146" t="s">
        <v>23</v>
      </c>
      <c r="AI146" t="s">
        <v>23</v>
      </c>
      <c r="AJ146" t="s">
        <v>23</v>
      </c>
    </row>
    <row r="147" spans="1:36" x14ac:dyDescent="0.35">
      <c r="A147" s="2">
        <v>1145</v>
      </c>
      <c r="B147" s="4">
        <v>45241</v>
      </c>
      <c r="C147" s="1" t="s">
        <v>38</v>
      </c>
      <c r="D147" s="1" t="s">
        <v>43</v>
      </c>
      <c r="E147">
        <v>187828</v>
      </c>
      <c r="F147">
        <v>12</v>
      </c>
      <c r="G147" s="1" t="s">
        <v>39</v>
      </c>
      <c r="H147">
        <v>40578</v>
      </c>
      <c r="I147">
        <v>44093</v>
      </c>
      <c r="J147" s="1" t="s">
        <v>33</v>
      </c>
      <c r="K147" s="3">
        <v>9</v>
      </c>
      <c r="L147" s="1" t="s">
        <v>28</v>
      </c>
      <c r="M147" s="1" t="s">
        <v>37</v>
      </c>
      <c r="N147" s="3">
        <v>2024010123</v>
      </c>
      <c r="O147" s="3">
        <f t="shared" si="18"/>
        <v>1.23</v>
      </c>
      <c r="P147" s="6">
        <f t="shared" si="19"/>
        <v>231028.44</v>
      </c>
      <c r="Q147" s="3" t="str">
        <f t="shared" si="20"/>
        <v>Excellent</v>
      </c>
      <c r="R147" s="3">
        <f t="shared" si="21"/>
        <v>3515</v>
      </c>
      <c r="S147" s="7">
        <f t="shared" si="22"/>
        <v>42180</v>
      </c>
      <c r="T147" s="3" t="str">
        <f t="shared" si="23"/>
        <v>High Profit</v>
      </c>
      <c r="U147" s="3" t="str">
        <f t="shared" si="24"/>
        <v>Medium Discount</v>
      </c>
      <c r="V147" s="3" t="str">
        <f t="shared" si="25"/>
        <v>Priority C</v>
      </c>
      <c r="W147">
        <f t="shared" si="26"/>
        <v>18782.8</v>
      </c>
      <c r="X147" t="s">
        <v>23</v>
      </c>
      <c r="Y147" t="s">
        <v>23</v>
      </c>
      <c r="Z147" t="s">
        <v>23</v>
      </c>
      <c r="AA147" t="s">
        <v>23</v>
      </c>
      <c r="AB147" t="s">
        <v>23</v>
      </c>
      <c r="AC147" t="s">
        <v>23</v>
      </c>
      <c r="AD147" t="s">
        <v>23</v>
      </c>
      <c r="AE147" t="s">
        <v>23</v>
      </c>
      <c r="AF147" t="s">
        <v>23</v>
      </c>
      <c r="AG147" t="s">
        <v>23</v>
      </c>
      <c r="AH147" t="s">
        <v>23</v>
      </c>
      <c r="AI147" t="s">
        <v>23</v>
      </c>
      <c r="AJ147" t="s">
        <v>23</v>
      </c>
    </row>
    <row r="148" spans="1:36" x14ac:dyDescent="0.35">
      <c r="A148" s="2">
        <v>1146</v>
      </c>
      <c r="B148" s="4">
        <v>44977</v>
      </c>
      <c r="C148" s="1" t="s">
        <v>38</v>
      </c>
      <c r="D148" s="1" t="s">
        <v>25</v>
      </c>
      <c r="E148">
        <v>485958</v>
      </c>
      <c r="F148">
        <v>12</v>
      </c>
      <c r="G148" s="1" t="s">
        <v>32</v>
      </c>
      <c r="H148">
        <v>38172</v>
      </c>
      <c r="I148">
        <v>41508</v>
      </c>
      <c r="J148" s="1" t="s">
        <v>33</v>
      </c>
      <c r="K148" s="3">
        <v>25</v>
      </c>
      <c r="L148" s="1" t="s">
        <v>36</v>
      </c>
      <c r="M148" s="1" t="s">
        <v>37</v>
      </c>
      <c r="N148" s="3">
        <v>2024010123</v>
      </c>
      <c r="O148" s="3">
        <f t="shared" si="18"/>
        <v>1.23</v>
      </c>
      <c r="P148" s="6">
        <f t="shared" si="19"/>
        <v>597728.34</v>
      </c>
      <c r="Q148" s="3" t="str">
        <f t="shared" si="20"/>
        <v>Excellent</v>
      </c>
      <c r="R148" s="3">
        <f t="shared" si="21"/>
        <v>3336</v>
      </c>
      <c r="S148" s="7">
        <f t="shared" si="22"/>
        <v>40032</v>
      </c>
      <c r="T148" s="3" t="str">
        <f t="shared" si="23"/>
        <v>High Profit</v>
      </c>
      <c r="U148" s="3" t="str">
        <f t="shared" si="24"/>
        <v>High Discount</v>
      </c>
      <c r="V148" s="3" t="str">
        <f t="shared" si="25"/>
        <v>Priority C</v>
      </c>
      <c r="W148">
        <f t="shared" si="26"/>
        <v>48595.8</v>
      </c>
      <c r="X148" t="s">
        <v>23</v>
      </c>
      <c r="Y148" t="s">
        <v>23</v>
      </c>
      <c r="Z148" t="s">
        <v>23</v>
      </c>
      <c r="AA148" t="s">
        <v>23</v>
      </c>
      <c r="AB148" t="s">
        <v>23</v>
      </c>
      <c r="AC148" t="s">
        <v>23</v>
      </c>
      <c r="AD148" t="s">
        <v>23</v>
      </c>
      <c r="AE148" t="s">
        <v>23</v>
      </c>
      <c r="AF148" t="s">
        <v>23</v>
      </c>
      <c r="AG148" t="s">
        <v>23</v>
      </c>
      <c r="AH148" t="s">
        <v>23</v>
      </c>
      <c r="AI148" t="s">
        <v>23</v>
      </c>
      <c r="AJ148" t="s">
        <v>23</v>
      </c>
    </row>
    <row r="149" spans="1:36" x14ac:dyDescent="0.35">
      <c r="A149" s="2">
        <v>1147</v>
      </c>
      <c r="B149" s="4">
        <v>45256</v>
      </c>
      <c r="C149" s="1" t="s">
        <v>24</v>
      </c>
      <c r="D149" s="1" t="s">
        <v>31</v>
      </c>
      <c r="E149">
        <v>326876</v>
      </c>
      <c r="F149">
        <v>4</v>
      </c>
      <c r="G149" s="1" t="s">
        <v>39</v>
      </c>
      <c r="H149">
        <v>42752</v>
      </c>
      <c r="I149">
        <v>47459</v>
      </c>
      <c r="J149" s="1" t="s">
        <v>27</v>
      </c>
      <c r="K149" s="3">
        <v>20</v>
      </c>
      <c r="L149" s="1" t="s">
        <v>40</v>
      </c>
      <c r="M149" s="1" t="s">
        <v>37</v>
      </c>
      <c r="N149" s="3">
        <v>2024010123</v>
      </c>
      <c r="O149" s="3">
        <f t="shared" si="18"/>
        <v>1.23</v>
      </c>
      <c r="P149" s="6">
        <f t="shared" si="19"/>
        <v>402057.48</v>
      </c>
      <c r="Q149" s="3" t="str">
        <f t="shared" si="20"/>
        <v>Excellent</v>
      </c>
      <c r="R149" s="3">
        <f t="shared" si="21"/>
        <v>4707</v>
      </c>
      <c r="S149" s="7">
        <f t="shared" si="22"/>
        <v>18828</v>
      </c>
      <c r="T149" s="3" t="str">
        <f t="shared" si="23"/>
        <v>High Profit</v>
      </c>
      <c r="U149" s="3" t="str">
        <f t="shared" si="24"/>
        <v>High Discount</v>
      </c>
      <c r="V149" s="3" t="str">
        <f t="shared" si="25"/>
        <v>Priority C</v>
      </c>
      <c r="W149">
        <f t="shared" si="26"/>
        <v>49031.4</v>
      </c>
      <c r="X149" t="s">
        <v>23</v>
      </c>
      <c r="Y149" t="s">
        <v>23</v>
      </c>
      <c r="Z149" t="s">
        <v>23</v>
      </c>
      <c r="AA149" t="s">
        <v>23</v>
      </c>
      <c r="AB149" t="s">
        <v>23</v>
      </c>
      <c r="AC149" t="s">
        <v>23</v>
      </c>
      <c r="AD149" t="s">
        <v>23</v>
      </c>
      <c r="AE149" t="s">
        <v>23</v>
      </c>
      <c r="AF149" t="s">
        <v>23</v>
      </c>
      <c r="AG149" t="s">
        <v>23</v>
      </c>
      <c r="AH149" t="s">
        <v>23</v>
      </c>
      <c r="AI149" t="s">
        <v>23</v>
      </c>
      <c r="AJ149" t="s">
        <v>23</v>
      </c>
    </row>
    <row r="150" spans="1:36" x14ac:dyDescent="0.35">
      <c r="A150" s="2">
        <v>1148</v>
      </c>
      <c r="B150" s="4">
        <v>45282</v>
      </c>
      <c r="C150" s="1" t="s">
        <v>41</v>
      </c>
      <c r="D150" s="1" t="s">
        <v>42</v>
      </c>
      <c r="E150">
        <v>434920</v>
      </c>
      <c r="F150">
        <v>5</v>
      </c>
      <c r="G150" s="1" t="s">
        <v>39</v>
      </c>
      <c r="H150">
        <v>56721</v>
      </c>
      <c r="I150">
        <v>60215</v>
      </c>
      <c r="J150" s="1" t="s">
        <v>33</v>
      </c>
      <c r="K150" s="3">
        <v>23</v>
      </c>
      <c r="L150" s="1" t="s">
        <v>28</v>
      </c>
      <c r="M150" s="1" t="s">
        <v>29</v>
      </c>
      <c r="N150" s="3">
        <v>2024010123</v>
      </c>
      <c r="O150" s="3">
        <f t="shared" si="18"/>
        <v>1.23</v>
      </c>
      <c r="P150" s="6">
        <f t="shared" si="19"/>
        <v>534951.6</v>
      </c>
      <c r="Q150" s="3" t="str">
        <f t="shared" si="20"/>
        <v>Excellent</v>
      </c>
      <c r="R150" s="3">
        <f t="shared" si="21"/>
        <v>3494</v>
      </c>
      <c r="S150" s="7">
        <f t="shared" si="22"/>
        <v>17470</v>
      </c>
      <c r="T150" s="3" t="str">
        <f t="shared" si="23"/>
        <v>High Profit</v>
      </c>
      <c r="U150" s="3" t="str">
        <f t="shared" si="24"/>
        <v>High Discount</v>
      </c>
      <c r="V150" s="3" t="str">
        <f t="shared" si="25"/>
        <v>Priority D</v>
      </c>
      <c r="W150">
        <f t="shared" si="26"/>
        <v>43492</v>
      </c>
      <c r="X150" t="s">
        <v>23</v>
      </c>
      <c r="Y150" t="s">
        <v>23</v>
      </c>
      <c r="Z150" t="s">
        <v>23</v>
      </c>
      <c r="AA150" t="s">
        <v>23</v>
      </c>
      <c r="AB150" t="s">
        <v>23</v>
      </c>
      <c r="AC150" t="s">
        <v>23</v>
      </c>
      <c r="AD150" t="s">
        <v>23</v>
      </c>
      <c r="AE150" t="s">
        <v>23</v>
      </c>
      <c r="AF150" t="s">
        <v>23</v>
      </c>
      <c r="AG150" t="s">
        <v>23</v>
      </c>
      <c r="AH150" t="s">
        <v>23</v>
      </c>
      <c r="AI150" t="s">
        <v>23</v>
      </c>
      <c r="AJ150" t="s">
        <v>23</v>
      </c>
    </row>
    <row r="151" spans="1:36" x14ac:dyDescent="0.35">
      <c r="A151" s="2">
        <v>1149</v>
      </c>
      <c r="B151" s="4">
        <v>45002</v>
      </c>
      <c r="C151" s="1" t="s">
        <v>41</v>
      </c>
      <c r="D151" s="1" t="s">
        <v>25</v>
      </c>
      <c r="E151">
        <v>213735</v>
      </c>
      <c r="F151">
        <v>12</v>
      </c>
      <c r="G151" s="1" t="s">
        <v>35</v>
      </c>
      <c r="H151">
        <v>58002</v>
      </c>
      <c r="I151">
        <v>59547</v>
      </c>
      <c r="J151" s="1" t="s">
        <v>33</v>
      </c>
      <c r="K151" s="3">
        <v>26</v>
      </c>
      <c r="L151" s="1" t="s">
        <v>36</v>
      </c>
      <c r="M151" s="1" t="s">
        <v>29</v>
      </c>
      <c r="N151" s="3">
        <v>2024010123</v>
      </c>
      <c r="O151" s="3">
        <f t="shared" si="18"/>
        <v>1.23</v>
      </c>
      <c r="P151" s="6">
        <f t="shared" si="19"/>
        <v>262894.05</v>
      </c>
      <c r="Q151" s="3" t="str">
        <f t="shared" si="20"/>
        <v>Excellent</v>
      </c>
      <c r="R151" s="3">
        <f t="shared" si="21"/>
        <v>1545</v>
      </c>
      <c r="S151" s="7">
        <f t="shared" si="22"/>
        <v>18540</v>
      </c>
      <c r="T151" s="3" t="str">
        <f t="shared" si="23"/>
        <v>High Profit</v>
      </c>
      <c r="U151" s="3" t="str">
        <f t="shared" si="24"/>
        <v>High Discount</v>
      </c>
      <c r="V151" s="3" t="str">
        <f t="shared" si="25"/>
        <v>Priority D</v>
      </c>
      <c r="W151">
        <f t="shared" si="26"/>
        <v>21373.5</v>
      </c>
      <c r="X151" t="s">
        <v>23</v>
      </c>
      <c r="Y151" t="s">
        <v>23</v>
      </c>
      <c r="Z151" t="s">
        <v>23</v>
      </c>
      <c r="AA151" t="s">
        <v>23</v>
      </c>
      <c r="AB151" t="s">
        <v>23</v>
      </c>
      <c r="AC151" t="s">
        <v>23</v>
      </c>
      <c r="AD151" t="s">
        <v>23</v>
      </c>
      <c r="AE151" t="s">
        <v>23</v>
      </c>
      <c r="AF151" t="s">
        <v>23</v>
      </c>
      <c r="AG151" t="s">
        <v>23</v>
      </c>
      <c r="AH151" t="s">
        <v>23</v>
      </c>
      <c r="AI151" t="s">
        <v>23</v>
      </c>
      <c r="AJ151" t="s">
        <v>23</v>
      </c>
    </row>
    <row r="152" spans="1:36" x14ac:dyDescent="0.35">
      <c r="A152" s="2">
        <v>1150</v>
      </c>
      <c r="B152" s="4">
        <v>45060</v>
      </c>
      <c r="C152" s="1" t="s">
        <v>24</v>
      </c>
      <c r="D152" s="1" t="s">
        <v>31</v>
      </c>
      <c r="E152">
        <v>403689</v>
      </c>
      <c r="F152">
        <v>39</v>
      </c>
      <c r="G152" s="1" t="s">
        <v>39</v>
      </c>
      <c r="H152">
        <v>15554</v>
      </c>
      <c r="I152">
        <v>23304</v>
      </c>
      <c r="J152" s="1" t="s">
        <v>33</v>
      </c>
      <c r="K152" s="3">
        <v>0</v>
      </c>
      <c r="L152" s="1" t="s">
        <v>28</v>
      </c>
      <c r="M152" s="1" t="s">
        <v>37</v>
      </c>
      <c r="N152" s="3">
        <v>2024010123</v>
      </c>
      <c r="O152" s="3">
        <f t="shared" si="18"/>
        <v>1.23</v>
      </c>
      <c r="P152" s="6">
        <f t="shared" si="19"/>
        <v>496537.47</v>
      </c>
      <c r="Q152" s="3" t="str">
        <f t="shared" si="20"/>
        <v>Excellent</v>
      </c>
      <c r="R152" s="3">
        <f t="shared" si="21"/>
        <v>7750</v>
      </c>
      <c r="S152" s="7">
        <f t="shared" si="22"/>
        <v>302250</v>
      </c>
      <c r="T152" s="3" t="str">
        <f t="shared" si="23"/>
        <v>High Profit</v>
      </c>
      <c r="U152" s="3" t="str">
        <f t="shared" si="24"/>
        <v>No Discount</v>
      </c>
      <c r="V152" s="3" t="str">
        <f t="shared" si="25"/>
        <v>Priority A</v>
      </c>
      <c r="W152">
        <f t="shared" si="26"/>
        <v>40368.9</v>
      </c>
      <c r="X152" t="s">
        <v>23</v>
      </c>
      <c r="Y152" t="s">
        <v>23</v>
      </c>
      <c r="Z152" t="s">
        <v>23</v>
      </c>
      <c r="AA152" t="s">
        <v>23</v>
      </c>
      <c r="AB152" t="s">
        <v>23</v>
      </c>
      <c r="AC152" t="s">
        <v>23</v>
      </c>
      <c r="AD152" t="s">
        <v>23</v>
      </c>
      <c r="AE152" t="s">
        <v>23</v>
      </c>
      <c r="AF152" t="s">
        <v>23</v>
      </c>
      <c r="AG152" t="s">
        <v>23</v>
      </c>
      <c r="AH152" t="s">
        <v>23</v>
      </c>
      <c r="AI152" t="s">
        <v>23</v>
      </c>
      <c r="AJ152" t="s">
        <v>23</v>
      </c>
    </row>
    <row r="153" spans="1:36" x14ac:dyDescent="0.35">
      <c r="A153" s="2">
        <v>1151</v>
      </c>
      <c r="B153" s="4">
        <v>45083</v>
      </c>
      <c r="C153" s="1" t="s">
        <v>30</v>
      </c>
      <c r="D153" s="1" t="s">
        <v>43</v>
      </c>
      <c r="E153">
        <v>163051</v>
      </c>
      <c r="F153">
        <v>23</v>
      </c>
      <c r="G153" s="1" t="s">
        <v>35</v>
      </c>
      <c r="H153">
        <v>21954</v>
      </c>
      <c r="I153">
        <v>30225</v>
      </c>
      <c r="J153" s="1" t="s">
        <v>33</v>
      </c>
      <c r="K153" s="3">
        <v>3</v>
      </c>
      <c r="L153" s="1" t="s">
        <v>36</v>
      </c>
      <c r="M153" s="1" t="s">
        <v>29</v>
      </c>
      <c r="N153" s="3">
        <v>2024010123</v>
      </c>
      <c r="O153" s="3">
        <f t="shared" si="18"/>
        <v>1.23</v>
      </c>
      <c r="P153" s="6">
        <f t="shared" si="19"/>
        <v>200552.73</v>
      </c>
      <c r="Q153" s="3" t="str">
        <f t="shared" si="20"/>
        <v>Excellent</v>
      </c>
      <c r="R153" s="3">
        <f t="shared" si="21"/>
        <v>8271</v>
      </c>
      <c r="S153" s="7">
        <f t="shared" si="22"/>
        <v>190233</v>
      </c>
      <c r="T153" s="3" t="str">
        <f t="shared" si="23"/>
        <v>High Profit</v>
      </c>
      <c r="U153" s="3" t="str">
        <f t="shared" si="24"/>
        <v>Low Discount</v>
      </c>
      <c r="V153" s="3" t="str">
        <f t="shared" si="25"/>
        <v>Priority C</v>
      </c>
      <c r="W153">
        <f t="shared" si="26"/>
        <v>16305.1</v>
      </c>
      <c r="X153" t="s">
        <v>23</v>
      </c>
      <c r="Y153" t="s">
        <v>23</v>
      </c>
      <c r="Z153" t="s">
        <v>23</v>
      </c>
      <c r="AA153" t="s">
        <v>23</v>
      </c>
      <c r="AB153" t="s">
        <v>23</v>
      </c>
      <c r="AC153" t="s">
        <v>23</v>
      </c>
      <c r="AD153" t="s">
        <v>23</v>
      </c>
      <c r="AE153" t="s">
        <v>23</v>
      </c>
      <c r="AF153" t="s">
        <v>23</v>
      </c>
      <c r="AG153" t="s">
        <v>23</v>
      </c>
      <c r="AH153" t="s">
        <v>23</v>
      </c>
      <c r="AI153" t="s">
        <v>23</v>
      </c>
      <c r="AJ153" t="s">
        <v>23</v>
      </c>
    </row>
    <row r="154" spans="1:36" x14ac:dyDescent="0.35">
      <c r="A154" s="2">
        <v>1152</v>
      </c>
      <c r="B154" s="4">
        <v>45134</v>
      </c>
      <c r="C154" s="1" t="s">
        <v>30</v>
      </c>
      <c r="D154" s="1" t="s">
        <v>31</v>
      </c>
      <c r="E154">
        <v>128903</v>
      </c>
      <c r="F154">
        <v>16</v>
      </c>
      <c r="G154" s="1" t="s">
        <v>26</v>
      </c>
      <c r="H154">
        <v>18448</v>
      </c>
      <c r="I154">
        <v>25965</v>
      </c>
      <c r="J154" s="1" t="s">
        <v>33</v>
      </c>
      <c r="K154" s="3">
        <v>2</v>
      </c>
      <c r="L154" s="1" t="s">
        <v>28</v>
      </c>
      <c r="M154" s="1" t="s">
        <v>37</v>
      </c>
      <c r="N154" s="3">
        <v>2024010123</v>
      </c>
      <c r="O154" s="3">
        <f t="shared" si="18"/>
        <v>1.23</v>
      </c>
      <c r="P154" s="6">
        <f t="shared" si="19"/>
        <v>158550.69</v>
      </c>
      <c r="Q154" s="3" t="str">
        <f t="shared" si="20"/>
        <v>Excellent</v>
      </c>
      <c r="R154" s="3">
        <f t="shared" si="21"/>
        <v>7517</v>
      </c>
      <c r="S154" s="7">
        <f t="shared" si="22"/>
        <v>120272</v>
      </c>
      <c r="T154" s="3" t="str">
        <f t="shared" si="23"/>
        <v>High Profit</v>
      </c>
      <c r="U154" s="3" t="str">
        <f t="shared" si="24"/>
        <v>Low Discount</v>
      </c>
      <c r="V154" s="3" t="str">
        <f t="shared" si="25"/>
        <v>Priority C</v>
      </c>
      <c r="W154">
        <f t="shared" si="26"/>
        <v>12890.300000000001</v>
      </c>
      <c r="X154" t="s">
        <v>23</v>
      </c>
      <c r="Y154" t="s">
        <v>23</v>
      </c>
      <c r="Z154" t="s">
        <v>23</v>
      </c>
      <c r="AA154" t="s">
        <v>23</v>
      </c>
      <c r="AB154" t="s">
        <v>23</v>
      </c>
      <c r="AC154" t="s">
        <v>23</v>
      </c>
      <c r="AD154" t="s">
        <v>23</v>
      </c>
      <c r="AE154" t="s">
        <v>23</v>
      </c>
      <c r="AF154" t="s">
        <v>23</v>
      </c>
      <c r="AG154" t="s">
        <v>23</v>
      </c>
      <c r="AH154" t="s">
        <v>23</v>
      </c>
      <c r="AI154" t="s">
        <v>23</v>
      </c>
      <c r="AJ154" t="s">
        <v>23</v>
      </c>
    </row>
    <row r="155" spans="1:36" x14ac:dyDescent="0.35">
      <c r="A155" s="2">
        <v>1153</v>
      </c>
      <c r="B155" s="4">
        <v>45050</v>
      </c>
      <c r="C155" s="1" t="s">
        <v>38</v>
      </c>
      <c r="D155" s="1" t="s">
        <v>42</v>
      </c>
      <c r="E155">
        <v>169218</v>
      </c>
      <c r="F155">
        <v>14</v>
      </c>
      <c r="G155" s="1" t="s">
        <v>26</v>
      </c>
      <c r="H155">
        <v>18989</v>
      </c>
      <c r="I155">
        <v>29846</v>
      </c>
      <c r="J155" s="1" t="s">
        <v>33</v>
      </c>
      <c r="K155" s="3">
        <v>5</v>
      </c>
      <c r="L155" s="1" t="s">
        <v>28</v>
      </c>
      <c r="M155" s="1" t="s">
        <v>37</v>
      </c>
      <c r="N155" s="3">
        <v>2024010123</v>
      </c>
      <c r="O155" s="3">
        <f t="shared" si="18"/>
        <v>1.23</v>
      </c>
      <c r="P155" s="6">
        <f t="shared" si="19"/>
        <v>208138.13999999998</v>
      </c>
      <c r="Q155" s="3" t="str">
        <f t="shared" si="20"/>
        <v>Excellent</v>
      </c>
      <c r="R155" s="3">
        <f t="shared" si="21"/>
        <v>10857</v>
      </c>
      <c r="S155" s="7">
        <f t="shared" si="22"/>
        <v>151998</v>
      </c>
      <c r="T155" s="3" t="str">
        <f t="shared" si="23"/>
        <v>High Profit</v>
      </c>
      <c r="U155" s="3" t="str">
        <f t="shared" si="24"/>
        <v>Medium Discount</v>
      </c>
      <c r="V155" s="3" t="str">
        <f t="shared" si="25"/>
        <v>Priority C</v>
      </c>
      <c r="W155">
        <f t="shared" si="26"/>
        <v>16921.8</v>
      </c>
      <c r="X155" t="s">
        <v>23</v>
      </c>
      <c r="Y155" t="s">
        <v>23</v>
      </c>
      <c r="Z155" t="s">
        <v>23</v>
      </c>
      <c r="AA155" t="s">
        <v>23</v>
      </c>
      <c r="AB155" t="s">
        <v>23</v>
      </c>
      <c r="AC155" t="s">
        <v>23</v>
      </c>
      <c r="AD155" t="s">
        <v>23</v>
      </c>
      <c r="AE155" t="s">
        <v>23</v>
      </c>
      <c r="AF155" t="s">
        <v>23</v>
      </c>
      <c r="AG155" t="s">
        <v>23</v>
      </c>
      <c r="AH155" t="s">
        <v>23</v>
      </c>
      <c r="AI155" t="s">
        <v>23</v>
      </c>
      <c r="AJ155" t="s">
        <v>23</v>
      </c>
    </row>
    <row r="156" spans="1:36" x14ac:dyDescent="0.35">
      <c r="A156" s="2">
        <v>1154</v>
      </c>
      <c r="B156" s="4">
        <v>45010</v>
      </c>
      <c r="C156" s="1" t="s">
        <v>24</v>
      </c>
      <c r="D156" s="1" t="s">
        <v>42</v>
      </c>
      <c r="E156">
        <v>993517</v>
      </c>
      <c r="F156">
        <v>24</v>
      </c>
      <c r="G156" s="1" t="s">
        <v>35</v>
      </c>
      <c r="H156">
        <v>22089</v>
      </c>
      <c r="I156">
        <v>29207</v>
      </c>
      <c r="J156" s="1" t="s">
        <v>33</v>
      </c>
      <c r="K156" s="3">
        <v>9</v>
      </c>
      <c r="L156" s="1" t="s">
        <v>28</v>
      </c>
      <c r="M156" s="1" t="s">
        <v>29</v>
      </c>
      <c r="N156" s="3">
        <v>2024010123</v>
      </c>
      <c r="O156" s="3">
        <f t="shared" si="18"/>
        <v>1.23</v>
      </c>
      <c r="P156" s="6">
        <f t="shared" si="19"/>
        <v>1222025.9099999999</v>
      </c>
      <c r="Q156" s="3" t="str">
        <f t="shared" si="20"/>
        <v>Excellent</v>
      </c>
      <c r="R156" s="3">
        <f t="shared" si="21"/>
        <v>7118</v>
      </c>
      <c r="S156" s="7">
        <f t="shared" si="22"/>
        <v>170832</v>
      </c>
      <c r="T156" s="3" t="str">
        <f t="shared" si="23"/>
        <v>High Profit</v>
      </c>
      <c r="U156" s="3" t="str">
        <f t="shared" si="24"/>
        <v>Medium Discount</v>
      </c>
      <c r="V156" s="3" t="str">
        <f t="shared" si="25"/>
        <v>Priority C</v>
      </c>
      <c r="W156">
        <f t="shared" si="26"/>
        <v>99351.700000000012</v>
      </c>
      <c r="X156" t="s">
        <v>23</v>
      </c>
      <c r="Y156" t="s">
        <v>23</v>
      </c>
      <c r="Z156" t="s">
        <v>23</v>
      </c>
      <c r="AA156" t="s">
        <v>23</v>
      </c>
      <c r="AB156" t="s">
        <v>23</v>
      </c>
      <c r="AC156" t="s">
        <v>23</v>
      </c>
      <c r="AD156" t="s">
        <v>23</v>
      </c>
      <c r="AE156" t="s">
        <v>23</v>
      </c>
      <c r="AF156" t="s">
        <v>23</v>
      </c>
      <c r="AG156" t="s">
        <v>23</v>
      </c>
      <c r="AH156" t="s">
        <v>23</v>
      </c>
      <c r="AI156" t="s">
        <v>23</v>
      </c>
      <c r="AJ156" t="s">
        <v>23</v>
      </c>
    </row>
    <row r="157" spans="1:36" x14ac:dyDescent="0.35">
      <c r="A157" s="2">
        <v>1155</v>
      </c>
      <c r="B157" s="4">
        <v>44983</v>
      </c>
      <c r="C157" s="1" t="s">
        <v>34</v>
      </c>
      <c r="D157" s="1" t="s">
        <v>43</v>
      </c>
      <c r="E157">
        <v>422156</v>
      </c>
      <c r="F157">
        <v>44</v>
      </c>
      <c r="G157" s="1" t="s">
        <v>32</v>
      </c>
      <c r="H157">
        <v>27341</v>
      </c>
      <c r="I157">
        <v>36929</v>
      </c>
      <c r="J157" s="1" t="s">
        <v>33</v>
      </c>
      <c r="K157" s="3">
        <v>12</v>
      </c>
      <c r="L157" s="1" t="s">
        <v>40</v>
      </c>
      <c r="M157" s="1" t="s">
        <v>37</v>
      </c>
      <c r="N157" s="3">
        <v>2024010123</v>
      </c>
      <c r="O157" s="3">
        <f t="shared" si="18"/>
        <v>1.23</v>
      </c>
      <c r="P157" s="6">
        <f t="shared" si="19"/>
        <v>519251.88</v>
      </c>
      <c r="Q157" s="3" t="str">
        <f t="shared" si="20"/>
        <v>Excellent</v>
      </c>
      <c r="R157" s="3">
        <f t="shared" si="21"/>
        <v>9588</v>
      </c>
      <c r="S157" s="7">
        <f t="shared" si="22"/>
        <v>421872</v>
      </c>
      <c r="T157" s="3" t="str">
        <f t="shared" si="23"/>
        <v>High Profit</v>
      </c>
      <c r="U157" s="3" t="str">
        <f t="shared" si="24"/>
        <v>Medium Discount</v>
      </c>
      <c r="V157" s="3" t="str">
        <f t="shared" si="25"/>
        <v>Priority B</v>
      </c>
      <c r="W157">
        <f t="shared" si="26"/>
        <v>42215.600000000006</v>
      </c>
      <c r="X157" t="s">
        <v>23</v>
      </c>
      <c r="Y157" t="s">
        <v>23</v>
      </c>
      <c r="Z157" t="s">
        <v>23</v>
      </c>
      <c r="AA157" t="s">
        <v>23</v>
      </c>
      <c r="AB157" t="s">
        <v>23</v>
      </c>
      <c r="AC157" t="s">
        <v>23</v>
      </c>
      <c r="AD157" t="s">
        <v>23</v>
      </c>
      <c r="AE157" t="s">
        <v>23</v>
      </c>
      <c r="AF157" t="s">
        <v>23</v>
      </c>
      <c r="AG157" t="s">
        <v>23</v>
      </c>
      <c r="AH157" t="s">
        <v>23</v>
      </c>
      <c r="AI157" t="s">
        <v>23</v>
      </c>
      <c r="AJ157" t="s">
        <v>23</v>
      </c>
    </row>
    <row r="158" spans="1:36" x14ac:dyDescent="0.35">
      <c r="A158" s="2">
        <v>1156</v>
      </c>
      <c r="B158" s="4">
        <v>45032</v>
      </c>
      <c r="C158" s="1" t="s">
        <v>30</v>
      </c>
      <c r="D158" s="1" t="s">
        <v>31</v>
      </c>
      <c r="E158">
        <v>627237</v>
      </c>
      <c r="F158">
        <v>30</v>
      </c>
      <c r="G158" s="1" t="s">
        <v>39</v>
      </c>
      <c r="H158">
        <v>16104</v>
      </c>
      <c r="I158">
        <v>26572</v>
      </c>
      <c r="J158" s="1" t="s">
        <v>27</v>
      </c>
      <c r="K158" s="3">
        <v>26</v>
      </c>
      <c r="L158" s="1" t="s">
        <v>36</v>
      </c>
      <c r="M158" s="1" t="s">
        <v>29</v>
      </c>
      <c r="N158" s="3">
        <v>2024010123</v>
      </c>
      <c r="O158" s="3">
        <f t="shared" si="18"/>
        <v>1.23</v>
      </c>
      <c r="P158" s="6">
        <f t="shared" si="19"/>
        <v>771501.51</v>
      </c>
      <c r="Q158" s="3" t="str">
        <f t="shared" si="20"/>
        <v>Excellent</v>
      </c>
      <c r="R158" s="3">
        <f t="shared" si="21"/>
        <v>10468</v>
      </c>
      <c r="S158" s="7">
        <f t="shared" si="22"/>
        <v>314040</v>
      </c>
      <c r="T158" s="3" t="str">
        <f t="shared" si="23"/>
        <v>High Profit</v>
      </c>
      <c r="U158" s="3" t="str">
        <f t="shared" si="24"/>
        <v>High Discount</v>
      </c>
      <c r="V158" s="3" t="str">
        <f t="shared" si="25"/>
        <v>Priority B</v>
      </c>
      <c r="W158">
        <f t="shared" si="26"/>
        <v>94085.55</v>
      </c>
      <c r="X158" t="s">
        <v>23</v>
      </c>
      <c r="Y158" t="s">
        <v>23</v>
      </c>
      <c r="Z158" t="s">
        <v>23</v>
      </c>
      <c r="AA158" t="s">
        <v>23</v>
      </c>
      <c r="AB158" t="s">
        <v>23</v>
      </c>
      <c r="AC158" t="s">
        <v>23</v>
      </c>
      <c r="AD158" t="s">
        <v>23</v>
      </c>
      <c r="AE158" t="s">
        <v>23</v>
      </c>
      <c r="AF158" t="s">
        <v>23</v>
      </c>
      <c r="AG158" t="s">
        <v>23</v>
      </c>
      <c r="AH158" t="s">
        <v>23</v>
      </c>
      <c r="AI158" t="s">
        <v>23</v>
      </c>
      <c r="AJ158" t="s">
        <v>23</v>
      </c>
    </row>
    <row r="159" spans="1:36" x14ac:dyDescent="0.35">
      <c r="A159" s="2">
        <v>1157</v>
      </c>
      <c r="B159" s="4">
        <v>45155</v>
      </c>
      <c r="C159" s="1" t="s">
        <v>38</v>
      </c>
      <c r="D159" s="1" t="s">
        <v>42</v>
      </c>
      <c r="E159">
        <v>453330</v>
      </c>
      <c r="F159">
        <v>15</v>
      </c>
      <c r="G159" s="1" t="s">
        <v>39</v>
      </c>
      <c r="H159">
        <v>28721</v>
      </c>
      <c r="I159">
        <v>37301</v>
      </c>
      <c r="J159" s="1" t="s">
        <v>33</v>
      </c>
      <c r="K159" s="3">
        <v>16</v>
      </c>
      <c r="L159" s="1" t="s">
        <v>40</v>
      </c>
      <c r="M159" s="1" t="s">
        <v>29</v>
      </c>
      <c r="N159" s="3">
        <v>2024010123</v>
      </c>
      <c r="O159" s="3">
        <f t="shared" si="18"/>
        <v>1.23</v>
      </c>
      <c r="P159" s="6">
        <f t="shared" si="19"/>
        <v>557595.9</v>
      </c>
      <c r="Q159" s="3" t="str">
        <f t="shared" si="20"/>
        <v>Excellent</v>
      </c>
      <c r="R159" s="3">
        <f t="shared" si="21"/>
        <v>8580</v>
      </c>
      <c r="S159" s="7">
        <f t="shared" si="22"/>
        <v>128700</v>
      </c>
      <c r="T159" s="3" t="str">
        <f t="shared" si="23"/>
        <v>High Profit</v>
      </c>
      <c r="U159" s="3" t="str">
        <f t="shared" si="24"/>
        <v>High Discount</v>
      </c>
      <c r="V159" s="3" t="str">
        <f t="shared" si="25"/>
        <v>Priority C</v>
      </c>
      <c r="W159">
        <f t="shared" si="26"/>
        <v>45333</v>
      </c>
      <c r="X159" t="s">
        <v>23</v>
      </c>
      <c r="Y159" t="s">
        <v>23</v>
      </c>
      <c r="Z159" t="s">
        <v>23</v>
      </c>
      <c r="AA159" t="s">
        <v>23</v>
      </c>
      <c r="AB159" t="s">
        <v>23</v>
      </c>
      <c r="AC159" t="s">
        <v>23</v>
      </c>
      <c r="AD159" t="s">
        <v>23</v>
      </c>
      <c r="AE159" t="s">
        <v>23</v>
      </c>
      <c r="AF159" t="s">
        <v>23</v>
      </c>
      <c r="AG159" t="s">
        <v>23</v>
      </c>
      <c r="AH159" t="s">
        <v>23</v>
      </c>
      <c r="AI159" t="s">
        <v>23</v>
      </c>
      <c r="AJ159" t="s">
        <v>23</v>
      </c>
    </row>
    <row r="160" spans="1:36" x14ac:dyDescent="0.35">
      <c r="A160" s="2">
        <v>1158</v>
      </c>
      <c r="B160" s="4">
        <v>45255</v>
      </c>
      <c r="C160" s="1" t="s">
        <v>41</v>
      </c>
      <c r="D160" s="1" t="s">
        <v>42</v>
      </c>
      <c r="E160">
        <v>314154</v>
      </c>
      <c r="F160">
        <v>23</v>
      </c>
      <c r="G160" s="1" t="s">
        <v>26</v>
      </c>
      <c r="H160">
        <v>19812</v>
      </c>
      <c r="I160">
        <v>27261</v>
      </c>
      <c r="J160" s="1" t="s">
        <v>33</v>
      </c>
      <c r="K160" s="3">
        <v>29</v>
      </c>
      <c r="L160" s="1" t="s">
        <v>36</v>
      </c>
      <c r="M160" s="1" t="s">
        <v>37</v>
      </c>
      <c r="N160" s="3">
        <v>2024010123</v>
      </c>
      <c r="O160" s="3">
        <f t="shared" si="18"/>
        <v>1.23</v>
      </c>
      <c r="P160" s="6">
        <f t="shared" si="19"/>
        <v>386409.42</v>
      </c>
      <c r="Q160" s="3" t="str">
        <f t="shared" si="20"/>
        <v>Excellent</v>
      </c>
      <c r="R160" s="3">
        <f t="shared" si="21"/>
        <v>7449</v>
      </c>
      <c r="S160" s="7">
        <f t="shared" si="22"/>
        <v>171327</v>
      </c>
      <c r="T160" s="3" t="str">
        <f t="shared" si="23"/>
        <v>High Profit</v>
      </c>
      <c r="U160" s="3" t="str">
        <f t="shared" si="24"/>
        <v>High Discount</v>
      </c>
      <c r="V160" s="3" t="str">
        <f t="shared" si="25"/>
        <v>Priority C</v>
      </c>
      <c r="W160">
        <f t="shared" si="26"/>
        <v>31415.4</v>
      </c>
      <c r="X160" t="s">
        <v>23</v>
      </c>
      <c r="Y160" t="s">
        <v>23</v>
      </c>
      <c r="Z160" t="s">
        <v>23</v>
      </c>
      <c r="AA160" t="s">
        <v>23</v>
      </c>
      <c r="AB160" t="s">
        <v>23</v>
      </c>
      <c r="AC160" t="s">
        <v>23</v>
      </c>
      <c r="AD160" t="s">
        <v>23</v>
      </c>
      <c r="AE160" t="s">
        <v>23</v>
      </c>
      <c r="AF160" t="s">
        <v>23</v>
      </c>
      <c r="AG160" t="s">
        <v>23</v>
      </c>
      <c r="AH160" t="s">
        <v>23</v>
      </c>
      <c r="AI160" t="s">
        <v>23</v>
      </c>
      <c r="AJ160" t="s">
        <v>23</v>
      </c>
    </row>
    <row r="161" spans="1:36" x14ac:dyDescent="0.35">
      <c r="A161" s="2">
        <v>1159</v>
      </c>
      <c r="B161" s="4">
        <v>45153</v>
      </c>
      <c r="C161" s="1" t="s">
        <v>30</v>
      </c>
      <c r="D161" s="1" t="s">
        <v>42</v>
      </c>
      <c r="E161">
        <v>91462</v>
      </c>
      <c r="F161">
        <v>12</v>
      </c>
      <c r="G161" s="1" t="s">
        <v>39</v>
      </c>
      <c r="H161">
        <v>12962</v>
      </c>
      <c r="I161">
        <v>25028</v>
      </c>
      <c r="J161" s="1" t="s">
        <v>33</v>
      </c>
      <c r="K161" s="3">
        <v>17</v>
      </c>
      <c r="L161" s="1" t="s">
        <v>36</v>
      </c>
      <c r="M161" s="1" t="s">
        <v>29</v>
      </c>
      <c r="N161" s="3">
        <v>2024010123</v>
      </c>
      <c r="O161" s="3">
        <f t="shared" si="18"/>
        <v>1.23</v>
      </c>
      <c r="P161" s="6">
        <f t="shared" si="19"/>
        <v>112498.26</v>
      </c>
      <c r="Q161" s="3" t="str">
        <f t="shared" si="20"/>
        <v>Excellent</v>
      </c>
      <c r="R161" s="3">
        <f t="shared" si="21"/>
        <v>12066</v>
      </c>
      <c r="S161" s="7">
        <f t="shared" si="22"/>
        <v>144792</v>
      </c>
      <c r="T161" s="3" t="str">
        <f t="shared" si="23"/>
        <v>High Profit</v>
      </c>
      <c r="U161" s="3" t="str">
        <f t="shared" si="24"/>
        <v>High Discount</v>
      </c>
      <c r="V161" s="3" t="str">
        <f t="shared" si="25"/>
        <v>Priority D</v>
      </c>
      <c r="W161">
        <f t="shared" si="26"/>
        <v>9146.2000000000007</v>
      </c>
      <c r="X161" t="s">
        <v>23</v>
      </c>
      <c r="Y161" t="s">
        <v>23</v>
      </c>
      <c r="Z161" t="s">
        <v>23</v>
      </c>
      <c r="AA161" t="s">
        <v>23</v>
      </c>
      <c r="AB161" t="s">
        <v>23</v>
      </c>
      <c r="AC161" t="s">
        <v>23</v>
      </c>
      <c r="AD161" t="s">
        <v>23</v>
      </c>
      <c r="AE161" t="s">
        <v>23</v>
      </c>
      <c r="AF161" t="s">
        <v>23</v>
      </c>
      <c r="AG161" t="s">
        <v>23</v>
      </c>
      <c r="AH161" t="s">
        <v>23</v>
      </c>
      <c r="AI161" t="s">
        <v>23</v>
      </c>
      <c r="AJ161" t="s">
        <v>23</v>
      </c>
    </row>
    <row r="162" spans="1:36" x14ac:dyDescent="0.35">
      <c r="A162" s="2">
        <v>1160</v>
      </c>
      <c r="B162" s="4">
        <v>44944</v>
      </c>
      <c r="C162" s="1" t="s">
        <v>30</v>
      </c>
      <c r="D162" s="1" t="s">
        <v>25</v>
      </c>
      <c r="E162">
        <v>334892</v>
      </c>
      <c r="F162">
        <v>18</v>
      </c>
      <c r="G162" s="1" t="s">
        <v>32</v>
      </c>
      <c r="H162">
        <v>27342</v>
      </c>
      <c r="I162">
        <v>32527</v>
      </c>
      <c r="J162" s="1" t="s">
        <v>33</v>
      </c>
      <c r="K162" s="3">
        <v>0</v>
      </c>
      <c r="L162" s="1" t="s">
        <v>28</v>
      </c>
      <c r="M162" s="1" t="s">
        <v>37</v>
      </c>
      <c r="N162" s="3">
        <v>2024010123</v>
      </c>
      <c r="O162" s="3">
        <f t="shared" si="18"/>
        <v>1.23</v>
      </c>
      <c r="P162" s="6">
        <f t="shared" si="19"/>
        <v>411917.16</v>
      </c>
      <c r="Q162" s="3" t="str">
        <f t="shared" si="20"/>
        <v>Excellent</v>
      </c>
      <c r="R162" s="3">
        <f t="shared" si="21"/>
        <v>5185</v>
      </c>
      <c r="S162" s="7">
        <f t="shared" si="22"/>
        <v>93330</v>
      </c>
      <c r="T162" s="3" t="str">
        <f t="shared" si="23"/>
        <v>High Profit</v>
      </c>
      <c r="U162" s="3" t="str">
        <f t="shared" si="24"/>
        <v>No Discount</v>
      </c>
      <c r="V162" s="3" t="str">
        <f t="shared" si="25"/>
        <v>Priority C</v>
      </c>
      <c r="W162">
        <f t="shared" si="26"/>
        <v>33489.200000000004</v>
      </c>
      <c r="X162" t="s">
        <v>23</v>
      </c>
      <c r="Y162" t="s">
        <v>23</v>
      </c>
      <c r="Z162" t="s">
        <v>23</v>
      </c>
      <c r="AA162" t="s">
        <v>23</v>
      </c>
      <c r="AB162" t="s">
        <v>23</v>
      </c>
      <c r="AC162" t="s">
        <v>23</v>
      </c>
      <c r="AD162" t="s">
        <v>23</v>
      </c>
      <c r="AE162" t="s">
        <v>23</v>
      </c>
      <c r="AF162" t="s">
        <v>23</v>
      </c>
      <c r="AG162" t="s">
        <v>23</v>
      </c>
      <c r="AH162" t="s">
        <v>23</v>
      </c>
      <c r="AI162" t="s">
        <v>23</v>
      </c>
      <c r="AJ162" t="s">
        <v>23</v>
      </c>
    </row>
    <row r="163" spans="1:36" x14ac:dyDescent="0.35">
      <c r="A163" s="2">
        <v>1161</v>
      </c>
      <c r="B163" s="4">
        <v>44980</v>
      </c>
      <c r="C163" s="1" t="s">
        <v>24</v>
      </c>
      <c r="D163" s="1" t="s">
        <v>42</v>
      </c>
      <c r="E163">
        <v>159605</v>
      </c>
      <c r="F163">
        <v>18</v>
      </c>
      <c r="G163" s="1" t="s">
        <v>39</v>
      </c>
      <c r="H163">
        <v>38953</v>
      </c>
      <c r="I163">
        <v>46182</v>
      </c>
      <c r="J163" s="1" t="s">
        <v>33</v>
      </c>
      <c r="K163" s="3">
        <v>2</v>
      </c>
      <c r="L163" s="1" t="s">
        <v>36</v>
      </c>
      <c r="M163" s="1" t="s">
        <v>29</v>
      </c>
      <c r="N163" s="3">
        <v>2024010123</v>
      </c>
      <c r="O163" s="3">
        <f t="shared" si="18"/>
        <v>1.23</v>
      </c>
      <c r="P163" s="6">
        <f t="shared" si="19"/>
        <v>196314.15</v>
      </c>
      <c r="Q163" s="3" t="str">
        <f t="shared" si="20"/>
        <v>Excellent</v>
      </c>
      <c r="R163" s="3">
        <f t="shared" si="21"/>
        <v>7229</v>
      </c>
      <c r="S163" s="7">
        <f t="shared" si="22"/>
        <v>130122</v>
      </c>
      <c r="T163" s="3" t="str">
        <f t="shared" si="23"/>
        <v>High Profit</v>
      </c>
      <c r="U163" s="3" t="str">
        <f t="shared" si="24"/>
        <v>Low Discount</v>
      </c>
      <c r="V163" s="3" t="str">
        <f t="shared" si="25"/>
        <v>Priority C</v>
      </c>
      <c r="W163">
        <f t="shared" si="26"/>
        <v>15960.5</v>
      </c>
      <c r="X163" t="s">
        <v>23</v>
      </c>
      <c r="Y163" t="s">
        <v>23</v>
      </c>
      <c r="Z163" t="s">
        <v>23</v>
      </c>
      <c r="AA163" t="s">
        <v>23</v>
      </c>
      <c r="AB163" t="s">
        <v>23</v>
      </c>
      <c r="AC163" t="s">
        <v>23</v>
      </c>
      <c r="AD163" t="s">
        <v>23</v>
      </c>
      <c r="AE163" t="s">
        <v>23</v>
      </c>
      <c r="AF163" t="s">
        <v>23</v>
      </c>
      <c r="AG163" t="s">
        <v>23</v>
      </c>
      <c r="AH163" t="s">
        <v>23</v>
      </c>
      <c r="AI163" t="s">
        <v>23</v>
      </c>
      <c r="AJ163" t="s">
        <v>23</v>
      </c>
    </row>
    <row r="164" spans="1:36" x14ac:dyDescent="0.35">
      <c r="A164" s="2">
        <v>1162</v>
      </c>
      <c r="B164" s="4">
        <v>45289</v>
      </c>
      <c r="C164" s="1" t="s">
        <v>24</v>
      </c>
      <c r="D164" s="1" t="s">
        <v>43</v>
      </c>
      <c r="E164">
        <v>141169</v>
      </c>
      <c r="F164">
        <v>18</v>
      </c>
      <c r="G164" s="1" t="s">
        <v>26</v>
      </c>
      <c r="H164">
        <v>37974</v>
      </c>
      <c r="I164">
        <v>44855</v>
      </c>
      <c r="J164" s="1" t="s">
        <v>27</v>
      </c>
      <c r="K164" s="3">
        <v>4</v>
      </c>
      <c r="L164" s="1" t="s">
        <v>28</v>
      </c>
      <c r="M164" s="1" t="s">
        <v>37</v>
      </c>
      <c r="N164" s="3">
        <v>2024010123</v>
      </c>
      <c r="O164" s="3">
        <f t="shared" si="18"/>
        <v>1.23</v>
      </c>
      <c r="P164" s="6">
        <f t="shared" si="19"/>
        <v>173637.87</v>
      </c>
      <c r="Q164" s="3" t="str">
        <f t="shared" si="20"/>
        <v>Excellent</v>
      </c>
      <c r="R164" s="3">
        <f t="shared" si="21"/>
        <v>6881</v>
      </c>
      <c r="S164" s="7">
        <f t="shared" si="22"/>
        <v>123858</v>
      </c>
      <c r="T164" s="3" t="str">
        <f t="shared" si="23"/>
        <v>High Profit</v>
      </c>
      <c r="U164" s="3" t="str">
        <f t="shared" si="24"/>
        <v>Low Discount</v>
      </c>
      <c r="V164" s="3" t="str">
        <f t="shared" si="25"/>
        <v>Priority C</v>
      </c>
      <c r="W164">
        <f t="shared" si="26"/>
        <v>21175.35</v>
      </c>
      <c r="X164" t="s">
        <v>23</v>
      </c>
      <c r="Y164" t="s">
        <v>23</v>
      </c>
      <c r="Z164" t="s">
        <v>23</v>
      </c>
      <c r="AA164" t="s">
        <v>23</v>
      </c>
      <c r="AB164" t="s">
        <v>23</v>
      </c>
      <c r="AC164" t="s">
        <v>23</v>
      </c>
      <c r="AD164" t="s">
        <v>23</v>
      </c>
      <c r="AE164" t="s">
        <v>23</v>
      </c>
      <c r="AF164" t="s">
        <v>23</v>
      </c>
      <c r="AG164" t="s">
        <v>23</v>
      </c>
      <c r="AH164" t="s">
        <v>23</v>
      </c>
      <c r="AI164" t="s">
        <v>23</v>
      </c>
      <c r="AJ164" t="s">
        <v>23</v>
      </c>
    </row>
    <row r="165" spans="1:36" x14ac:dyDescent="0.35">
      <c r="A165" s="2">
        <v>1163</v>
      </c>
      <c r="B165" s="4">
        <v>45125</v>
      </c>
      <c r="C165" s="1" t="s">
        <v>30</v>
      </c>
      <c r="D165" s="1" t="s">
        <v>31</v>
      </c>
      <c r="E165">
        <v>872246</v>
      </c>
      <c r="F165">
        <v>18</v>
      </c>
      <c r="G165" s="1" t="s">
        <v>39</v>
      </c>
      <c r="H165">
        <v>44522</v>
      </c>
      <c r="I165">
        <v>52518</v>
      </c>
      <c r="J165" s="1" t="s">
        <v>33</v>
      </c>
      <c r="K165" s="3">
        <v>9</v>
      </c>
      <c r="L165" s="1" t="s">
        <v>28</v>
      </c>
      <c r="M165" s="1" t="s">
        <v>29</v>
      </c>
      <c r="N165" s="3">
        <v>2024010123</v>
      </c>
      <c r="O165" s="3">
        <f t="shared" si="18"/>
        <v>1.23</v>
      </c>
      <c r="P165" s="6">
        <f t="shared" si="19"/>
        <v>1072862.58</v>
      </c>
      <c r="Q165" s="3" t="str">
        <f t="shared" si="20"/>
        <v>Excellent</v>
      </c>
      <c r="R165" s="3">
        <f t="shared" si="21"/>
        <v>7996</v>
      </c>
      <c r="S165" s="7">
        <f t="shared" si="22"/>
        <v>143928</v>
      </c>
      <c r="T165" s="3" t="str">
        <f t="shared" si="23"/>
        <v>High Profit</v>
      </c>
      <c r="U165" s="3" t="str">
        <f t="shared" si="24"/>
        <v>Medium Discount</v>
      </c>
      <c r="V165" s="3" t="str">
        <f t="shared" si="25"/>
        <v>Priority C</v>
      </c>
      <c r="W165">
        <f t="shared" si="26"/>
        <v>87224.6</v>
      </c>
      <c r="X165" t="s">
        <v>23</v>
      </c>
      <c r="Y165" t="s">
        <v>23</v>
      </c>
      <c r="Z165" t="s">
        <v>23</v>
      </c>
      <c r="AA165" t="s">
        <v>23</v>
      </c>
      <c r="AB165" t="s">
        <v>23</v>
      </c>
      <c r="AC165" t="s">
        <v>23</v>
      </c>
      <c r="AD165" t="s">
        <v>23</v>
      </c>
      <c r="AE165" t="s">
        <v>23</v>
      </c>
      <c r="AF165" t="s">
        <v>23</v>
      </c>
      <c r="AG165" t="s">
        <v>23</v>
      </c>
      <c r="AH165" t="s">
        <v>23</v>
      </c>
      <c r="AI165" t="s">
        <v>23</v>
      </c>
      <c r="AJ165" t="s">
        <v>23</v>
      </c>
    </row>
    <row r="166" spans="1:36" x14ac:dyDescent="0.35">
      <c r="A166" s="2">
        <v>1164</v>
      </c>
      <c r="B166" s="4">
        <v>45087</v>
      </c>
      <c r="C166" s="1" t="s">
        <v>38</v>
      </c>
      <c r="D166" s="1" t="s">
        <v>42</v>
      </c>
      <c r="E166">
        <v>120409</v>
      </c>
      <c r="F166">
        <v>18</v>
      </c>
      <c r="G166" s="1" t="s">
        <v>26</v>
      </c>
      <c r="H166">
        <v>34451</v>
      </c>
      <c r="I166">
        <v>38673</v>
      </c>
      <c r="J166" s="1" t="s">
        <v>33</v>
      </c>
      <c r="K166" s="3">
        <v>9</v>
      </c>
      <c r="L166" s="1" t="s">
        <v>28</v>
      </c>
      <c r="M166" s="1" t="s">
        <v>29</v>
      </c>
      <c r="N166" s="3">
        <v>2024010123</v>
      </c>
      <c r="O166" s="3">
        <f t="shared" si="18"/>
        <v>1.23</v>
      </c>
      <c r="P166" s="6">
        <f t="shared" si="19"/>
        <v>148103.07</v>
      </c>
      <c r="Q166" s="3" t="str">
        <f t="shared" si="20"/>
        <v>Excellent</v>
      </c>
      <c r="R166" s="3">
        <f t="shared" si="21"/>
        <v>4222</v>
      </c>
      <c r="S166" s="7">
        <f t="shared" si="22"/>
        <v>75996</v>
      </c>
      <c r="T166" s="3" t="str">
        <f t="shared" si="23"/>
        <v>High Profit</v>
      </c>
      <c r="U166" s="3" t="str">
        <f t="shared" si="24"/>
        <v>Medium Discount</v>
      </c>
      <c r="V166" s="3" t="str">
        <f t="shared" si="25"/>
        <v>Priority C</v>
      </c>
      <c r="W166">
        <f t="shared" si="26"/>
        <v>12040.900000000001</v>
      </c>
      <c r="X166" t="s">
        <v>23</v>
      </c>
      <c r="Y166" t="s">
        <v>23</v>
      </c>
      <c r="Z166" t="s">
        <v>23</v>
      </c>
      <c r="AA166" t="s">
        <v>23</v>
      </c>
      <c r="AB166" t="s">
        <v>23</v>
      </c>
      <c r="AC166" t="s">
        <v>23</v>
      </c>
      <c r="AD166" t="s">
        <v>23</v>
      </c>
      <c r="AE166" t="s">
        <v>23</v>
      </c>
      <c r="AF166" t="s">
        <v>23</v>
      </c>
      <c r="AG166" t="s">
        <v>23</v>
      </c>
      <c r="AH166" t="s">
        <v>23</v>
      </c>
      <c r="AI166" t="s">
        <v>23</v>
      </c>
      <c r="AJ166" t="s">
        <v>23</v>
      </c>
    </row>
    <row r="167" spans="1:36" x14ac:dyDescent="0.35">
      <c r="A167" s="2">
        <v>1165</v>
      </c>
      <c r="B167" s="4">
        <v>45019</v>
      </c>
      <c r="C167" s="1" t="s">
        <v>41</v>
      </c>
      <c r="D167" s="1" t="s">
        <v>43</v>
      </c>
      <c r="E167">
        <v>183171</v>
      </c>
      <c r="F167">
        <v>18</v>
      </c>
      <c r="G167" s="1" t="s">
        <v>39</v>
      </c>
      <c r="H167">
        <v>16981</v>
      </c>
      <c r="I167">
        <v>23121</v>
      </c>
      <c r="J167" s="1" t="s">
        <v>33</v>
      </c>
      <c r="K167" s="3">
        <v>5</v>
      </c>
      <c r="L167" s="1" t="s">
        <v>28</v>
      </c>
      <c r="M167" s="1" t="s">
        <v>37</v>
      </c>
      <c r="N167" s="3">
        <v>2024010123</v>
      </c>
      <c r="O167" s="3">
        <f t="shared" si="18"/>
        <v>1.23</v>
      </c>
      <c r="P167" s="6">
        <f t="shared" si="19"/>
        <v>225300.33</v>
      </c>
      <c r="Q167" s="3" t="str">
        <f t="shared" si="20"/>
        <v>Excellent</v>
      </c>
      <c r="R167" s="3">
        <f t="shared" si="21"/>
        <v>6140</v>
      </c>
      <c r="S167" s="7">
        <f t="shared" si="22"/>
        <v>110520</v>
      </c>
      <c r="T167" s="3" t="str">
        <f t="shared" si="23"/>
        <v>High Profit</v>
      </c>
      <c r="U167" s="3" t="str">
        <f t="shared" si="24"/>
        <v>Medium Discount</v>
      </c>
      <c r="V167" s="3" t="str">
        <f t="shared" si="25"/>
        <v>Priority C</v>
      </c>
      <c r="W167">
        <f t="shared" si="26"/>
        <v>18317.100000000002</v>
      </c>
      <c r="X167" t="s">
        <v>23</v>
      </c>
      <c r="Y167" t="s">
        <v>23</v>
      </c>
      <c r="Z167" t="s">
        <v>23</v>
      </c>
      <c r="AA167" t="s">
        <v>23</v>
      </c>
      <c r="AB167" t="s">
        <v>23</v>
      </c>
      <c r="AC167" t="s">
        <v>23</v>
      </c>
      <c r="AD167" t="s">
        <v>23</v>
      </c>
      <c r="AE167" t="s">
        <v>23</v>
      </c>
      <c r="AF167" t="s">
        <v>23</v>
      </c>
      <c r="AG167" t="s">
        <v>23</v>
      </c>
      <c r="AH167" t="s">
        <v>23</v>
      </c>
      <c r="AI167" t="s">
        <v>23</v>
      </c>
      <c r="AJ167" t="s">
        <v>23</v>
      </c>
    </row>
    <row r="168" spans="1:36" x14ac:dyDescent="0.35">
      <c r="A168" s="2">
        <v>1166</v>
      </c>
      <c r="B168" s="4">
        <v>45096</v>
      </c>
      <c r="C168" s="1" t="s">
        <v>41</v>
      </c>
      <c r="D168" s="1" t="s">
        <v>42</v>
      </c>
      <c r="E168">
        <v>625026</v>
      </c>
      <c r="F168">
        <v>18</v>
      </c>
      <c r="G168" s="1" t="s">
        <v>32</v>
      </c>
      <c r="H168">
        <v>17796</v>
      </c>
      <c r="I168">
        <v>25201</v>
      </c>
      <c r="J168" s="1" t="s">
        <v>27</v>
      </c>
      <c r="K168" s="3">
        <v>28</v>
      </c>
      <c r="L168" s="1" t="s">
        <v>40</v>
      </c>
      <c r="M168" s="1" t="s">
        <v>37</v>
      </c>
      <c r="N168" s="3">
        <v>2024010123</v>
      </c>
      <c r="O168" s="3">
        <f t="shared" si="18"/>
        <v>1.23</v>
      </c>
      <c r="P168" s="6">
        <f t="shared" si="19"/>
        <v>768781.98</v>
      </c>
      <c r="Q168" s="3" t="str">
        <f t="shared" si="20"/>
        <v>Excellent</v>
      </c>
      <c r="R168" s="3">
        <f t="shared" si="21"/>
        <v>7405</v>
      </c>
      <c r="S168" s="7">
        <f t="shared" si="22"/>
        <v>133290</v>
      </c>
      <c r="T168" s="3" t="str">
        <f t="shared" si="23"/>
        <v>High Profit</v>
      </c>
      <c r="U168" s="3" t="str">
        <f t="shared" si="24"/>
        <v>High Discount</v>
      </c>
      <c r="V168" s="3" t="str">
        <f t="shared" si="25"/>
        <v>Priority C</v>
      </c>
      <c r="W168">
        <f t="shared" si="26"/>
        <v>93753.9</v>
      </c>
      <c r="X168" t="s">
        <v>23</v>
      </c>
      <c r="Y168" t="s">
        <v>23</v>
      </c>
      <c r="Z168" t="s">
        <v>23</v>
      </c>
      <c r="AA168" t="s">
        <v>23</v>
      </c>
      <c r="AB168" t="s">
        <v>23</v>
      </c>
      <c r="AC168" t="s">
        <v>23</v>
      </c>
      <c r="AD168" t="s">
        <v>23</v>
      </c>
      <c r="AE168" t="s">
        <v>23</v>
      </c>
      <c r="AF168" t="s">
        <v>23</v>
      </c>
      <c r="AG168" t="s">
        <v>23</v>
      </c>
      <c r="AH168" t="s">
        <v>23</v>
      </c>
      <c r="AI168" t="s">
        <v>23</v>
      </c>
      <c r="AJ168" t="s">
        <v>23</v>
      </c>
    </row>
    <row r="169" spans="1:36" x14ac:dyDescent="0.35">
      <c r="A169" s="2">
        <v>1167</v>
      </c>
      <c r="B169" s="4">
        <v>45230</v>
      </c>
      <c r="C169" s="1" t="s">
        <v>24</v>
      </c>
      <c r="D169" s="1" t="s">
        <v>42</v>
      </c>
      <c r="E169">
        <v>270773</v>
      </c>
      <c r="F169">
        <v>18</v>
      </c>
      <c r="G169" s="1" t="s">
        <v>26</v>
      </c>
      <c r="H169">
        <v>40972</v>
      </c>
      <c r="I169">
        <v>48372</v>
      </c>
      <c r="J169" s="1" t="s">
        <v>33</v>
      </c>
      <c r="K169" s="3">
        <v>19</v>
      </c>
      <c r="L169" s="1" t="s">
        <v>28</v>
      </c>
      <c r="M169" s="1" t="s">
        <v>37</v>
      </c>
      <c r="N169" s="3">
        <v>2024010123</v>
      </c>
      <c r="O169" s="3">
        <f t="shared" si="18"/>
        <v>1.23</v>
      </c>
      <c r="P169" s="6">
        <f t="shared" si="19"/>
        <v>333050.78999999998</v>
      </c>
      <c r="Q169" s="3" t="str">
        <f t="shared" si="20"/>
        <v>Excellent</v>
      </c>
      <c r="R169" s="3">
        <f t="shared" si="21"/>
        <v>7400</v>
      </c>
      <c r="S169" s="7">
        <f t="shared" si="22"/>
        <v>133200</v>
      </c>
      <c r="T169" s="3" t="str">
        <f t="shared" si="23"/>
        <v>High Profit</v>
      </c>
      <c r="U169" s="3" t="str">
        <f t="shared" si="24"/>
        <v>High Discount</v>
      </c>
      <c r="V169" s="3" t="str">
        <f t="shared" si="25"/>
        <v>Priority C</v>
      </c>
      <c r="W169">
        <f t="shared" si="26"/>
        <v>27077.300000000003</v>
      </c>
      <c r="X169" t="s">
        <v>23</v>
      </c>
      <c r="Y169" t="s">
        <v>23</v>
      </c>
      <c r="Z169" t="s">
        <v>23</v>
      </c>
      <c r="AA169" t="s">
        <v>23</v>
      </c>
      <c r="AB169" t="s">
        <v>23</v>
      </c>
      <c r="AC169" t="s">
        <v>23</v>
      </c>
      <c r="AD169" t="s">
        <v>23</v>
      </c>
      <c r="AE169" t="s">
        <v>23</v>
      </c>
      <c r="AF169" t="s">
        <v>23</v>
      </c>
      <c r="AG169" t="s">
        <v>23</v>
      </c>
      <c r="AH169" t="s">
        <v>23</v>
      </c>
      <c r="AI169" t="s">
        <v>23</v>
      </c>
      <c r="AJ169" t="s">
        <v>23</v>
      </c>
    </row>
    <row r="170" spans="1:36" x14ac:dyDescent="0.35">
      <c r="A170" s="2">
        <v>1168</v>
      </c>
      <c r="B170" s="4">
        <v>45103</v>
      </c>
      <c r="C170" s="1" t="s">
        <v>34</v>
      </c>
      <c r="D170" s="1" t="s">
        <v>42</v>
      </c>
      <c r="E170">
        <v>213313</v>
      </c>
      <c r="F170">
        <v>18</v>
      </c>
      <c r="G170" s="1" t="s">
        <v>39</v>
      </c>
      <c r="H170">
        <v>34231</v>
      </c>
      <c r="I170">
        <v>40043</v>
      </c>
      <c r="J170" s="1" t="s">
        <v>33</v>
      </c>
      <c r="K170" s="3">
        <v>27</v>
      </c>
      <c r="L170" s="1" t="s">
        <v>40</v>
      </c>
      <c r="M170" s="1" t="s">
        <v>37</v>
      </c>
      <c r="N170" s="3">
        <v>2024010123</v>
      </c>
      <c r="O170" s="3">
        <f t="shared" si="18"/>
        <v>1.23</v>
      </c>
      <c r="P170" s="6">
        <f t="shared" si="19"/>
        <v>262374.99</v>
      </c>
      <c r="Q170" s="3" t="str">
        <f t="shared" si="20"/>
        <v>Excellent</v>
      </c>
      <c r="R170" s="3">
        <f t="shared" si="21"/>
        <v>5812</v>
      </c>
      <c r="S170" s="7">
        <f t="shared" si="22"/>
        <v>104616</v>
      </c>
      <c r="T170" s="3" t="str">
        <f t="shared" si="23"/>
        <v>High Profit</v>
      </c>
      <c r="U170" s="3" t="str">
        <f t="shared" si="24"/>
        <v>High Discount</v>
      </c>
      <c r="V170" s="3" t="str">
        <f t="shared" si="25"/>
        <v>Priority C</v>
      </c>
      <c r="W170">
        <f t="shared" si="26"/>
        <v>21331.300000000003</v>
      </c>
      <c r="X170" t="s">
        <v>23</v>
      </c>
      <c r="Y170" t="s">
        <v>23</v>
      </c>
      <c r="Z170" t="s">
        <v>23</v>
      </c>
      <c r="AA170" t="s">
        <v>23</v>
      </c>
      <c r="AB170" t="s">
        <v>23</v>
      </c>
      <c r="AC170" t="s">
        <v>23</v>
      </c>
      <c r="AD170" t="s">
        <v>23</v>
      </c>
      <c r="AE170" t="s">
        <v>23</v>
      </c>
      <c r="AF170" t="s">
        <v>23</v>
      </c>
      <c r="AG170" t="s">
        <v>23</v>
      </c>
      <c r="AH170" t="s">
        <v>23</v>
      </c>
      <c r="AI170" t="s">
        <v>23</v>
      </c>
      <c r="AJ170" t="s">
        <v>23</v>
      </c>
    </row>
    <row r="171" spans="1:36" x14ac:dyDescent="0.35">
      <c r="A171" s="2">
        <v>1169</v>
      </c>
      <c r="B171" s="4">
        <v>45111</v>
      </c>
      <c r="C171" s="1" t="s">
        <v>34</v>
      </c>
      <c r="D171" s="1" t="s">
        <v>43</v>
      </c>
      <c r="E171">
        <v>18060</v>
      </c>
      <c r="F171">
        <v>8</v>
      </c>
      <c r="G171" s="1" t="s">
        <v>39</v>
      </c>
      <c r="H171">
        <v>24516</v>
      </c>
      <c r="I171">
        <v>29204</v>
      </c>
      <c r="J171" s="1" t="s">
        <v>33</v>
      </c>
      <c r="K171" s="3">
        <v>19</v>
      </c>
      <c r="L171" s="1" t="s">
        <v>40</v>
      </c>
      <c r="M171" s="1" t="s">
        <v>29</v>
      </c>
      <c r="N171" s="3">
        <v>2024010123</v>
      </c>
      <c r="O171" s="3">
        <f t="shared" si="18"/>
        <v>1.23</v>
      </c>
      <c r="P171" s="6">
        <f t="shared" si="19"/>
        <v>22213.8</v>
      </c>
      <c r="Q171" s="3" t="str">
        <f t="shared" si="20"/>
        <v>Excellent</v>
      </c>
      <c r="R171" s="3">
        <f t="shared" si="21"/>
        <v>4688</v>
      </c>
      <c r="S171" s="7">
        <f t="shared" si="22"/>
        <v>37504</v>
      </c>
      <c r="T171" s="3" t="str">
        <f t="shared" si="23"/>
        <v>High Profit</v>
      </c>
      <c r="U171" s="3" t="str">
        <f t="shared" si="24"/>
        <v>High Discount</v>
      </c>
      <c r="V171" s="3" t="str">
        <f t="shared" si="25"/>
        <v>Priority D</v>
      </c>
      <c r="W171">
        <f t="shared" si="26"/>
        <v>1806</v>
      </c>
      <c r="X171" t="s">
        <v>23</v>
      </c>
      <c r="Y171" t="s">
        <v>23</v>
      </c>
      <c r="Z171" t="s">
        <v>23</v>
      </c>
      <c r="AA171" t="s">
        <v>23</v>
      </c>
      <c r="AB171" t="s">
        <v>23</v>
      </c>
      <c r="AC171" t="s">
        <v>23</v>
      </c>
      <c r="AD171" t="s">
        <v>23</v>
      </c>
      <c r="AE171" t="s">
        <v>23</v>
      </c>
      <c r="AF171" t="s">
        <v>23</v>
      </c>
      <c r="AG171" t="s">
        <v>23</v>
      </c>
      <c r="AH171" t="s">
        <v>23</v>
      </c>
      <c r="AI171" t="s">
        <v>23</v>
      </c>
      <c r="AJ171" t="s">
        <v>23</v>
      </c>
    </row>
    <row r="172" spans="1:36" x14ac:dyDescent="0.35">
      <c r="A172" s="2">
        <v>1170</v>
      </c>
      <c r="B172" s="4">
        <v>45008</v>
      </c>
      <c r="C172" s="1" t="s">
        <v>24</v>
      </c>
      <c r="D172" s="1" t="s">
        <v>31</v>
      </c>
      <c r="E172">
        <v>439831</v>
      </c>
      <c r="F172">
        <v>12</v>
      </c>
      <c r="G172" s="1" t="s">
        <v>35</v>
      </c>
      <c r="H172">
        <v>28603</v>
      </c>
      <c r="I172">
        <v>31569</v>
      </c>
      <c r="J172" s="1" t="s">
        <v>27</v>
      </c>
      <c r="K172" s="3">
        <v>0</v>
      </c>
      <c r="L172" s="1" t="s">
        <v>36</v>
      </c>
      <c r="M172" s="1" t="s">
        <v>37</v>
      </c>
      <c r="N172" s="3">
        <v>2024010123</v>
      </c>
      <c r="O172" s="3">
        <f t="shared" si="18"/>
        <v>1.23</v>
      </c>
      <c r="P172" s="6">
        <f t="shared" si="19"/>
        <v>540992.13</v>
      </c>
      <c r="Q172" s="3" t="str">
        <f t="shared" si="20"/>
        <v>Excellent</v>
      </c>
      <c r="R172" s="3">
        <f t="shared" si="21"/>
        <v>2966</v>
      </c>
      <c r="S172" s="7">
        <f t="shared" si="22"/>
        <v>35592</v>
      </c>
      <c r="T172" s="3" t="str">
        <f t="shared" si="23"/>
        <v>High Profit</v>
      </c>
      <c r="U172" s="3" t="str">
        <f t="shared" si="24"/>
        <v>No Discount</v>
      </c>
      <c r="V172" s="3" t="str">
        <f t="shared" si="25"/>
        <v>Priority C</v>
      </c>
      <c r="W172">
        <f t="shared" si="26"/>
        <v>65974.649999999994</v>
      </c>
      <c r="X172" t="s">
        <v>23</v>
      </c>
      <c r="Y172" t="s">
        <v>23</v>
      </c>
      <c r="Z172" t="s">
        <v>23</v>
      </c>
      <c r="AA172" t="s">
        <v>23</v>
      </c>
      <c r="AB172" t="s">
        <v>23</v>
      </c>
      <c r="AC172" t="s">
        <v>23</v>
      </c>
      <c r="AD172" t="s">
        <v>23</v>
      </c>
      <c r="AE172" t="s">
        <v>23</v>
      </c>
      <c r="AF172" t="s">
        <v>23</v>
      </c>
      <c r="AG172" t="s">
        <v>23</v>
      </c>
      <c r="AH172" t="s">
        <v>23</v>
      </c>
      <c r="AI172" t="s">
        <v>23</v>
      </c>
      <c r="AJ172" t="s">
        <v>23</v>
      </c>
    </row>
    <row r="173" spans="1:36" x14ac:dyDescent="0.35">
      <c r="A173" s="2">
        <v>1171</v>
      </c>
      <c r="B173" s="4">
        <v>45135</v>
      </c>
      <c r="C173" s="1" t="s">
        <v>38</v>
      </c>
      <c r="D173" s="1" t="s">
        <v>31</v>
      </c>
      <c r="E173">
        <v>253371</v>
      </c>
      <c r="F173">
        <v>4</v>
      </c>
      <c r="G173" s="1" t="s">
        <v>32</v>
      </c>
      <c r="H173">
        <v>34162</v>
      </c>
      <c r="I173">
        <v>37061</v>
      </c>
      <c r="J173" s="1" t="s">
        <v>27</v>
      </c>
      <c r="K173" s="3">
        <v>1</v>
      </c>
      <c r="L173" s="1" t="s">
        <v>28</v>
      </c>
      <c r="M173" s="1" t="s">
        <v>37</v>
      </c>
      <c r="N173" s="3">
        <v>2024010123</v>
      </c>
      <c r="O173" s="3">
        <f t="shared" si="18"/>
        <v>1.23</v>
      </c>
      <c r="P173" s="6">
        <f t="shared" si="19"/>
        <v>311646.33</v>
      </c>
      <c r="Q173" s="3" t="str">
        <f t="shared" si="20"/>
        <v>Excellent</v>
      </c>
      <c r="R173" s="3">
        <f t="shared" si="21"/>
        <v>2899</v>
      </c>
      <c r="S173" s="7">
        <f t="shared" si="22"/>
        <v>11596</v>
      </c>
      <c r="T173" s="3" t="str">
        <f t="shared" si="23"/>
        <v>High Profit</v>
      </c>
      <c r="U173" s="3" t="str">
        <f t="shared" si="24"/>
        <v>Low Discount</v>
      </c>
      <c r="V173" s="3" t="str">
        <f t="shared" si="25"/>
        <v>Priority C</v>
      </c>
      <c r="W173">
        <f t="shared" si="26"/>
        <v>38005.65</v>
      </c>
      <c r="X173" t="s">
        <v>23</v>
      </c>
      <c r="Y173" t="s">
        <v>23</v>
      </c>
      <c r="Z173" t="s">
        <v>23</v>
      </c>
      <c r="AA173" t="s">
        <v>23</v>
      </c>
      <c r="AB173" t="s">
        <v>23</v>
      </c>
      <c r="AC173" t="s">
        <v>23</v>
      </c>
      <c r="AD173" t="s">
        <v>23</v>
      </c>
      <c r="AE173" t="s">
        <v>23</v>
      </c>
      <c r="AF173" t="s">
        <v>23</v>
      </c>
      <c r="AG173" t="s">
        <v>23</v>
      </c>
      <c r="AH173" t="s">
        <v>23</v>
      </c>
      <c r="AI173" t="s">
        <v>23</v>
      </c>
      <c r="AJ173" t="s">
        <v>23</v>
      </c>
    </row>
    <row r="174" spans="1:36" x14ac:dyDescent="0.35">
      <c r="A174" s="2">
        <v>1172</v>
      </c>
      <c r="B174" s="4">
        <v>45104</v>
      </c>
      <c r="C174" s="1" t="s">
        <v>30</v>
      </c>
      <c r="D174" s="1" t="s">
        <v>42</v>
      </c>
      <c r="E174">
        <v>288963</v>
      </c>
      <c r="F174">
        <v>12</v>
      </c>
      <c r="G174" s="1" t="s">
        <v>35</v>
      </c>
      <c r="H174">
        <v>59847</v>
      </c>
      <c r="I174">
        <v>61998</v>
      </c>
      <c r="J174" s="1" t="s">
        <v>33</v>
      </c>
      <c r="K174" s="3">
        <v>4</v>
      </c>
      <c r="L174" s="1" t="s">
        <v>36</v>
      </c>
      <c r="M174" s="1" t="s">
        <v>29</v>
      </c>
      <c r="N174" s="3">
        <v>2024010123</v>
      </c>
      <c r="O174" s="3">
        <f t="shared" si="18"/>
        <v>1.23</v>
      </c>
      <c r="P174" s="6">
        <f t="shared" si="19"/>
        <v>355424.49</v>
      </c>
      <c r="Q174" s="3" t="str">
        <f t="shared" si="20"/>
        <v>Excellent</v>
      </c>
      <c r="R174" s="3">
        <f t="shared" si="21"/>
        <v>2151</v>
      </c>
      <c r="S174" s="7">
        <f t="shared" si="22"/>
        <v>25812</v>
      </c>
      <c r="T174" s="3" t="str">
        <f t="shared" si="23"/>
        <v>High Profit</v>
      </c>
      <c r="U174" s="3" t="str">
        <f t="shared" si="24"/>
        <v>Low Discount</v>
      </c>
      <c r="V174" s="3" t="str">
        <f t="shared" si="25"/>
        <v>Priority D</v>
      </c>
      <c r="W174">
        <f t="shared" si="26"/>
        <v>28896.300000000003</v>
      </c>
      <c r="X174" t="s">
        <v>23</v>
      </c>
      <c r="Y174" t="s">
        <v>23</v>
      </c>
      <c r="Z174" t="s">
        <v>23</v>
      </c>
      <c r="AA174" t="s">
        <v>23</v>
      </c>
      <c r="AB174" t="s">
        <v>23</v>
      </c>
      <c r="AC174" t="s">
        <v>23</v>
      </c>
      <c r="AD174" t="s">
        <v>23</v>
      </c>
      <c r="AE174" t="s">
        <v>23</v>
      </c>
      <c r="AF174" t="s">
        <v>23</v>
      </c>
      <c r="AG174" t="s">
        <v>23</v>
      </c>
      <c r="AH174" t="s">
        <v>23</v>
      </c>
      <c r="AI174" t="s">
        <v>23</v>
      </c>
      <c r="AJ174" t="s">
        <v>23</v>
      </c>
    </row>
    <row r="175" spans="1:36" x14ac:dyDescent="0.35">
      <c r="A175" s="2">
        <v>1173</v>
      </c>
      <c r="B175" s="4">
        <v>45159</v>
      </c>
      <c r="C175" s="1" t="s">
        <v>24</v>
      </c>
      <c r="D175" s="1" t="s">
        <v>25</v>
      </c>
      <c r="E175">
        <v>632070</v>
      </c>
      <c r="F175">
        <v>12</v>
      </c>
      <c r="G175" s="1" t="s">
        <v>32</v>
      </c>
      <c r="H175">
        <v>25979</v>
      </c>
      <c r="I175">
        <v>27765</v>
      </c>
      <c r="J175" s="1" t="s">
        <v>27</v>
      </c>
      <c r="K175" s="3">
        <v>6</v>
      </c>
      <c r="L175" s="1" t="s">
        <v>40</v>
      </c>
      <c r="M175" s="1" t="s">
        <v>37</v>
      </c>
      <c r="N175" s="3">
        <v>2024010123</v>
      </c>
      <c r="O175" s="3">
        <f t="shared" si="18"/>
        <v>1.23</v>
      </c>
      <c r="P175" s="6">
        <f t="shared" si="19"/>
        <v>777446.1</v>
      </c>
      <c r="Q175" s="3" t="str">
        <f t="shared" si="20"/>
        <v>Excellent</v>
      </c>
      <c r="R175" s="3">
        <f t="shared" si="21"/>
        <v>1786</v>
      </c>
      <c r="S175" s="7">
        <f t="shared" si="22"/>
        <v>21432</v>
      </c>
      <c r="T175" s="3" t="str">
        <f t="shared" si="23"/>
        <v>High Profit</v>
      </c>
      <c r="U175" s="3" t="str">
        <f t="shared" si="24"/>
        <v>Medium Discount</v>
      </c>
      <c r="V175" s="3" t="str">
        <f t="shared" si="25"/>
        <v>Priority C</v>
      </c>
      <c r="W175">
        <f t="shared" si="26"/>
        <v>94810.5</v>
      </c>
      <c r="X175" t="s">
        <v>23</v>
      </c>
      <c r="Y175" t="s">
        <v>23</v>
      </c>
      <c r="Z175" t="s">
        <v>23</v>
      </c>
      <c r="AA175" t="s">
        <v>23</v>
      </c>
      <c r="AB175" t="s">
        <v>23</v>
      </c>
      <c r="AC175" t="s">
        <v>23</v>
      </c>
      <c r="AD175" t="s">
        <v>23</v>
      </c>
      <c r="AE175" t="s">
        <v>23</v>
      </c>
      <c r="AF175" t="s">
        <v>23</v>
      </c>
      <c r="AG175" t="s">
        <v>23</v>
      </c>
      <c r="AH175" t="s">
        <v>23</v>
      </c>
      <c r="AI175" t="s">
        <v>23</v>
      </c>
      <c r="AJ175" t="s">
        <v>23</v>
      </c>
    </row>
    <row r="176" spans="1:36" x14ac:dyDescent="0.35">
      <c r="A176" s="2">
        <v>1174</v>
      </c>
      <c r="B176" s="4">
        <v>45157</v>
      </c>
      <c r="C176" s="1" t="s">
        <v>34</v>
      </c>
      <c r="D176" s="1" t="s">
        <v>25</v>
      </c>
      <c r="E176">
        <v>450731</v>
      </c>
      <c r="F176">
        <v>12</v>
      </c>
      <c r="G176" s="1" t="s">
        <v>26</v>
      </c>
      <c r="H176">
        <v>49439</v>
      </c>
      <c r="I176">
        <v>53094</v>
      </c>
      <c r="J176" s="1" t="s">
        <v>33</v>
      </c>
      <c r="K176" s="3">
        <v>13</v>
      </c>
      <c r="L176" s="1" t="s">
        <v>40</v>
      </c>
      <c r="M176" s="1" t="s">
        <v>29</v>
      </c>
      <c r="N176" s="3">
        <v>2024010123</v>
      </c>
      <c r="O176" s="3">
        <f t="shared" si="18"/>
        <v>1.23</v>
      </c>
      <c r="P176" s="6">
        <f t="shared" si="19"/>
        <v>554399.13</v>
      </c>
      <c r="Q176" s="3" t="str">
        <f t="shared" si="20"/>
        <v>Excellent</v>
      </c>
      <c r="R176" s="3">
        <f t="shared" si="21"/>
        <v>3655</v>
      </c>
      <c r="S176" s="7">
        <f t="shared" si="22"/>
        <v>43860</v>
      </c>
      <c r="T176" s="3" t="str">
        <f t="shared" si="23"/>
        <v>High Profit</v>
      </c>
      <c r="U176" s="3" t="str">
        <f t="shared" si="24"/>
        <v>Medium Discount</v>
      </c>
      <c r="V176" s="3" t="str">
        <f t="shared" si="25"/>
        <v>Priority D</v>
      </c>
      <c r="W176">
        <f t="shared" si="26"/>
        <v>45073.100000000006</v>
      </c>
      <c r="X176" t="s">
        <v>23</v>
      </c>
      <c r="Y176" t="s">
        <v>23</v>
      </c>
      <c r="Z176" t="s">
        <v>23</v>
      </c>
      <c r="AA176" t="s">
        <v>23</v>
      </c>
      <c r="AB176" t="s">
        <v>23</v>
      </c>
      <c r="AC176" t="s">
        <v>23</v>
      </c>
      <c r="AD176" t="s">
        <v>23</v>
      </c>
      <c r="AE176" t="s">
        <v>23</v>
      </c>
      <c r="AF176" t="s">
        <v>23</v>
      </c>
      <c r="AG176" t="s">
        <v>23</v>
      </c>
      <c r="AH176" t="s">
        <v>23</v>
      </c>
      <c r="AI176" t="s">
        <v>23</v>
      </c>
      <c r="AJ176" t="s">
        <v>23</v>
      </c>
    </row>
    <row r="177" spans="1:36" x14ac:dyDescent="0.35">
      <c r="A177" s="2">
        <v>1175</v>
      </c>
      <c r="B177" s="4">
        <v>45120</v>
      </c>
      <c r="C177" s="1" t="s">
        <v>34</v>
      </c>
      <c r="D177" s="1" t="s">
        <v>43</v>
      </c>
      <c r="E177">
        <v>524451</v>
      </c>
      <c r="F177">
        <v>12</v>
      </c>
      <c r="G177" s="1" t="s">
        <v>26</v>
      </c>
      <c r="H177">
        <v>10000</v>
      </c>
      <c r="I177">
        <v>20000</v>
      </c>
      <c r="J177" s="1" t="s">
        <v>33</v>
      </c>
      <c r="K177" s="3">
        <v>7</v>
      </c>
      <c r="L177" s="1" t="s">
        <v>36</v>
      </c>
      <c r="M177" s="1" t="s">
        <v>37</v>
      </c>
      <c r="N177" s="3">
        <v>2024010123</v>
      </c>
      <c r="O177" s="3">
        <f t="shared" si="18"/>
        <v>1.23</v>
      </c>
      <c r="P177" s="6">
        <f t="shared" si="19"/>
        <v>645074.73</v>
      </c>
      <c r="Q177" s="3" t="str">
        <f t="shared" si="20"/>
        <v>Excellent</v>
      </c>
      <c r="R177" s="3">
        <f t="shared" si="21"/>
        <v>10000</v>
      </c>
      <c r="S177" s="7">
        <f t="shared" si="22"/>
        <v>120000</v>
      </c>
      <c r="T177" s="3" t="str">
        <f t="shared" si="23"/>
        <v>High Profit</v>
      </c>
      <c r="U177" s="3" t="str">
        <f t="shared" si="24"/>
        <v>Medium Discount</v>
      </c>
      <c r="V177" s="3" t="str">
        <f t="shared" si="25"/>
        <v>Priority C</v>
      </c>
      <c r="W177">
        <f t="shared" si="26"/>
        <v>52445.100000000006</v>
      </c>
      <c r="X177" t="s">
        <v>23</v>
      </c>
      <c r="Y177" t="s">
        <v>23</v>
      </c>
      <c r="Z177" t="s">
        <v>23</v>
      </c>
      <c r="AA177" t="s">
        <v>23</v>
      </c>
      <c r="AB177" t="s">
        <v>23</v>
      </c>
      <c r="AC177" t="s">
        <v>23</v>
      </c>
      <c r="AD177" t="s">
        <v>23</v>
      </c>
      <c r="AE177" t="s">
        <v>23</v>
      </c>
      <c r="AF177" t="s">
        <v>23</v>
      </c>
      <c r="AG177" t="s">
        <v>23</v>
      </c>
      <c r="AH177" t="s">
        <v>23</v>
      </c>
      <c r="AI177" t="s">
        <v>23</v>
      </c>
      <c r="AJ177" t="s">
        <v>23</v>
      </c>
    </row>
    <row r="178" spans="1:36" x14ac:dyDescent="0.35">
      <c r="A178" s="2">
        <v>1176</v>
      </c>
      <c r="B178" s="4">
        <v>45077</v>
      </c>
      <c r="C178" s="1" t="s">
        <v>41</v>
      </c>
      <c r="D178" s="1" t="s">
        <v>43</v>
      </c>
      <c r="E178">
        <v>412942</v>
      </c>
      <c r="F178">
        <v>12</v>
      </c>
      <c r="G178" s="1" t="s">
        <v>35</v>
      </c>
      <c r="H178">
        <v>36196</v>
      </c>
      <c r="I178">
        <v>39757</v>
      </c>
      <c r="J178" s="1" t="s">
        <v>27</v>
      </c>
      <c r="K178" s="3">
        <v>23</v>
      </c>
      <c r="L178" s="1" t="s">
        <v>28</v>
      </c>
      <c r="M178" s="1" t="s">
        <v>37</v>
      </c>
      <c r="N178" s="3">
        <v>2024010123</v>
      </c>
      <c r="O178" s="3">
        <f t="shared" si="18"/>
        <v>1.23</v>
      </c>
      <c r="P178" s="6">
        <f t="shared" si="19"/>
        <v>507918.66</v>
      </c>
      <c r="Q178" s="3" t="str">
        <f t="shared" si="20"/>
        <v>Excellent</v>
      </c>
      <c r="R178" s="3">
        <f t="shared" si="21"/>
        <v>3561</v>
      </c>
      <c r="S178" s="7">
        <f t="shared" si="22"/>
        <v>42732</v>
      </c>
      <c r="T178" s="3" t="str">
        <f t="shared" si="23"/>
        <v>High Profit</v>
      </c>
      <c r="U178" s="3" t="str">
        <f t="shared" si="24"/>
        <v>High Discount</v>
      </c>
      <c r="V178" s="3" t="str">
        <f t="shared" si="25"/>
        <v>Priority C</v>
      </c>
      <c r="W178">
        <f t="shared" si="26"/>
        <v>61941.299999999996</v>
      </c>
      <c r="X178" t="s">
        <v>23</v>
      </c>
      <c r="Y178" t="s">
        <v>23</v>
      </c>
      <c r="Z178" t="s">
        <v>23</v>
      </c>
      <c r="AA178" t="s">
        <v>23</v>
      </c>
      <c r="AB178" t="s">
        <v>23</v>
      </c>
      <c r="AC178" t="s">
        <v>23</v>
      </c>
      <c r="AD178" t="s">
        <v>23</v>
      </c>
      <c r="AE178" t="s">
        <v>23</v>
      </c>
      <c r="AF178" t="s">
        <v>23</v>
      </c>
      <c r="AG178" t="s">
        <v>23</v>
      </c>
      <c r="AH178" t="s">
        <v>23</v>
      </c>
      <c r="AI178" t="s">
        <v>23</v>
      </c>
      <c r="AJ178" t="s">
        <v>23</v>
      </c>
    </row>
    <row r="179" spans="1:36" x14ac:dyDescent="0.35">
      <c r="A179" s="2">
        <v>1177</v>
      </c>
      <c r="B179" s="4">
        <v>44932</v>
      </c>
      <c r="C179" s="1" t="s">
        <v>34</v>
      </c>
      <c r="D179" s="1" t="s">
        <v>31</v>
      </c>
      <c r="E179">
        <v>913908</v>
      </c>
      <c r="F179">
        <v>12</v>
      </c>
      <c r="G179" s="1" t="s">
        <v>26</v>
      </c>
      <c r="H179">
        <v>38239</v>
      </c>
      <c r="I179">
        <v>41623</v>
      </c>
      <c r="J179" s="1" t="s">
        <v>27</v>
      </c>
      <c r="K179" s="3">
        <v>16</v>
      </c>
      <c r="L179" s="1" t="s">
        <v>28</v>
      </c>
      <c r="M179" s="1" t="s">
        <v>29</v>
      </c>
      <c r="N179" s="3">
        <v>2024010123</v>
      </c>
      <c r="O179" s="3">
        <f t="shared" si="18"/>
        <v>1.23</v>
      </c>
      <c r="P179" s="6">
        <f t="shared" si="19"/>
        <v>1124106.8400000001</v>
      </c>
      <c r="Q179" s="3" t="str">
        <f t="shared" si="20"/>
        <v>Excellent</v>
      </c>
      <c r="R179" s="3">
        <f t="shared" si="21"/>
        <v>3384</v>
      </c>
      <c r="S179" s="7">
        <f t="shared" si="22"/>
        <v>40608</v>
      </c>
      <c r="T179" s="3" t="str">
        <f t="shared" si="23"/>
        <v>High Profit</v>
      </c>
      <c r="U179" s="3" t="str">
        <f t="shared" si="24"/>
        <v>High Discount</v>
      </c>
      <c r="V179" s="3" t="str">
        <f t="shared" si="25"/>
        <v>Priority D</v>
      </c>
      <c r="W179">
        <f t="shared" si="26"/>
        <v>137086.19999999998</v>
      </c>
      <c r="X179" t="s">
        <v>23</v>
      </c>
      <c r="Y179" t="s">
        <v>23</v>
      </c>
      <c r="Z179" t="s">
        <v>23</v>
      </c>
      <c r="AA179" t="s">
        <v>23</v>
      </c>
      <c r="AB179" t="s">
        <v>23</v>
      </c>
      <c r="AC179" t="s">
        <v>23</v>
      </c>
      <c r="AD179" t="s">
        <v>23</v>
      </c>
      <c r="AE179" t="s">
        <v>23</v>
      </c>
      <c r="AF179" t="s">
        <v>23</v>
      </c>
      <c r="AG179" t="s">
        <v>23</v>
      </c>
      <c r="AH179" t="s">
        <v>23</v>
      </c>
      <c r="AI179" t="s">
        <v>23</v>
      </c>
      <c r="AJ179" t="s">
        <v>23</v>
      </c>
    </row>
    <row r="180" spans="1:36" x14ac:dyDescent="0.35">
      <c r="A180" s="2">
        <v>1178</v>
      </c>
      <c r="B180" s="4">
        <v>45001</v>
      </c>
      <c r="C180" s="1" t="s">
        <v>41</v>
      </c>
      <c r="D180" s="1" t="s">
        <v>25</v>
      </c>
      <c r="E180">
        <v>795166</v>
      </c>
      <c r="F180">
        <v>12</v>
      </c>
      <c r="G180" s="1" t="s">
        <v>32</v>
      </c>
      <c r="H180">
        <v>51450</v>
      </c>
      <c r="I180">
        <v>55136</v>
      </c>
      <c r="J180" s="1" t="s">
        <v>33</v>
      </c>
      <c r="K180" s="3">
        <v>30</v>
      </c>
      <c r="L180" s="1" t="s">
        <v>28</v>
      </c>
      <c r="M180" s="1" t="s">
        <v>37</v>
      </c>
      <c r="N180" s="3">
        <v>2024010123</v>
      </c>
      <c r="O180" s="3">
        <f t="shared" si="18"/>
        <v>1.23</v>
      </c>
      <c r="P180" s="6">
        <f t="shared" si="19"/>
        <v>978054.17999999993</v>
      </c>
      <c r="Q180" s="3" t="str">
        <f t="shared" si="20"/>
        <v>Excellent</v>
      </c>
      <c r="R180" s="3">
        <f t="shared" si="21"/>
        <v>3686</v>
      </c>
      <c r="S180" s="7">
        <f t="shared" si="22"/>
        <v>44232</v>
      </c>
      <c r="T180" s="3" t="str">
        <f t="shared" si="23"/>
        <v>High Profit</v>
      </c>
      <c r="U180" s="3" t="str">
        <f t="shared" si="24"/>
        <v>High Discount</v>
      </c>
      <c r="V180" s="3" t="str">
        <f t="shared" si="25"/>
        <v>Priority C</v>
      </c>
      <c r="W180">
        <f t="shared" si="26"/>
        <v>79516.600000000006</v>
      </c>
      <c r="X180" t="s">
        <v>23</v>
      </c>
      <c r="Y180" t="s">
        <v>23</v>
      </c>
      <c r="Z180" t="s">
        <v>23</v>
      </c>
      <c r="AA180" t="s">
        <v>23</v>
      </c>
      <c r="AB180" t="s">
        <v>23</v>
      </c>
      <c r="AC180" t="s">
        <v>23</v>
      </c>
      <c r="AD180" t="s">
        <v>23</v>
      </c>
      <c r="AE180" t="s">
        <v>23</v>
      </c>
      <c r="AF180" t="s">
        <v>23</v>
      </c>
      <c r="AG180" t="s">
        <v>23</v>
      </c>
      <c r="AH180" t="s">
        <v>23</v>
      </c>
      <c r="AI180" t="s">
        <v>23</v>
      </c>
      <c r="AJ180" t="s">
        <v>23</v>
      </c>
    </row>
    <row r="181" spans="1:36" x14ac:dyDescent="0.35">
      <c r="A181" s="2">
        <v>1179</v>
      </c>
      <c r="B181" s="4">
        <v>45130</v>
      </c>
      <c r="C181" s="1" t="s">
        <v>30</v>
      </c>
      <c r="D181" s="1" t="s">
        <v>42</v>
      </c>
      <c r="E181">
        <v>978921</v>
      </c>
      <c r="F181">
        <v>12</v>
      </c>
      <c r="G181" s="1" t="s">
        <v>35</v>
      </c>
      <c r="H181">
        <v>51999</v>
      </c>
      <c r="I181">
        <v>53915</v>
      </c>
      <c r="J181" s="1" t="s">
        <v>27</v>
      </c>
      <c r="K181" s="3">
        <v>24</v>
      </c>
      <c r="L181" s="1" t="s">
        <v>40</v>
      </c>
      <c r="M181" s="1" t="s">
        <v>37</v>
      </c>
      <c r="N181" s="3">
        <v>2024010123</v>
      </c>
      <c r="O181" s="3">
        <f t="shared" si="18"/>
        <v>1.23</v>
      </c>
      <c r="P181" s="6">
        <f t="shared" si="19"/>
        <v>1204072.83</v>
      </c>
      <c r="Q181" s="3" t="str">
        <f t="shared" si="20"/>
        <v>Excellent</v>
      </c>
      <c r="R181" s="3">
        <f t="shared" si="21"/>
        <v>1916</v>
      </c>
      <c r="S181" s="7">
        <f t="shared" si="22"/>
        <v>22992</v>
      </c>
      <c r="T181" s="3" t="str">
        <f t="shared" si="23"/>
        <v>High Profit</v>
      </c>
      <c r="U181" s="3" t="str">
        <f t="shared" si="24"/>
        <v>High Discount</v>
      </c>
      <c r="V181" s="3" t="str">
        <f t="shared" si="25"/>
        <v>Priority C</v>
      </c>
      <c r="W181">
        <f t="shared" si="26"/>
        <v>146838.15</v>
      </c>
      <c r="X181" t="s">
        <v>23</v>
      </c>
      <c r="Y181" t="s">
        <v>23</v>
      </c>
      <c r="Z181" t="s">
        <v>23</v>
      </c>
      <c r="AA181" t="s">
        <v>23</v>
      </c>
      <c r="AB181" t="s">
        <v>23</v>
      </c>
      <c r="AC181" t="s">
        <v>23</v>
      </c>
      <c r="AD181" t="s">
        <v>23</v>
      </c>
      <c r="AE181" t="s">
        <v>23</v>
      </c>
      <c r="AF181" t="s">
        <v>23</v>
      </c>
      <c r="AG181" t="s">
        <v>23</v>
      </c>
      <c r="AH181" t="s">
        <v>23</v>
      </c>
      <c r="AI181" t="s">
        <v>23</v>
      </c>
      <c r="AJ181" t="s">
        <v>23</v>
      </c>
    </row>
    <row r="182" spans="1:36" x14ac:dyDescent="0.35">
      <c r="A182" s="2">
        <v>1180</v>
      </c>
      <c r="B182" s="4">
        <v>45221</v>
      </c>
      <c r="C182" s="1" t="s">
        <v>24</v>
      </c>
      <c r="D182" s="1" t="s">
        <v>42</v>
      </c>
      <c r="E182">
        <v>772618</v>
      </c>
      <c r="F182">
        <v>12</v>
      </c>
      <c r="G182" s="1" t="s">
        <v>26</v>
      </c>
      <c r="H182">
        <v>15793</v>
      </c>
      <c r="I182">
        <v>28134</v>
      </c>
      <c r="J182" s="1" t="s">
        <v>27</v>
      </c>
      <c r="K182" s="3">
        <v>0</v>
      </c>
      <c r="L182" s="1" t="s">
        <v>40</v>
      </c>
      <c r="M182" s="1" t="s">
        <v>29</v>
      </c>
      <c r="N182" s="3">
        <v>2024010123</v>
      </c>
      <c r="O182" s="3">
        <f t="shared" si="18"/>
        <v>1.23</v>
      </c>
      <c r="P182" s="6">
        <f t="shared" si="19"/>
        <v>950320.14</v>
      </c>
      <c r="Q182" s="3" t="str">
        <f t="shared" si="20"/>
        <v>Excellent</v>
      </c>
      <c r="R182" s="3">
        <f t="shared" si="21"/>
        <v>12341</v>
      </c>
      <c r="S182" s="7">
        <f t="shared" si="22"/>
        <v>148092</v>
      </c>
      <c r="T182" s="3" t="str">
        <f t="shared" si="23"/>
        <v>High Profit</v>
      </c>
      <c r="U182" s="3" t="str">
        <f t="shared" si="24"/>
        <v>No Discount</v>
      </c>
      <c r="V182" s="3" t="str">
        <f t="shared" si="25"/>
        <v>Priority D</v>
      </c>
      <c r="W182">
        <f t="shared" si="26"/>
        <v>115892.7</v>
      </c>
      <c r="X182" t="s">
        <v>23</v>
      </c>
      <c r="Y182" t="s">
        <v>23</v>
      </c>
      <c r="Z182" t="s">
        <v>23</v>
      </c>
      <c r="AA182" t="s">
        <v>23</v>
      </c>
      <c r="AB182" t="s">
        <v>23</v>
      </c>
      <c r="AC182" t="s">
        <v>23</v>
      </c>
      <c r="AD182" t="s">
        <v>23</v>
      </c>
      <c r="AE182" t="s">
        <v>23</v>
      </c>
      <c r="AF182" t="s">
        <v>23</v>
      </c>
      <c r="AG182" t="s">
        <v>23</v>
      </c>
      <c r="AH182" t="s">
        <v>23</v>
      </c>
      <c r="AI182" t="s">
        <v>23</v>
      </c>
      <c r="AJ182" t="s">
        <v>23</v>
      </c>
    </row>
    <row r="183" spans="1:36" x14ac:dyDescent="0.35">
      <c r="A183" s="2">
        <v>1181</v>
      </c>
      <c r="B183" s="4">
        <v>45261</v>
      </c>
      <c r="C183" s="1" t="s">
        <v>38</v>
      </c>
      <c r="D183" s="1" t="s">
        <v>42</v>
      </c>
      <c r="E183">
        <v>586635</v>
      </c>
      <c r="F183">
        <v>31</v>
      </c>
      <c r="G183" s="1" t="s">
        <v>32</v>
      </c>
      <c r="H183">
        <v>25612</v>
      </c>
      <c r="I183">
        <v>33294</v>
      </c>
      <c r="J183" s="1" t="s">
        <v>27</v>
      </c>
      <c r="K183" s="3">
        <v>2</v>
      </c>
      <c r="L183" s="1" t="s">
        <v>36</v>
      </c>
      <c r="M183" s="1" t="s">
        <v>29</v>
      </c>
      <c r="N183" s="3">
        <v>2024010123</v>
      </c>
      <c r="O183" s="3">
        <f t="shared" si="18"/>
        <v>1.23</v>
      </c>
      <c r="P183" s="6">
        <f t="shared" si="19"/>
        <v>721561.05</v>
      </c>
      <c r="Q183" s="3" t="str">
        <f t="shared" si="20"/>
        <v>Excellent</v>
      </c>
      <c r="R183" s="3">
        <f t="shared" si="21"/>
        <v>7682</v>
      </c>
      <c r="S183" s="7">
        <f t="shared" si="22"/>
        <v>238142</v>
      </c>
      <c r="T183" s="3" t="str">
        <f t="shared" si="23"/>
        <v>High Profit</v>
      </c>
      <c r="U183" s="3" t="str">
        <f t="shared" si="24"/>
        <v>Low Discount</v>
      </c>
      <c r="V183" s="3" t="str">
        <f t="shared" si="25"/>
        <v>Priority B</v>
      </c>
      <c r="W183">
        <f t="shared" si="26"/>
        <v>87995.25</v>
      </c>
      <c r="X183" t="s">
        <v>23</v>
      </c>
      <c r="Y183" t="s">
        <v>23</v>
      </c>
      <c r="Z183" t="s">
        <v>23</v>
      </c>
      <c r="AA183" t="s">
        <v>23</v>
      </c>
      <c r="AB183" t="s">
        <v>23</v>
      </c>
      <c r="AC183" t="s">
        <v>23</v>
      </c>
      <c r="AD183" t="s">
        <v>23</v>
      </c>
      <c r="AE183" t="s">
        <v>23</v>
      </c>
      <c r="AF183" t="s">
        <v>23</v>
      </c>
      <c r="AG183" t="s">
        <v>23</v>
      </c>
      <c r="AH183" t="s">
        <v>23</v>
      </c>
      <c r="AI183" t="s">
        <v>23</v>
      </c>
      <c r="AJ183" t="s">
        <v>23</v>
      </c>
    </row>
    <row r="184" spans="1:36" x14ac:dyDescent="0.35">
      <c r="A184" s="2">
        <v>1182</v>
      </c>
      <c r="B184" s="4">
        <v>44970</v>
      </c>
      <c r="C184" s="1" t="s">
        <v>34</v>
      </c>
      <c r="D184" s="1" t="s">
        <v>31</v>
      </c>
      <c r="E184">
        <v>411455</v>
      </c>
      <c r="F184">
        <v>41</v>
      </c>
      <c r="G184" s="1" t="s">
        <v>35</v>
      </c>
      <c r="H184">
        <v>27473</v>
      </c>
      <c r="I184">
        <v>34503</v>
      </c>
      <c r="J184" s="1" t="s">
        <v>27</v>
      </c>
      <c r="K184" s="3">
        <v>3</v>
      </c>
      <c r="L184" s="1" t="s">
        <v>28</v>
      </c>
      <c r="M184" s="1" t="s">
        <v>37</v>
      </c>
      <c r="N184" s="3">
        <v>2024010123</v>
      </c>
      <c r="O184" s="3">
        <f t="shared" si="18"/>
        <v>1.23</v>
      </c>
      <c r="P184" s="6">
        <f t="shared" si="19"/>
        <v>506089.64999999997</v>
      </c>
      <c r="Q184" s="3" t="str">
        <f t="shared" si="20"/>
        <v>Excellent</v>
      </c>
      <c r="R184" s="3">
        <f t="shared" si="21"/>
        <v>7030</v>
      </c>
      <c r="S184" s="7">
        <f t="shared" si="22"/>
        <v>288230</v>
      </c>
      <c r="T184" s="3" t="str">
        <f t="shared" si="23"/>
        <v>High Profit</v>
      </c>
      <c r="U184" s="3" t="str">
        <f t="shared" si="24"/>
        <v>Low Discount</v>
      </c>
      <c r="V184" s="3" t="str">
        <f t="shared" si="25"/>
        <v>Priority C</v>
      </c>
      <c r="W184">
        <f t="shared" si="26"/>
        <v>61718.25</v>
      </c>
      <c r="X184" t="s">
        <v>23</v>
      </c>
      <c r="Y184" t="s">
        <v>23</v>
      </c>
      <c r="Z184" t="s">
        <v>23</v>
      </c>
      <c r="AA184" t="s">
        <v>23</v>
      </c>
      <c r="AB184" t="s">
        <v>23</v>
      </c>
      <c r="AC184" t="s">
        <v>23</v>
      </c>
      <c r="AD184" t="s">
        <v>23</v>
      </c>
      <c r="AE184" t="s">
        <v>23</v>
      </c>
      <c r="AF184" t="s">
        <v>23</v>
      </c>
      <c r="AG184" t="s">
        <v>23</v>
      </c>
      <c r="AH184" t="s">
        <v>23</v>
      </c>
      <c r="AI184" t="s">
        <v>23</v>
      </c>
      <c r="AJ184" t="s">
        <v>23</v>
      </c>
    </row>
    <row r="185" spans="1:36" x14ac:dyDescent="0.35">
      <c r="A185" s="2">
        <v>1183</v>
      </c>
      <c r="B185" s="4">
        <v>45155</v>
      </c>
      <c r="C185" s="1" t="s">
        <v>38</v>
      </c>
      <c r="D185" s="1" t="s">
        <v>25</v>
      </c>
      <c r="E185">
        <v>602919</v>
      </c>
      <c r="F185">
        <v>25</v>
      </c>
      <c r="G185" s="1" t="s">
        <v>39</v>
      </c>
      <c r="H185">
        <v>20852</v>
      </c>
      <c r="I185">
        <v>30663</v>
      </c>
      <c r="J185" s="1" t="s">
        <v>27</v>
      </c>
      <c r="K185" s="3">
        <v>8</v>
      </c>
      <c r="L185" s="1" t="s">
        <v>28</v>
      </c>
      <c r="M185" s="1" t="s">
        <v>29</v>
      </c>
      <c r="N185" s="3">
        <v>2024010123</v>
      </c>
      <c r="O185" s="3">
        <f t="shared" si="18"/>
        <v>1.23</v>
      </c>
      <c r="P185" s="6">
        <f t="shared" si="19"/>
        <v>741590.37</v>
      </c>
      <c r="Q185" s="3" t="str">
        <f t="shared" si="20"/>
        <v>Excellent</v>
      </c>
      <c r="R185" s="3">
        <f t="shared" si="21"/>
        <v>9811</v>
      </c>
      <c r="S185" s="7">
        <f t="shared" si="22"/>
        <v>245275</v>
      </c>
      <c r="T185" s="3" t="str">
        <f t="shared" si="23"/>
        <v>High Profit</v>
      </c>
      <c r="U185" s="3" t="str">
        <f t="shared" si="24"/>
        <v>Medium Discount</v>
      </c>
      <c r="V185" s="3" t="str">
        <f t="shared" si="25"/>
        <v>Priority B</v>
      </c>
      <c r="W185">
        <f t="shared" si="26"/>
        <v>90437.849999999991</v>
      </c>
      <c r="X185" t="s">
        <v>23</v>
      </c>
      <c r="Y185" t="s">
        <v>23</v>
      </c>
      <c r="Z185" t="s">
        <v>23</v>
      </c>
      <c r="AA185" t="s">
        <v>23</v>
      </c>
      <c r="AB185" t="s">
        <v>23</v>
      </c>
      <c r="AC185" t="s">
        <v>23</v>
      </c>
      <c r="AD185" t="s">
        <v>23</v>
      </c>
      <c r="AE185" t="s">
        <v>23</v>
      </c>
      <c r="AF185" t="s">
        <v>23</v>
      </c>
      <c r="AG185" t="s">
        <v>23</v>
      </c>
      <c r="AH185" t="s">
        <v>23</v>
      </c>
      <c r="AI185" t="s">
        <v>23</v>
      </c>
      <c r="AJ185" t="s">
        <v>23</v>
      </c>
    </row>
    <row r="186" spans="1:36" x14ac:dyDescent="0.35">
      <c r="A186" s="2">
        <v>1184</v>
      </c>
      <c r="B186" s="4">
        <v>45023</v>
      </c>
      <c r="C186" s="1" t="s">
        <v>38</v>
      </c>
      <c r="D186" s="1" t="s">
        <v>25</v>
      </c>
      <c r="E186">
        <v>221997</v>
      </c>
      <c r="F186">
        <v>12</v>
      </c>
      <c r="G186" s="1" t="s">
        <v>26</v>
      </c>
      <c r="H186">
        <v>20298</v>
      </c>
      <c r="I186">
        <v>31008</v>
      </c>
      <c r="J186" s="1" t="s">
        <v>33</v>
      </c>
      <c r="K186" s="3">
        <v>5</v>
      </c>
      <c r="L186" s="1" t="s">
        <v>28</v>
      </c>
      <c r="M186" s="1" t="s">
        <v>37</v>
      </c>
      <c r="N186" s="3">
        <v>2024010123</v>
      </c>
      <c r="O186" s="3">
        <f t="shared" si="18"/>
        <v>1.23</v>
      </c>
      <c r="P186" s="6">
        <f t="shared" si="19"/>
        <v>273056.31</v>
      </c>
      <c r="Q186" s="3" t="str">
        <f t="shared" si="20"/>
        <v>Excellent</v>
      </c>
      <c r="R186" s="3">
        <f t="shared" si="21"/>
        <v>10710</v>
      </c>
      <c r="S186" s="7">
        <f t="shared" si="22"/>
        <v>128520</v>
      </c>
      <c r="T186" s="3" t="str">
        <f t="shared" si="23"/>
        <v>High Profit</v>
      </c>
      <c r="U186" s="3" t="str">
        <f t="shared" si="24"/>
        <v>Medium Discount</v>
      </c>
      <c r="V186" s="3" t="str">
        <f t="shared" si="25"/>
        <v>Priority C</v>
      </c>
      <c r="W186">
        <f t="shared" si="26"/>
        <v>22199.7</v>
      </c>
      <c r="X186" t="s">
        <v>23</v>
      </c>
      <c r="Y186" t="s">
        <v>23</v>
      </c>
      <c r="Z186" t="s">
        <v>23</v>
      </c>
      <c r="AA186" t="s">
        <v>23</v>
      </c>
      <c r="AB186" t="s">
        <v>23</v>
      </c>
      <c r="AC186" t="s">
        <v>23</v>
      </c>
      <c r="AD186" t="s">
        <v>23</v>
      </c>
      <c r="AE186" t="s">
        <v>23</v>
      </c>
      <c r="AF186" t="s">
        <v>23</v>
      </c>
      <c r="AG186" t="s">
        <v>23</v>
      </c>
      <c r="AH186" t="s">
        <v>23</v>
      </c>
      <c r="AI186" t="s">
        <v>23</v>
      </c>
      <c r="AJ186" t="s">
        <v>23</v>
      </c>
    </row>
    <row r="187" spans="1:36" x14ac:dyDescent="0.35">
      <c r="A187" s="2">
        <v>1185</v>
      </c>
      <c r="B187" s="4">
        <v>45116</v>
      </c>
      <c r="C187" s="1" t="s">
        <v>24</v>
      </c>
      <c r="D187" s="1" t="s">
        <v>42</v>
      </c>
      <c r="E187">
        <v>320724</v>
      </c>
      <c r="F187">
        <v>38</v>
      </c>
      <c r="G187" s="1" t="s">
        <v>32</v>
      </c>
      <c r="H187">
        <v>25637</v>
      </c>
      <c r="I187">
        <v>36247</v>
      </c>
      <c r="J187" s="1" t="s">
        <v>27</v>
      </c>
      <c r="K187" s="3">
        <v>12</v>
      </c>
      <c r="L187" s="1" t="s">
        <v>36</v>
      </c>
      <c r="M187" s="1" t="s">
        <v>37</v>
      </c>
      <c r="N187" s="3">
        <v>2024010123</v>
      </c>
      <c r="O187" s="3">
        <f t="shared" si="18"/>
        <v>1.23</v>
      </c>
      <c r="P187" s="6">
        <f t="shared" si="19"/>
        <v>394490.52</v>
      </c>
      <c r="Q187" s="3" t="str">
        <f t="shared" si="20"/>
        <v>Excellent</v>
      </c>
      <c r="R187" s="3">
        <f t="shared" si="21"/>
        <v>10610</v>
      </c>
      <c r="S187" s="7">
        <f t="shared" si="22"/>
        <v>403180</v>
      </c>
      <c r="T187" s="3" t="str">
        <f t="shared" si="23"/>
        <v>High Profit</v>
      </c>
      <c r="U187" s="3" t="str">
        <f t="shared" si="24"/>
        <v>Medium Discount</v>
      </c>
      <c r="V187" s="3" t="str">
        <f t="shared" si="25"/>
        <v>Priority B</v>
      </c>
      <c r="W187">
        <f t="shared" si="26"/>
        <v>48108.6</v>
      </c>
      <c r="X187" t="s">
        <v>23</v>
      </c>
      <c r="Y187" t="s">
        <v>23</v>
      </c>
      <c r="Z187" t="s">
        <v>23</v>
      </c>
      <c r="AA187" t="s">
        <v>23</v>
      </c>
      <c r="AB187" t="s">
        <v>23</v>
      </c>
      <c r="AC187" t="s">
        <v>23</v>
      </c>
      <c r="AD187" t="s">
        <v>23</v>
      </c>
      <c r="AE187" t="s">
        <v>23</v>
      </c>
      <c r="AF187" t="s">
        <v>23</v>
      </c>
      <c r="AG187" t="s">
        <v>23</v>
      </c>
      <c r="AH187" t="s">
        <v>23</v>
      </c>
      <c r="AI187" t="s">
        <v>23</v>
      </c>
      <c r="AJ187" t="s">
        <v>23</v>
      </c>
    </row>
    <row r="188" spans="1:36" x14ac:dyDescent="0.35">
      <c r="A188" s="2">
        <v>1186</v>
      </c>
      <c r="B188" s="4">
        <v>45097</v>
      </c>
      <c r="C188" s="1" t="s">
        <v>34</v>
      </c>
      <c r="D188" s="1" t="s">
        <v>43</v>
      </c>
      <c r="E188">
        <v>214090</v>
      </c>
      <c r="F188">
        <v>26</v>
      </c>
      <c r="G188" s="1" t="s">
        <v>26</v>
      </c>
      <c r="H188">
        <v>27557</v>
      </c>
      <c r="I188">
        <v>40379</v>
      </c>
      <c r="J188" s="1" t="s">
        <v>27</v>
      </c>
      <c r="K188" s="3">
        <v>17</v>
      </c>
      <c r="L188" s="1" t="s">
        <v>36</v>
      </c>
      <c r="M188" s="1" t="s">
        <v>29</v>
      </c>
      <c r="N188" s="3">
        <v>2024010123</v>
      </c>
      <c r="O188" s="3">
        <f t="shared" si="18"/>
        <v>1.23</v>
      </c>
      <c r="P188" s="6">
        <f t="shared" si="19"/>
        <v>263330.7</v>
      </c>
      <c r="Q188" s="3" t="str">
        <f t="shared" si="20"/>
        <v>Excellent</v>
      </c>
      <c r="R188" s="3">
        <f t="shared" si="21"/>
        <v>12822</v>
      </c>
      <c r="S188" s="7">
        <f t="shared" si="22"/>
        <v>333372</v>
      </c>
      <c r="T188" s="3" t="str">
        <f t="shared" si="23"/>
        <v>High Profit</v>
      </c>
      <c r="U188" s="3" t="str">
        <f t="shared" si="24"/>
        <v>High Discount</v>
      </c>
      <c r="V188" s="3" t="str">
        <f t="shared" si="25"/>
        <v>Priority C</v>
      </c>
      <c r="W188">
        <f t="shared" si="26"/>
        <v>32113.5</v>
      </c>
      <c r="X188" t="s">
        <v>23</v>
      </c>
      <c r="Y188" t="s">
        <v>23</v>
      </c>
      <c r="Z188" t="s">
        <v>23</v>
      </c>
      <c r="AA188" t="s">
        <v>23</v>
      </c>
      <c r="AB188" t="s">
        <v>23</v>
      </c>
      <c r="AC188" t="s">
        <v>23</v>
      </c>
      <c r="AD188" t="s">
        <v>23</v>
      </c>
      <c r="AE188" t="s">
        <v>23</v>
      </c>
      <c r="AF188" t="s">
        <v>23</v>
      </c>
      <c r="AG188" t="s">
        <v>23</v>
      </c>
      <c r="AH188" t="s">
        <v>23</v>
      </c>
      <c r="AI188" t="s">
        <v>23</v>
      </c>
      <c r="AJ188" t="s">
        <v>23</v>
      </c>
    </row>
    <row r="189" spans="1:36" x14ac:dyDescent="0.35">
      <c r="A189" s="2">
        <v>1187</v>
      </c>
      <c r="B189" s="4">
        <v>44964</v>
      </c>
      <c r="C189" s="1" t="s">
        <v>24</v>
      </c>
      <c r="D189" s="1" t="s">
        <v>42</v>
      </c>
      <c r="E189">
        <v>479750</v>
      </c>
      <c r="F189">
        <v>15</v>
      </c>
      <c r="G189" s="1" t="s">
        <v>35</v>
      </c>
      <c r="H189">
        <v>19024</v>
      </c>
      <c r="I189">
        <v>32589</v>
      </c>
      <c r="J189" s="1" t="s">
        <v>33</v>
      </c>
      <c r="K189" s="3">
        <v>25</v>
      </c>
      <c r="L189" s="1" t="s">
        <v>36</v>
      </c>
      <c r="M189" s="1" t="s">
        <v>37</v>
      </c>
      <c r="N189" s="3">
        <v>2024010123</v>
      </c>
      <c r="O189" s="3">
        <f t="shared" si="18"/>
        <v>1.23</v>
      </c>
      <c r="P189" s="6">
        <f t="shared" si="19"/>
        <v>590092.5</v>
      </c>
      <c r="Q189" s="3" t="str">
        <f t="shared" si="20"/>
        <v>Excellent</v>
      </c>
      <c r="R189" s="3">
        <f t="shared" si="21"/>
        <v>13565</v>
      </c>
      <c r="S189" s="7">
        <f t="shared" si="22"/>
        <v>203475</v>
      </c>
      <c r="T189" s="3" t="str">
        <f t="shared" si="23"/>
        <v>High Profit</v>
      </c>
      <c r="U189" s="3" t="str">
        <f t="shared" si="24"/>
        <v>High Discount</v>
      </c>
      <c r="V189" s="3" t="str">
        <f t="shared" si="25"/>
        <v>Priority C</v>
      </c>
      <c r="W189">
        <f t="shared" si="26"/>
        <v>47975</v>
      </c>
      <c r="X189" t="s">
        <v>23</v>
      </c>
      <c r="Y189" t="s">
        <v>23</v>
      </c>
      <c r="Z189" t="s">
        <v>23</v>
      </c>
      <c r="AA189" t="s">
        <v>23</v>
      </c>
      <c r="AB189" t="s">
        <v>23</v>
      </c>
      <c r="AC189" t="s">
        <v>23</v>
      </c>
      <c r="AD189" t="s">
        <v>23</v>
      </c>
      <c r="AE189" t="s">
        <v>23</v>
      </c>
      <c r="AF189" t="s">
        <v>23</v>
      </c>
      <c r="AG189" t="s">
        <v>23</v>
      </c>
      <c r="AH189" t="s">
        <v>23</v>
      </c>
      <c r="AI189" t="s">
        <v>23</v>
      </c>
      <c r="AJ189" t="s">
        <v>23</v>
      </c>
    </row>
    <row r="190" spans="1:36" x14ac:dyDescent="0.35">
      <c r="A190" s="2">
        <v>1188</v>
      </c>
      <c r="B190" s="4">
        <v>45171</v>
      </c>
      <c r="C190" s="1" t="s">
        <v>38</v>
      </c>
      <c r="D190" s="1" t="s">
        <v>43</v>
      </c>
      <c r="E190">
        <v>36938</v>
      </c>
      <c r="F190">
        <v>46</v>
      </c>
      <c r="G190" s="1" t="s">
        <v>35</v>
      </c>
      <c r="H190">
        <v>21994</v>
      </c>
      <c r="I190">
        <v>35717</v>
      </c>
      <c r="J190" s="1" t="s">
        <v>33</v>
      </c>
      <c r="K190" s="3">
        <v>22</v>
      </c>
      <c r="L190" s="1" t="s">
        <v>28</v>
      </c>
      <c r="M190" s="1" t="s">
        <v>29</v>
      </c>
      <c r="N190" s="3">
        <v>2024010123</v>
      </c>
      <c r="O190" s="3">
        <f t="shared" si="18"/>
        <v>1.23</v>
      </c>
      <c r="P190" s="6">
        <f t="shared" si="19"/>
        <v>45433.74</v>
      </c>
      <c r="Q190" s="3" t="str">
        <f t="shared" si="20"/>
        <v>Excellent</v>
      </c>
      <c r="R190" s="3">
        <f t="shared" si="21"/>
        <v>13723</v>
      </c>
      <c r="S190" s="7">
        <f t="shared" si="22"/>
        <v>631258</v>
      </c>
      <c r="T190" s="3" t="str">
        <f t="shared" si="23"/>
        <v>High Profit</v>
      </c>
      <c r="U190" s="3" t="str">
        <f t="shared" si="24"/>
        <v>High Discount</v>
      </c>
      <c r="V190" s="3" t="str">
        <f t="shared" si="25"/>
        <v>Priority C</v>
      </c>
      <c r="W190">
        <f t="shared" si="26"/>
        <v>3693.8</v>
      </c>
      <c r="X190" t="s">
        <v>23</v>
      </c>
      <c r="Y190" t="s">
        <v>23</v>
      </c>
      <c r="Z190" t="s">
        <v>23</v>
      </c>
      <c r="AA190" t="s">
        <v>23</v>
      </c>
      <c r="AB190" t="s">
        <v>23</v>
      </c>
      <c r="AC190" t="s">
        <v>23</v>
      </c>
      <c r="AD190" t="s">
        <v>23</v>
      </c>
      <c r="AE190" t="s">
        <v>23</v>
      </c>
      <c r="AF190" t="s">
        <v>23</v>
      </c>
      <c r="AG190" t="s">
        <v>23</v>
      </c>
      <c r="AH190" t="s">
        <v>23</v>
      </c>
      <c r="AI190" t="s">
        <v>23</v>
      </c>
      <c r="AJ190" t="s">
        <v>23</v>
      </c>
    </row>
    <row r="191" spans="1:36" x14ac:dyDescent="0.35">
      <c r="A191" s="2">
        <v>1189</v>
      </c>
      <c r="B191" s="4">
        <v>45174</v>
      </c>
      <c r="C191" s="1" t="s">
        <v>38</v>
      </c>
      <c r="D191" s="1" t="s">
        <v>31</v>
      </c>
      <c r="E191">
        <v>339058</v>
      </c>
      <c r="F191">
        <v>32</v>
      </c>
      <c r="G191" s="1" t="s">
        <v>26</v>
      </c>
      <c r="H191">
        <v>26092</v>
      </c>
      <c r="I191">
        <v>37671</v>
      </c>
      <c r="J191" s="1" t="s">
        <v>33</v>
      </c>
      <c r="K191" s="3">
        <v>21</v>
      </c>
      <c r="L191" s="1" t="s">
        <v>28</v>
      </c>
      <c r="M191" s="1" t="s">
        <v>37</v>
      </c>
      <c r="N191" s="3">
        <v>2024010123</v>
      </c>
      <c r="O191" s="3">
        <f t="shared" si="18"/>
        <v>1.23</v>
      </c>
      <c r="P191" s="6">
        <f t="shared" si="19"/>
        <v>417041.33999999997</v>
      </c>
      <c r="Q191" s="3" t="str">
        <f t="shared" si="20"/>
        <v>Excellent</v>
      </c>
      <c r="R191" s="3">
        <f t="shared" si="21"/>
        <v>11579</v>
      </c>
      <c r="S191" s="7">
        <f t="shared" si="22"/>
        <v>370528</v>
      </c>
      <c r="T191" s="3" t="str">
        <f t="shared" si="23"/>
        <v>High Profit</v>
      </c>
      <c r="U191" s="3" t="str">
        <f t="shared" si="24"/>
        <v>High Discount</v>
      </c>
      <c r="V191" s="3" t="str">
        <f t="shared" si="25"/>
        <v>Priority C</v>
      </c>
      <c r="W191">
        <f t="shared" si="26"/>
        <v>33905.800000000003</v>
      </c>
      <c r="X191" t="s">
        <v>23</v>
      </c>
      <c r="Y191" t="s">
        <v>23</v>
      </c>
      <c r="Z191" t="s">
        <v>23</v>
      </c>
      <c r="AA191" t="s">
        <v>23</v>
      </c>
      <c r="AB191" t="s">
        <v>23</v>
      </c>
      <c r="AC191" t="s">
        <v>23</v>
      </c>
      <c r="AD191" t="s">
        <v>23</v>
      </c>
      <c r="AE191" t="s">
        <v>23</v>
      </c>
      <c r="AF191" t="s">
        <v>23</v>
      </c>
      <c r="AG191" t="s">
        <v>23</v>
      </c>
      <c r="AH191" t="s">
        <v>23</v>
      </c>
      <c r="AI191" t="s">
        <v>23</v>
      </c>
      <c r="AJ191" t="s">
        <v>23</v>
      </c>
    </row>
    <row r="192" spans="1:36" x14ac:dyDescent="0.35">
      <c r="A192" s="2">
        <v>1190</v>
      </c>
      <c r="B192" s="4">
        <v>45231</v>
      </c>
      <c r="C192" s="1" t="s">
        <v>41</v>
      </c>
      <c r="D192" s="1" t="s">
        <v>42</v>
      </c>
      <c r="E192">
        <v>712748</v>
      </c>
      <c r="F192">
        <v>18</v>
      </c>
      <c r="G192" s="1" t="s">
        <v>35</v>
      </c>
      <c r="H192">
        <v>24533</v>
      </c>
      <c r="I192">
        <v>31862</v>
      </c>
      <c r="J192" s="1" t="s">
        <v>27</v>
      </c>
      <c r="K192" s="3">
        <v>0</v>
      </c>
      <c r="L192" s="1" t="s">
        <v>40</v>
      </c>
      <c r="M192" s="1" t="s">
        <v>29</v>
      </c>
      <c r="N192" s="3">
        <v>2024010123</v>
      </c>
      <c r="O192" s="3">
        <f t="shared" si="18"/>
        <v>1.23</v>
      </c>
      <c r="P192" s="6">
        <f t="shared" si="19"/>
        <v>876680.04</v>
      </c>
      <c r="Q192" s="3" t="str">
        <f t="shared" si="20"/>
        <v>Excellent</v>
      </c>
      <c r="R192" s="3">
        <f t="shared" si="21"/>
        <v>7329</v>
      </c>
      <c r="S192" s="7">
        <f t="shared" si="22"/>
        <v>131922</v>
      </c>
      <c r="T192" s="3" t="str">
        <f t="shared" si="23"/>
        <v>High Profit</v>
      </c>
      <c r="U192" s="3" t="str">
        <f t="shared" si="24"/>
        <v>No Discount</v>
      </c>
      <c r="V192" s="3" t="str">
        <f t="shared" si="25"/>
        <v>Priority C</v>
      </c>
      <c r="W192">
        <f t="shared" si="26"/>
        <v>106912.2</v>
      </c>
      <c r="X192" t="s">
        <v>23</v>
      </c>
      <c r="Y192" t="s">
        <v>23</v>
      </c>
      <c r="Z192" t="s">
        <v>23</v>
      </c>
      <c r="AA192" t="s">
        <v>23</v>
      </c>
      <c r="AB192" t="s">
        <v>23</v>
      </c>
      <c r="AC192" t="s">
        <v>23</v>
      </c>
      <c r="AD192" t="s">
        <v>23</v>
      </c>
      <c r="AE192" t="s">
        <v>23</v>
      </c>
      <c r="AF192" t="s">
        <v>23</v>
      </c>
      <c r="AG192" t="s">
        <v>23</v>
      </c>
      <c r="AH192" t="s">
        <v>23</v>
      </c>
      <c r="AI192" t="s">
        <v>23</v>
      </c>
      <c r="AJ192" t="s">
        <v>23</v>
      </c>
    </row>
    <row r="193" spans="1:36" x14ac:dyDescent="0.35">
      <c r="A193" s="2">
        <v>1191</v>
      </c>
      <c r="B193" s="4">
        <v>45158</v>
      </c>
      <c r="C193" s="1" t="s">
        <v>30</v>
      </c>
      <c r="D193" s="1" t="s">
        <v>25</v>
      </c>
      <c r="E193">
        <v>117460</v>
      </c>
      <c r="F193">
        <v>18</v>
      </c>
      <c r="G193" s="1" t="s">
        <v>35</v>
      </c>
      <c r="H193">
        <v>42784</v>
      </c>
      <c r="I193">
        <v>49255</v>
      </c>
      <c r="J193" s="1" t="s">
        <v>33</v>
      </c>
      <c r="K193" s="3">
        <v>1</v>
      </c>
      <c r="L193" s="1" t="s">
        <v>40</v>
      </c>
      <c r="M193" s="1" t="s">
        <v>29</v>
      </c>
      <c r="N193" s="3">
        <v>2024010123</v>
      </c>
      <c r="O193" s="3">
        <f t="shared" si="18"/>
        <v>1.23</v>
      </c>
      <c r="P193" s="6">
        <f t="shared" si="19"/>
        <v>144475.79999999999</v>
      </c>
      <c r="Q193" s="3" t="str">
        <f t="shared" si="20"/>
        <v>Excellent</v>
      </c>
      <c r="R193" s="3">
        <f t="shared" si="21"/>
        <v>6471</v>
      </c>
      <c r="S193" s="7">
        <f t="shared" si="22"/>
        <v>116478</v>
      </c>
      <c r="T193" s="3" t="str">
        <f t="shared" si="23"/>
        <v>High Profit</v>
      </c>
      <c r="U193" s="3" t="str">
        <f t="shared" si="24"/>
        <v>Low Discount</v>
      </c>
      <c r="V193" s="3" t="str">
        <f t="shared" si="25"/>
        <v>Priority C</v>
      </c>
      <c r="W193">
        <f t="shared" si="26"/>
        <v>11746</v>
      </c>
      <c r="X193" t="s">
        <v>23</v>
      </c>
      <c r="Y193" t="s">
        <v>23</v>
      </c>
      <c r="Z193" t="s">
        <v>23</v>
      </c>
      <c r="AA193" t="s">
        <v>23</v>
      </c>
      <c r="AB193" t="s">
        <v>23</v>
      </c>
      <c r="AC193" t="s">
        <v>23</v>
      </c>
      <c r="AD193" t="s">
        <v>23</v>
      </c>
      <c r="AE193" t="s">
        <v>23</v>
      </c>
      <c r="AF193" t="s">
        <v>23</v>
      </c>
      <c r="AG193" t="s">
        <v>23</v>
      </c>
      <c r="AH193" t="s">
        <v>23</v>
      </c>
      <c r="AI193" t="s">
        <v>23</v>
      </c>
      <c r="AJ193" t="s">
        <v>23</v>
      </c>
    </row>
    <row r="194" spans="1:36" x14ac:dyDescent="0.35">
      <c r="A194" s="2">
        <v>1192</v>
      </c>
      <c r="B194" s="4">
        <v>45208</v>
      </c>
      <c r="C194" s="1" t="s">
        <v>34</v>
      </c>
      <c r="D194" s="1" t="s">
        <v>42</v>
      </c>
      <c r="E194">
        <v>787148</v>
      </c>
      <c r="F194">
        <v>18</v>
      </c>
      <c r="G194" s="1" t="s">
        <v>39</v>
      </c>
      <c r="H194">
        <v>40404</v>
      </c>
      <c r="I194">
        <v>46835</v>
      </c>
      <c r="J194" s="1" t="s">
        <v>33</v>
      </c>
      <c r="K194" s="3">
        <v>1</v>
      </c>
      <c r="L194" s="1" t="s">
        <v>36</v>
      </c>
      <c r="M194" s="1" t="s">
        <v>37</v>
      </c>
      <c r="N194" s="3">
        <v>2024010123</v>
      </c>
      <c r="O194" s="3">
        <f t="shared" si="18"/>
        <v>1.23</v>
      </c>
      <c r="P194" s="6">
        <f t="shared" si="19"/>
        <v>968192.04</v>
      </c>
      <c r="Q194" s="3" t="str">
        <f t="shared" si="20"/>
        <v>Excellent</v>
      </c>
      <c r="R194" s="3">
        <f t="shared" si="21"/>
        <v>6431</v>
      </c>
      <c r="S194" s="7">
        <f t="shared" si="22"/>
        <v>115758</v>
      </c>
      <c r="T194" s="3" t="str">
        <f t="shared" si="23"/>
        <v>High Profit</v>
      </c>
      <c r="U194" s="3" t="str">
        <f t="shared" si="24"/>
        <v>Low Discount</v>
      </c>
      <c r="V194" s="3" t="str">
        <f t="shared" si="25"/>
        <v>Priority C</v>
      </c>
      <c r="W194">
        <f t="shared" si="26"/>
        <v>78714.8</v>
      </c>
      <c r="X194" t="s">
        <v>23</v>
      </c>
      <c r="Y194" t="s">
        <v>23</v>
      </c>
      <c r="Z194" t="s">
        <v>23</v>
      </c>
      <c r="AA194" t="s">
        <v>23</v>
      </c>
      <c r="AB194" t="s">
        <v>23</v>
      </c>
      <c r="AC194" t="s">
        <v>23</v>
      </c>
      <c r="AD194" t="s">
        <v>23</v>
      </c>
      <c r="AE194" t="s">
        <v>23</v>
      </c>
      <c r="AF194" t="s">
        <v>23</v>
      </c>
      <c r="AG194" t="s">
        <v>23</v>
      </c>
      <c r="AH194" t="s">
        <v>23</v>
      </c>
      <c r="AI194" t="s">
        <v>23</v>
      </c>
      <c r="AJ194" t="s">
        <v>23</v>
      </c>
    </row>
    <row r="195" spans="1:36" x14ac:dyDescent="0.35">
      <c r="A195" s="2">
        <v>1193</v>
      </c>
      <c r="B195" s="4">
        <v>44960</v>
      </c>
      <c r="C195" s="1" t="s">
        <v>24</v>
      </c>
      <c r="D195" s="1" t="s">
        <v>31</v>
      </c>
      <c r="E195">
        <v>719193</v>
      </c>
      <c r="F195">
        <v>18</v>
      </c>
      <c r="G195" s="1" t="s">
        <v>26</v>
      </c>
      <c r="H195">
        <v>37844</v>
      </c>
      <c r="I195">
        <v>41487</v>
      </c>
      <c r="J195" s="1" t="s">
        <v>33</v>
      </c>
      <c r="K195" s="3">
        <v>8</v>
      </c>
      <c r="L195" s="1" t="s">
        <v>28</v>
      </c>
      <c r="M195" s="1" t="s">
        <v>29</v>
      </c>
      <c r="N195" s="3">
        <v>2024010123</v>
      </c>
      <c r="O195" s="3">
        <f t="shared" ref="O195:O258" si="27">VALUE(RIGHT($N$2,3))/100</f>
        <v>1.23</v>
      </c>
      <c r="P195" s="6">
        <f t="shared" ref="P195:P258" si="28">E195*$O195</f>
        <v>884607.39</v>
      </c>
      <c r="Q195" s="3" t="str">
        <f t="shared" ref="Q195:Q258" si="29">IF(P195&gt;=5000,"Excellent",
   IF(P195&gt;=3000,"Good",
      IF(P195&gt;=1500,"Average","Below Average")))</f>
        <v>Excellent</v>
      </c>
      <c r="R195" s="3">
        <f t="shared" ref="R195:R258" si="30">I195-H195</f>
        <v>3643</v>
      </c>
      <c r="S195" s="7">
        <f t="shared" ref="S195:S258" si="31">R195*F195</f>
        <v>65574</v>
      </c>
      <c r="T195" s="3" t="str">
        <f t="shared" ref="T195:T258" si="32">IF(S195&gt;=1000,"High Profit",
   IF(S195&gt;=500,"Medium Profit","Low Profit"))</f>
        <v>High Profit</v>
      </c>
      <c r="U195" s="3" t="str">
        <f t="shared" ref="U195:U258" si="33">_xlfn.LET(
  _xlpm.d0, K195,
  _xlpm.d, IF(_xlpm.d0&gt;=1, _xlpm.d0/100, _xlpm.d0),
  IF(_xlpm.d&gt;=0.15, "High Discount",
     IF(_xlpm.d&gt;=0.05, "Medium Discount",
        IF(_xlpm.d&gt;0, "Low Discount", "No Discount")))
)</f>
        <v>Medium Discount</v>
      </c>
      <c r="V195" s="3" t="str">
        <f t="shared" ref="V195:V258" si="34">IF(AND(G195="Electronics",F195&gt;=30,M195="Online"),"Priority A",
   IF(AND(OR(G195="Furniture",G195="Electronics"),F195&gt;=20),"Priority B",
      IF(OR(M195="Online",F195&gt;=15),"Priority C","Priority D")))</f>
        <v>Priority C</v>
      </c>
      <c r="W195">
        <f t="shared" ref="W195:W258" si="35">IF(AND(Q195="Excellent",J195="Returning",T195="High Profit"),E195*0.15,
   IF(AND(Q195="Excellent",J195="New"),E195*0.1,
      IF(AND(OR(Q195="Good",Q195="Excellent"),L195="Cash"),E195*0.08,
         IF(AND(Q195="Good",T195="High Profit"),E195*0.06,
            IF(Q195="Average",E195*0.03,
               IF(Q195="Below Average",E195*0.01,0))))))</f>
        <v>71919.3</v>
      </c>
      <c r="X195" t="s">
        <v>23</v>
      </c>
      <c r="Y195" t="s">
        <v>23</v>
      </c>
      <c r="Z195" t="s">
        <v>23</v>
      </c>
      <c r="AA195" t="s">
        <v>23</v>
      </c>
      <c r="AB195" t="s">
        <v>23</v>
      </c>
      <c r="AC195" t="s">
        <v>23</v>
      </c>
      <c r="AD195" t="s">
        <v>23</v>
      </c>
      <c r="AE195" t="s">
        <v>23</v>
      </c>
      <c r="AF195" t="s">
        <v>23</v>
      </c>
      <c r="AG195" t="s">
        <v>23</v>
      </c>
      <c r="AH195" t="s">
        <v>23</v>
      </c>
      <c r="AI195" t="s">
        <v>23</v>
      </c>
      <c r="AJ195" t="s">
        <v>23</v>
      </c>
    </row>
    <row r="196" spans="1:36" x14ac:dyDescent="0.35">
      <c r="A196" s="2">
        <v>1194</v>
      </c>
      <c r="B196" s="4">
        <v>45203</v>
      </c>
      <c r="C196" s="1" t="s">
        <v>30</v>
      </c>
      <c r="D196" s="1" t="s">
        <v>25</v>
      </c>
      <c r="E196">
        <v>747854</v>
      </c>
      <c r="F196">
        <v>15</v>
      </c>
      <c r="G196" s="1" t="s">
        <v>26</v>
      </c>
      <c r="H196">
        <v>17279</v>
      </c>
      <c r="I196">
        <v>21412</v>
      </c>
      <c r="J196" s="1" t="s">
        <v>27</v>
      </c>
      <c r="K196" s="3">
        <v>8</v>
      </c>
      <c r="L196" s="1" t="s">
        <v>40</v>
      </c>
      <c r="M196" s="1" t="s">
        <v>29</v>
      </c>
      <c r="N196" s="3">
        <v>2024010123</v>
      </c>
      <c r="O196" s="3">
        <f t="shared" si="27"/>
        <v>1.23</v>
      </c>
      <c r="P196" s="6">
        <f t="shared" si="28"/>
        <v>919860.42</v>
      </c>
      <c r="Q196" s="3" t="str">
        <f t="shared" si="29"/>
        <v>Excellent</v>
      </c>
      <c r="R196" s="3">
        <f t="shared" si="30"/>
        <v>4133</v>
      </c>
      <c r="S196" s="7">
        <f t="shared" si="31"/>
        <v>61995</v>
      </c>
      <c r="T196" s="3" t="str">
        <f t="shared" si="32"/>
        <v>High Profit</v>
      </c>
      <c r="U196" s="3" t="str">
        <f t="shared" si="33"/>
        <v>Medium Discount</v>
      </c>
      <c r="V196" s="3" t="str">
        <f t="shared" si="34"/>
        <v>Priority C</v>
      </c>
      <c r="W196">
        <f t="shared" si="35"/>
        <v>112178.09999999999</v>
      </c>
      <c r="X196" t="s">
        <v>23</v>
      </c>
      <c r="Y196" t="s">
        <v>23</v>
      </c>
      <c r="Z196" t="s">
        <v>23</v>
      </c>
      <c r="AA196" t="s">
        <v>23</v>
      </c>
      <c r="AB196" t="s">
        <v>23</v>
      </c>
      <c r="AC196" t="s">
        <v>23</v>
      </c>
      <c r="AD196" t="s">
        <v>23</v>
      </c>
      <c r="AE196" t="s">
        <v>23</v>
      </c>
      <c r="AF196" t="s">
        <v>23</v>
      </c>
      <c r="AG196" t="s">
        <v>23</v>
      </c>
      <c r="AH196" t="s">
        <v>23</v>
      </c>
      <c r="AI196" t="s">
        <v>23</v>
      </c>
      <c r="AJ196" t="s">
        <v>23</v>
      </c>
    </row>
    <row r="197" spans="1:36" x14ac:dyDescent="0.35">
      <c r="A197" s="2">
        <v>1195</v>
      </c>
      <c r="B197" s="4">
        <v>45237</v>
      </c>
      <c r="C197" s="1" t="s">
        <v>30</v>
      </c>
      <c r="D197" s="1" t="s">
        <v>42</v>
      </c>
      <c r="E197">
        <v>108073</v>
      </c>
      <c r="F197">
        <v>18</v>
      </c>
      <c r="G197" s="1" t="s">
        <v>32</v>
      </c>
      <c r="H197">
        <v>36415</v>
      </c>
      <c r="I197">
        <v>43033</v>
      </c>
      <c r="J197" s="1" t="s">
        <v>33</v>
      </c>
      <c r="K197" s="3">
        <v>13</v>
      </c>
      <c r="L197" s="1" t="s">
        <v>36</v>
      </c>
      <c r="M197" s="1" t="s">
        <v>37</v>
      </c>
      <c r="N197" s="3">
        <v>2024010123</v>
      </c>
      <c r="O197" s="3">
        <f t="shared" si="27"/>
        <v>1.23</v>
      </c>
      <c r="P197" s="6">
        <f t="shared" si="28"/>
        <v>132929.79</v>
      </c>
      <c r="Q197" s="3" t="str">
        <f t="shared" si="29"/>
        <v>Excellent</v>
      </c>
      <c r="R197" s="3">
        <f t="shared" si="30"/>
        <v>6618</v>
      </c>
      <c r="S197" s="7">
        <f t="shared" si="31"/>
        <v>119124</v>
      </c>
      <c r="T197" s="3" t="str">
        <f t="shared" si="32"/>
        <v>High Profit</v>
      </c>
      <c r="U197" s="3" t="str">
        <f t="shared" si="33"/>
        <v>Medium Discount</v>
      </c>
      <c r="V197" s="3" t="str">
        <f t="shared" si="34"/>
        <v>Priority C</v>
      </c>
      <c r="W197">
        <f t="shared" si="35"/>
        <v>10807.300000000001</v>
      </c>
      <c r="X197" t="s">
        <v>23</v>
      </c>
      <c r="Y197" t="s">
        <v>23</v>
      </c>
      <c r="Z197" t="s">
        <v>23</v>
      </c>
      <c r="AA197" t="s">
        <v>23</v>
      </c>
      <c r="AB197" t="s">
        <v>23</v>
      </c>
      <c r="AC197" t="s">
        <v>23</v>
      </c>
      <c r="AD197" t="s">
        <v>23</v>
      </c>
      <c r="AE197" t="s">
        <v>23</v>
      </c>
      <c r="AF197" t="s">
        <v>23</v>
      </c>
      <c r="AG197" t="s">
        <v>23</v>
      </c>
      <c r="AH197" t="s">
        <v>23</v>
      </c>
      <c r="AI197" t="s">
        <v>23</v>
      </c>
      <c r="AJ197" t="s">
        <v>23</v>
      </c>
    </row>
    <row r="198" spans="1:36" x14ac:dyDescent="0.35">
      <c r="A198" s="2">
        <v>1196</v>
      </c>
      <c r="B198" s="4">
        <v>45017</v>
      </c>
      <c r="C198" s="1" t="s">
        <v>30</v>
      </c>
      <c r="D198" s="1" t="s">
        <v>43</v>
      </c>
      <c r="E198">
        <v>953197</v>
      </c>
      <c r="F198">
        <v>18</v>
      </c>
      <c r="G198" s="1" t="s">
        <v>32</v>
      </c>
      <c r="H198">
        <v>30798</v>
      </c>
      <c r="I198">
        <v>36057</v>
      </c>
      <c r="J198" s="1" t="s">
        <v>27</v>
      </c>
      <c r="K198" s="3">
        <v>25</v>
      </c>
      <c r="L198" s="1" t="s">
        <v>28</v>
      </c>
      <c r="M198" s="1" t="s">
        <v>29</v>
      </c>
      <c r="N198" s="3">
        <v>2024010123</v>
      </c>
      <c r="O198" s="3">
        <f t="shared" si="27"/>
        <v>1.23</v>
      </c>
      <c r="P198" s="6">
        <f t="shared" si="28"/>
        <v>1172432.31</v>
      </c>
      <c r="Q198" s="3" t="str">
        <f t="shared" si="29"/>
        <v>Excellent</v>
      </c>
      <c r="R198" s="3">
        <f t="shared" si="30"/>
        <v>5259</v>
      </c>
      <c r="S198" s="7">
        <f t="shared" si="31"/>
        <v>94662</v>
      </c>
      <c r="T198" s="3" t="str">
        <f t="shared" si="32"/>
        <v>High Profit</v>
      </c>
      <c r="U198" s="3" t="str">
        <f t="shared" si="33"/>
        <v>High Discount</v>
      </c>
      <c r="V198" s="3" t="str">
        <f t="shared" si="34"/>
        <v>Priority C</v>
      </c>
      <c r="W198">
        <f t="shared" si="35"/>
        <v>142979.54999999999</v>
      </c>
      <c r="X198" t="s">
        <v>23</v>
      </c>
      <c r="Y198" t="s">
        <v>23</v>
      </c>
      <c r="Z198" t="s">
        <v>23</v>
      </c>
      <c r="AA198" t="s">
        <v>23</v>
      </c>
      <c r="AB198" t="s">
        <v>23</v>
      </c>
      <c r="AC198" t="s">
        <v>23</v>
      </c>
      <c r="AD198" t="s">
        <v>23</v>
      </c>
      <c r="AE198" t="s">
        <v>23</v>
      </c>
      <c r="AF198" t="s">
        <v>23</v>
      </c>
      <c r="AG198" t="s">
        <v>23</v>
      </c>
      <c r="AH198" t="s">
        <v>23</v>
      </c>
      <c r="AI198" t="s">
        <v>23</v>
      </c>
      <c r="AJ198" t="s">
        <v>23</v>
      </c>
    </row>
    <row r="199" spans="1:36" x14ac:dyDescent="0.35">
      <c r="A199" s="2">
        <v>1197</v>
      </c>
      <c r="B199" s="4">
        <v>45228</v>
      </c>
      <c r="C199" s="1" t="s">
        <v>34</v>
      </c>
      <c r="D199" s="1" t="s">
        <v>31</v>
      </c>
      <c r="E199">
        <v>769925</v>
      </c>
      <c r="F199">
        <v>9</v>
      </c>
      <c r="G199" s="1" t="s">
        <v>35</v>
      </c>
      <c r="H199">
        <v>30150</v>
      </c>
      <c r="I199">
        <v>37403</v>
      </c>
      <c r="J199" s="1" t="s">
        <v>27</v>
      </c>
      <c r="K199" s="3">
        <v>24</v>
      </c>
      <c r="L199" s="1" t="s">
        <v>40</v>
      </c>
      <c r="M199" s="1" t="s">
        <v>37</v>
      </c>
      <c r="N199" s="3">
        <v>2024010123</v>
      </c>
      <c r="O199" s="3">
        <f t="shared" si="27"/>
        <v>1.23</v>
      </c>
      <c r="P199" s="6">
        <f t="shared" si="28"/>
        <v>947007.75</v>
      </c>
      <c r="Q199" s="3" t="str">
        <f t="shared" si="29"/>
        <v>Excellent</v>
      </c>
      <c r="R199" s="3">
        <f t="shared" si="30"/>
        <v>7253</v>
      </c>
      <c r="S199" s="7">
        <f t="shared" si="31"/>
        <v>65277</v>
      </c>
      <c r="T199" s="3" t="str">
        <f t="shared" si="32"/>
        <v>High Profit</v>
      </c>
      <c r="U199" s="3" t="str">
        <f t="shared" si="33"/>
        <v>High Discount</v>
      </c>
      <c r="V199" s="3" t="str">
        <f t="shared" si="34"/>
        <v>Priority C</v>
      </c>
      <c r="W199">
        <f t="shared" si="35"/>
        <v>115488.75</v>
      </c>
      <c r="X199" t="s">
        <v>23</v>
      </c>
      <c r="Y199" t="s">
        <v>23</v>
      </c>
      <c r="Z199" t="s">
        <v>23</v>
      </c>
      <c r="AA199" t="s">
        <v>23</v>
      </c>
      <c r="AB199" t="s">
        <v>23</v>
      </c>
      <c r="AC199" t="s">
        <v>23</v>
      </c>
      <c r="AD199" t="s">
        <v>23</v>
      </c>
      <c r="AE199" t="s">
        <v>23</v>
      </c>
      <c r="AF199" t="s">
        <v>23</v>
      </c>
      <c r="AG199" t="s">
        <v>23</v>
      </c>
      <c r="AH199" t="s">
        <v>23</v>
      </c>
      <c r="AI199" t="s">
        <v>23</v>
      </c>
      <c r="AJ199" t="s">
        <v>23</v>
      </c>
    </row>
    <row r="200" spans="1:36" x14ac:dyDescent="0.35">
      <c r="A200" s="2">
        <v>1198</v>
      </c>
      <c r="B200" s="4">
        <v>45203</v>
      </c>
      <c r="C200" s="1" t="s">
        <v>34</v>
      </c>
      <c r="D200" s="1" t="s">
        <v>31</v>
      </c>
      <c r="E200">
        <v>841969</v>
      </c>
      <c r="F200">
        <v>8</v>
      </c>
      <c r="G200" s="1" t="s">
        <v>35</v>
      </c>
      <c r="H200">
        <v>16617</v>
      </c>
      <c r="I200">
        <v>21403</v>
      </c>
      <c r="J200" s="1" t="s">
        <v>27</v>
      </c>
      <c r="K200" s="3">
        <v>18</v>
      </c>
      <c r="L200" s="1" t="s">
        <v>36</v>
      </c>
      <c r="M200" s="1" t="s">
        <v>37</v>
      </c>
      <c r="N200" s="3">
        <v>2024010123</v>
      </c>
      <c r="O200" s="3">
        <f t="shared" si="27"/>
        <v>1.23</v>
      </c>
      <c r="P200" s="6">
        <f t="shared" si="28"/>
        <v>1035621.87</v>
      </c>
      <c r="Q200" s="3" t="str">
        <f t="shared" si="29"/>
        <v>Excellent</v>
      </c>
      <c r="R200" s="3">
        <f t="shared" si="30"/>
        <v>4786</v>
      </c>
      <c r="S200" s="7">
        <f t="shared" si="31"/>
        <v>38288</v>
      </c>
      <c r="T200" s="3" t="str">
        <f t="shared" si="32"/>
        <v>High Profit</v>
      </c>
      <c r="U200" s="3" t="str">
        <f t="shared" si="33"/>
        <v>High Discount</v>
      </c>
      <c r="V200" s="3" t="str">
        <f t="shared" si="34"/>
        <v>Priority C</v>
      </c>
      <c r="W200">
        <f t="shared" si="35"/>
        <v>126295.34999999999</v>
      </c>
      <c r="X200" t="s">
        <v>23</v>
      </c>
      <c r="Y200" t="s">
        <v>23</v>
      </c>
      <c r="Z200" t="s">
        <v>23</v>
      </c>
      <c r="AA200" t="s">
        <v>23</v>
      </c>
      <c r="AB200" t="s">
        <v>23</v>
      </c>
      <c r="AC200" t="s">
        <v>23</v>
      </c>
      <c r="AD200" t="s">
        <v>23</v>
      </c>
      <c r="AE200" t="s">
        <v>23</v>
      </c>
      <c r="AF200" t="s">
        <v>23</v>
      </c>
      <c r="AG200" t="s">
        <v>23</v>
      </c>
      <c r="AH200" t="s">
        <v>23</v>
      </c>
      <c r="AI200" t="s">
        <v>23</v>
      </c>
      <c r="AJ200" t="s">
        <v>23</v>
      </c>
    </row>
    <row r="201" spans="1:36" x14ac:dyDescent="0.35">
      <c r="A201" s="2">
        <v>1199</v>
      </c>
      <c r="B201" s="4">
        <v>45072</v>
      </c>
      <c r="C201" s="1" t="s">
        <v>41</v>
      </c>
      <c r="D201" s="1" t="s">
        <v>31</v>
      </c>
      <c r="E201">
        <v>12854</v>
      </c>
      <c r="F201">
        <v>8</v>
      </c>
      <c r="G201" s="1" t="s">
        <v>26</v>
      </c>
      <c r="H201">
        <v>42605</v>
      </c>
      <c r="I201">
        <v>49764</v>
      </c>
      <c r="J201" s="1" t="s">
        <v>27</v>
      </c>
      <c r="K201" s="3">
        <v>28</v>
      </c>
      <c r="L201" s="1" t="s">
        <v>36</v>
      </c>
      <c r="M201" s="1" t="s">
        <v>37</v>
      </c>
      <c r="N201" s="3">
        <v>2024010123</v>
      </c>
      <c r="O201" s="3">
        <f t="shared" si="27"/>
        <v>1.23</v>
      </c>
      <c r="P201" s="6">
        <f t="shared" si="28"/>
        <v>15810.42</v>
      </c>
      <c r="Q201" s="3" t="str">
        <f t="shared" si="29"/>
        <v>Excellent</v>
      </c>
      <c r="R201" s="3">
        <f t="shared" si="30"/>
        <v>7159</v>
      </c>
      <c r="S201" s="7">
        <f t="shared" si="31"/>
        <v>57272</v>
      </c>
      <c r="T201" s="3" t="str">
        <f t="shared" si="32"/>
        <v>High Profit</v>
      </c>
      <c r="U201" s="3" t="str">
        <f t="shared" si="33"/>
        <v>High Discount</v>
      </c>
      <c r="V201" s="3" t="str">
        <f t="shared" si="34"/>
        <v>Priority C</v>
      </c>
      <c r="W201">
        <f t="shared" si="35"/>
        <v>1928.1</v>
      </c>
      <c r="X201" t="s">
        <v>23</v>
      </c>
      <c r="Y201" t="s">
        <v>23</v>
      </c>
      <c r="Z201" t="s">
        <v>23</v>
      </c>
      <c r="AA201" t="s">
        <v>23</v>
      </c>
      <c r="AB201" t="s">
        <v>23</v>
      </c>
      <c r="AC201" t="s">
        <v>23</v>
      </c>
      <c r="AD201" t="s">
        <v>23</v>
      </c>
      <c r="AE201" t="s">
        <v>23</v>
      </c>
      <c r="AF201" t="s">
        <v>23</v>
      </c>
      <c r="AG201" t="s">
        <v>23</v>
      </c>
      <c r="AH201" t="s">
        <v>23</v>
      </c>
      <c r="AI201" t="s">
        <v>23</v>
      </c>
      <c r="AJ201" t="s">
        <v>23</v>
      </c>
    </row>
    <row r="202" spans="1:36" x14ac:dyDescent="0.35">
      <c r="A202" s="2">
        <v>1200</v>
      </c>
      <c r="B202" s="4">
        <v>45279</v>
      </c>
      <c r="C202" s="1" t="s">
        <v>34</v>
      </c>
      <c r="D202" s="1" t="s">
        <v>31</v>
      </c>
      <c r="E202">
        <v>881744</v>
      </c>
      <c r="F202">
        <v>12</v>
      </c>
      <c r="G202" s="1" t="s">
        <v>39</v>
      </c>
      <c r="H202">
        <v>12000</v>
      </c>
      <c r="I202">
        <v>23000</v>
      </c>
      <c r="J202" s="1" t="s">
        <v>27</v>
      </c>
      <c r="K202" s="3">
        <v>0</v>
      </c>
      <c r="L202" s="1" t="s">
        <v>40</v>
      </c>
      <c r="M202" s="1" t="s">
        <v>37</v>
      </c>
      <c r="N202" s="3">
        <v>2024010123</v>
      </c>
      <c r="O202" s="3">
        <f t="shared" si="27"/>
        <v>1.23</v>
      </c>
      <c r="P202" s="6">
        <f t="shared" si="28"/>
        <v>1084545.1199999999</v>
      </c>
      <c r="Q202" s="3" t="str">
        <f t="shared" si="29"/>
        <v>Excellent</v>
      </c>
      <c r="R202" s="3">
        <f t="shared" si="30"/>
        <v>11000</v>
      </c>
      <c r="S202" s="7">
        <f t="shared" si="31"/>
        <v>132000</v>
      </c>
      <c r="T202" s="3" t="str">
        <f t="shared" si="32"/>
        <v>High Profit</v>
      </c>
      <c r="U202" s="3" t="str">
        <f t="shared" si="33"/>
        <v>No Discount</v>
      </c>
      <c r="V202" s="3" t="str">
        <f t="shared" si="34"/>
        <v>Priority C</v>
      </c>
      <c r="W202">
        <f t="shared" si="35"/>
        <v>132261.6</v>
      </c>
      <c r="X202" t="s">
        <v>23</v>
      </c>
      <c r="Y202" t="s">
        <v>23</v>
      </c>
      <c r="Z202" t="s">
        <v>23</v>
      </c>
      <c r="AA202" t="s">
        <v>23</v>
      </c>
      <c r="AB202" t="s">
        <v>23</v>
      </c>
      <c r="AC202" t="s">
        <v>23</v>
      </c>
      <c r="AD202" t="s">
        <v>23</v>
      </c>
      <c r="AE202" t="s">
        <v>23</v>
      </c>
      <c r="AF202" t="s">
        <v>23</v>
      </c>
      <c r="AG202" t="s">
        <v>23</v>
      </c>
      <c r="AH202" t="s">
        <v>23</v>
      </c>
      <c r="AI202" t="s">
        <v>23</v>
      </c>
      <c r="AJ202" t="s">
        <v>23</v>
      </c>
    </row>
    <row r="203" spans="1:36" x14ac:dyDescent="0.35">
      <c r="A203" s="2">
        <v>1201</v>
      </c>
      <c r="B203" s="4">
        <v>45171</v>
      </c>
      <c r="C203" s="1" t="s">
        <v>41</v>
      </c>
      <c r="D203" s="1" t="s">
        <v>42</v>
      </c>
      <c r="E203">
        <v>591267</v>
      </c>
      <c r="F203">
        <v>12</v>
      </c>
      <c r="G203" s="1" t="s">
        <v>35</v>
      </c>
      <c r="H203">
        <v>41443</v>
      </c>
      <c r="I203">
        <v>44440</v>
      </c>
      <c r="J203" s="1" t="s">
        <v>33</v>
      </c>
      <c r="K203" s="3">
        <v>3</v>
      </c>
      <c r="L203" s="1" t="s">
        <v>40</v>
      </c>
      <c r="M203" s="1" t="s">
        <v>29</v>
      </c>
      <c r="N203" s="3">
        <v>2024010123</v>
      </c>
      <c r="O203" s="3">
        <f t="shared" si="27"/>
        <v>1.23</v>
      </c>
      <c r="P203" s="6">
        <f t="shared" si="28"/>
        <v>727258.41</v>
      </c>
      <c r="Q203" s="3" t="str">
        <f t="shared" si="29"/>
        <v>Excellent</v>
      </c>
      <c r="R203" s="3">
        <f t="shared" si="30"/>
        <v>2997</v>
      </c>
      <c r="S203" s="7">
        <f t="shared" si="31"/>
        <v>35964</v>
      </c>
      <c r="T203" s="3" t="str">
        <f t="shared" si="32"/>
        <v>High Profit</v>
      </c>
      <c r="U203" s="3" t="str">
        <f t="shared" si="33"/>
        <v>Low Discount</v>
      </c>
      <c r="V203" s="3" t="str">
        <f t="shared" si="34"/>
        <v>Priority D</v>
      </c>
      <c r="W203">
        <f t="shared" si="35"/>
        <v>59126.700000000004</v>
      </c>
      <c r="X203" t="s">
        <v>23</v>
      </c>
      <c r="Y203" t="s">
        <v>23</v>
      </c>
      <c r="Z203" t="s">
        <v>23</v>
      </c>
      <c r="AA203" t="s">
        <v>23</v>
      </c>
      <c r="AB203" t="s">
        <v>23</v>
      </c>
      <c r="AC203" t="s">
        <v>23</v>
      </c>
      <c r="AD203" t="s">
        <v>23</v>
      </c>
      <c r="AE203" t="s">
        <v>23</v>
      </c>
      <c r="AF203" t="s">
        <v>23</v>
      </c>
      <c r="AG203" t="s">
        <v>23</v>
      </c>
      <c r="AH203" t="s">
        <v>23</v>
      </c>
      <c r="AI203" t="s">
        <v>23</v>
      </c>
      <c r="AJ203" t="s">
        <v>23</v>
      </c>
    </row>
    <row r="204" spans="1:36" x14ac:dyDescent="0.35">
      <c r="A204" s="2">
        <v>1202</v>
      </c>
      <c r="B204" s="4">
        <v>45084</v>
      </c>
      <c r="C204" s="1" t="s">
        <v>30</v>
      </c>
      <c r="D204" s="1" t="s">
        <v>43</v>
      </c>
      <c r="E204">
        <v>470001</v>
      </c>
      <c r="F204">
        <v>12</v>
      </c>
      <c r="G204" s="1" t="s">
        <v>32</v>
      </c>
      <c r="H204">
        <v>56303</v>
      </c>
      <c r="I204">
        <v>60035</v>
      </c>
      <c r="J204" s="1" t="s">
        <v>27</v>
      </c>
      <c r="K204" s="3">
        <v>3</v>
      </c>
      <c r="L204" s="1" t="s">
        <v>36</v>
      </c>
      <c r="M204" s="1" t="s">
        <v>29</v>
      </c>
      <c r="N204" s="3">
        <v>2024010123</v>
      </c>
      <c r="O204" s="3">
        <f t="shared" si="27"/>
        <v>1.23</v>
      </c>
      <c r="P204" s="6">
        <f t="shared" si="28"/>
        <v>578101.23</v>
      </c>
      <c r="Q204" s="3" t="str">
        <f t="shared" si="29"/>
        <v>Excellent</v>
      </c>
      <c r="R204" s="3">
        <f t="shared" si="30"/>
        <v>3732</v>
      </c>
      <c r="S204" s="7">
        <f t="shared" si="31"/>
        <v>44784</v>
      </c>
      <c r="T204" s="3" t="str">
        <f t="shared" si="32"/>
        <v>High Profit</v>
      </c>
      <c r="U204" s="3" t="str">
        <f t="shared" si="33"/>
        <v>Low Discount</v>
      </c>
      <c r="V204" s="3" t="str">
        <f t="shared" si="34"/>
        <v>Priority D</v>
      </c>
      <c r="W204">
        <f t="shared" si="35"/>
        <v>70500.149999999994</v>
      </c>
      <c r="X204" t="s">
        <v>23</v>
      </c>
      <c r="Y204" t="s">
        <v>23</v>
      </c>
      <c r="Z204" t="s">
        <v>23</v>
      </c>
      <c r="AA204" t="s">
        <v>23</v>
      </c>
      <c r="AB204" t="s">
        <v>23</v>
      </c>
      <c r="AC204" t="s">
        <v>23</v>
      </c>
      <c r="AD204" t="s">
        <v>23</v>
      </c>
      <c r="AE204" t="s">
        <v>23</v>
      </c>
      <c r="AF204" t="s">
        <v>23</v>
      </c>
      <c r="AG204" t="s">
        <v>23</v>
      </c>
      <c r="AH204" t="s">
        <v>23</v>
      </c>
      <c r="AI204" t="s">
        <v>23</v>
      </c>
      <c r="AJ204" t="s">
        <v>23</v>
      </c>
    </row>
    <row r="205" spans="1:36" x14ac:dyDescent="0.35">
      <c r="A205" s="2">
        <v>1203</v>
      </c>
      <c r="B205" s="4">
        <v>45111</v>
      </c>
      <c r="C205" s="1" t="s">
        <v>41</v>
      </c>
      <c r="D205" s="1" t="s">
        <v>31</v>
      </c>
      <c r="E205">
        <v>671817</v>
      </c>
      <c r="F205">
        <v>4</v>
      </c>
      <c r="G205" s="1" t="s">
        <v>39</v>
      </c>
      <c r="H205">
        <v>43072</v>
      </c>
      <c r="I205">
        <v>47777</v>
      </c>
      <c r="J205" s="1" t="s">
        <v>33</v>
      </c>
      <c r="K205" s="3">
        <v>10</v>
      </c>
      <c r="L205" s="1" t="s">
        <v>36</v>
      </c>
      <c r="M205" s="1" t="s">
        <v>29</v>
      </c>
      <c r="N205" s="3">
        <v>2024010123</v>
      </c>
      <c r="O205" s="3">
        <f t="shared" si="27"/>
        <v>1.23</v>
      </c>
      <c r="P205" s="6">
        <f t="shared" si="28"/>
        <v>826334.91</v>
      </c>
      <c r="Q205" s="3" t="str">
        <f t="shared" si="29"/>
        <v>Excellent</v>
      </c>
      <c r="R205" s="3">
        <f t="shared" si="30"/>
        <v>4705</v>
      </c>
      <c r="S205" s="7">
        <f t="shared" si="31"/>
        <v>18820</v>
      </c>
      <c r="T205" s="3" t="str">
        <f t="shared" si="32"/>
        <v>High Profit</v>
      </c>
      <c r="U205" s="3" t="str">
        <f t="shared" si="33"/>
        <v>Medium Discount</v>
      </c>
      <c r="V205" s="3" t="str">
        <f t="shared" si="34"/>
        <v>Priority D</v>
      </c>
      <c r="W205">
        <f t="shared" si="35"/>
        <v>67181.7</v>
      </c>
      <c r="X205" t="s">
        <v>23</v>
      </c>
      <c r="Y205" t="s">
        <v>23</v>
      </c>
      <c r="Z205" t="s">
        <v>23</v>
      </c>
      <c r="AA205" t="s">
        <v>23</v>
      </c>
      <c r="AB205" t="s">
        <v>23</v>
      </c>
      <c r="AC205" t="s">
        <v>23</v>
      </c>
      <c r="AD205" t="s">
        <v>23</v>
      </c>
      <c r="AE205" t="s">
        <v>23</v>
      </c>
      <c r="AF205" t="s">
        <v>23</v>
      </c>
      <c r="AG205" t="s">
        <v>23</v>
      </c>
      <c r="AH205" t="s">
        <v>23</v>
      </c>
      <c r="AI205" t="s">
        <v>23</v>
      </c>
      <c r="AJ205" t="s">
        <v>23</v>
      </c>
    </row>
    <row r="206" spans="1:36" x14ac:dyDescent="0.35">
      <c r="A206" s="2">
        <v>1204</v>
      </c>
      <c r="B206" s="4">
        <v>45209</v>
      </c>
      <c r="C206" s="1" t="s">
        <v>30</v>
      </c>
      <c r="D206" s="1" t="s">
        <v>31</v>
      </c>
      <c r="E206">
        <v>821371</v>
      </c>
      <c r="F206">
        <v>12</v>
      </c>
      <c r="G206" s="1" t="s">
        <v>35</v>
      </c>
      <c r="H206">
        <v>53605</v>
      </c>
      <c r="I206">
        <v>57920</v>
      </c>
      <c r="J206" s="1" t="s">
        <v>33</v>
      </c>
      <c r="K206" s="3">
        <v>6</v>
      </c>
      <c r="L206" s="1" t="s">
        <v>36</v>
      </c>
      <c r="M206" s="1" t="s">
        <v>37</v>
      </c>
      <c r="N206" s="3">
        <v>2024010123</v>
      </c>
      <c r="O206" s="3">
        <f t="shared" si="27"/>
        <v>1.23</v>
      </c>
      <c r="P206" s="6">
        <f t="shared" si="28"/>
        <v>1010286.33</v>
      </c>
      <c r="Q206" s="3" t="str">
        <f t="shared" si="29"/>
        <v>Excellent</v>
      </c>
      <c r="R206" s="3">
        <f t="shared" si="30"/>
        <v>4315</v>
      </c>
      <c r="S206" s="7">
        <f t="shared" si="31"/>
        <v>51780</v>
      </c>
      <c r="T206" s="3" t="str">
        <f t="shared" si="32"/>
        <v>High Profit</v>
      </c>
      <c r="U206" s="3" t="str">
        <f t="shared" si="33"/>
        <v>Medium Discount</v>
      </c>
      <c r="V206" s="3" t="str">
        <f t="shared" si="34"/>
        <v>Priority C</v>
      </c>
      <c r="W206">
        <f t="shared" si="35"/>
        <v>82137.100000000006</v>
      </c>
      <c r="X206" t="s">
        <v>23</v>
      </c>
      <c r="Y206" t="s">
        <v>23</v>
      </c>
      <c r="Z206" t="s">
        <v>23</v>
      </c>
      <c r="AA206" t="s">
        <v>23</v>
      </c>
      <c r="AB206" t="s">
        <v>23</v>
      </c>
      <c r="AC206" t="s">
        <v>23</v>
      </c>
      <c r="AD206" t="s">
        <v>23</v>
      </c>
      <c r="AE206" t="s">
        <v>23</v>
      </c>
      <c r="AF206" t="s">
        <v>23</v>
      </c>
      <c r="AG206" t="s">
        <v>23</v>
      </c>
      <c r="AH206" t="s">
        <v>23</v>
      </c>
      <c r="AI206" t="s">
        <v>23</v>
      </c>
      <c r="AJ206" t="s">
        <v>23</v>
      </c>
    </row>
    <row r="207" spans="1:36" x14ac:dyDescent="0.35">
      <c r="A207" s="2">
        <v>1205</v>
      </c>
      <c r="B207" s="4">
        <v>45083</v>
      </c>
      <c r="C207" s="1" t="s">
        <v>24</v>
      </c>
      <c r="D207" s="1" t="s">
        <v>31</v>
      </c>
      <c r="E207">
        <v>608861</v>
      </c>
      <c r="F207">
        <v>12</v>
      </c>
      <c r="G207" s="1" t="s">
        <v>26</v>
      </c>
      <c r="H207">
        <v>40059</v>
      </c>
      <c r="I207">
        <v>42360</v>
      </c>
      <c r="J207" s="1" t="s">
        <v>27</v>
      </c>
      <c r="K207" s="3">
        <v>9</v>
      </c>
      <c r="L207" s="1" t="s">
        <v>28</v>
      </c>
      <c r="M207" s="1" t="s">
        <v>29</v>
      </c>
      <c r="N207" s="3">
        <v>2024010123</v>
      </c>
      <c r="O207" s="3">
        <f t="shared" si="27"/>
        <v>1.23</v>
      </c>
      <c r="P207" s="6">
        <f t="shared" si="28"/>
        <v>748899.03</v>
      </c>
      <c r="Q207" s="3" t="str">
        <f t="shared" si="29"/>
        <v>Excellent</v>
      </c>
      <c r="R207" s="3">
        <f t="shared" si="30"/>
        <v>2301</v>
      </c>
      <c r="S207" s="7">
        <f t="shared" si="31"/>
        <v>27612</v>
      </c>
      <c r="T207" s="3" t="str">
        <f t="shared" si="32"/>
        <v>High Profit</v>
      </c>
      <c r="U207" s="3" t="str">
        <f t="shared" si="33"/>
        <v>Medium Discount</v>
      </c>
      <c r="V207" s="3" t="str">
        <f t="shared" si="34"/>
        <v>Priority D</v>
      </c>
      <c r="W207">
        <f t="shared" si="35"/>
        <v>91329.15</v>
      </c>
      <c r="X207" t="s">
        <v>23</v>
      </c>
      <c r="Y207" t="s">
        <v>23</v>
      </c>
      <c r="Z207" t="s">
        <v>23</v>
      </c>
      <c r="AA207" t="s">
        <v>23</v>
      </c>
      <c r="AB207" t="s">
        <v>23</v>
      </c>
      <c r="AC207" t="s">
        <v>23</v>
      </c>
      <c r="AD207" t="s">
        <v>23</v>
      </c>
      <c r="AE207" t="s">
        <v>23</v>
      </c>
      <c r="AF207" t="s">
        <v>23</v>
      </c>
      <c r="AG207" t="s">
        <v>23</v>
      </c>
      <c r="AH207" t="s">
        <v>23</v>
      </c>
      <c r="AI207" t="s">
        <v>23</v>
      </c>
      <c r="AJ207" t="s">
        <v>23</v>
      </c>
    </row>
    <row r="208" spans="1:36" x14ac:dyDescent="0.35">
      <c r="A208" s="2">
        <v>1206</v>
      </c>
      <c r="B208" s="4">
        <v>45215</v>
      </c>
      <c r="C208" s="1" t="s">
        <v>34</v>
      </c>
      <c r="D208" s="1" t="s">
        <v>43</v>
      </c>
      <c r="E208">
        <v>397082</v>
      </c>
      <c r="F208">
        <v>12</v>
      </c>
      <c r="G208" s="1" t="s">
        <v>35</v>
      </c>
      <c r="H208">
        <v>22696</v>
      </c>
      <c r="I208">
        <v>24702</v>
      </c>
      <c r="J208" s="1" t="s">
        <v>33</v>
      </c>
      <c r="K208" s="3">
        <v>19</v>
      </c>
      <c r="L208" s="1" t="s">
        <v>40</v>
      </c>
      <c r="M208" s="1" t="s">
        <v>29</v>
      </c>
      <c r="N208" s="3">
        <v>2024010123</v>
      </c>
      <c r="O208" s="3">
        <f t="shared" si="27"/>
        <v>1.23</v>
      </c>
      <c r="P208" s="6">
        <f t="shared" si="28"/>
        <v>488410.86</v>
      </c>
      <c r="Q208" s="3" t="str">
        <f t="shared" si="29"/>
        <v>Excellent</v>
      </c>
      <c r="R208" s="3">
        <f t="shared" si="30"/>
        <v>2006</v>
      </c>
      <c r="S208" s="7">
        <f t="shared" si="31"/>
        <v>24072</v>
      </c>
      <c r="T208" s="3" t="str">
        <f t="shared" si="32"/>
        <v>High Profit</v>
      </c>
      <c r="U208" s="3" t="str">
        <f t="shared" si="33"/>
        <v>High Discount</v>
      </c>
      <c r="V208" s="3" t="str">
        <f t="shared" si="34"/>
        <v>Priority D</v>
      </c>
      <c r="W208">
        <f t="shared" si="35"/>
        <v>39708.200000000004</v>
      </c>
      <c r="X208" t="s">
        <v>23</v>
      </c>
      <c r="Y208" t="s">
        <v>23</v>
      </c>
      <c r="Z208" t="s">
        <v>23</v>
      </c>
      <c r="AA208" t="s">
        <v>23</v>
      </c>
      <c r="AB208" t="s">
        <v>23</v>
      </c>
      <c r="AC208" t="s">
        <v>23</v>
      </c>
      <c r="AD208" t="s">
        <v>23</v>
      </c>
      <c r="AE208" t="s">
        <v>23</v>
      </c>
      <c r="AF208" t="s">
        <v>23</v>
      </c>
      <c r="AG208" t="s">
        <v>23</v>
      </c>
      <c r="AH208" t="s">
        <v>23</v>
      </c>
      <c r="AI208" t="s">
        <v>23</v>
      </c>
      <c r="AJ208" t="s">
        <v>23</v>
      </c>
    </row>
    <row r="209" spans="1:36" x14ac:dyDescent="0.35">
      <c r="A209" s="2">
        <v>1207</v>
      </c>
      <c r="B209" s="4">
        <v>44988</v>
      </c>
      <c r="C209" s="1" t="s">
        <v>30</v>
      </c>
      <c r="D209" s="1" t="s">
        <v>43</v>
      </c>
      <c r="E209">
        <v>78057</v>
      </c>
      <c r="F209">
        <v>4</v>
      </c>
      <c r="G209" s="1" t="s">
        <v>35</v>
      </c>
      <c r="H209">
        <v>47633</v>
      </c>
      <c r="I209">
        <v>49162</v>
      </c>
      <c r="J209" s="1" t="s">
        <v>33</v>
      </c>
      <c r="K209" s="3">
        <v>25</v>
      </c>
      <c r="L209" s="1" t="s">
        <v>28</v>
      </c>
      <c r="M209" s="1" t="s">
        <v>29</v>
      </c>
      <c r="N209" s="3">
        <v>2024010123</v>
      </c>
      <c r="O209" s="3">
        <f t="shared" si="27"/>
        <v>1.23</v>
      </c>
      <c r="P209" s="6">
        <f t="shared" si="28"/>
        <v>96010.11</v>
      </c>
      <c r="Q209" s="3" t="str">
        <f t="shared" si="29"/>
        <v>Excellent</v>
      </c>
      <c r="R209" s="3">
        <f t="shared" si="30"/>
        <v>1529</v>
      </c>
      <c r="S209" s="7">
        <f t="shared" si="31"/>
        <v>6116</v>
      </c>
      <c r="T209" s="3" t="str">
        <f t="shared" si="32"/>
        <v>High Profit</v>
      </c>
      <c r="U209" s="3" t="str">
        <f t="shared" si="33"/>
        <v>High Discount</v>
      </c>
      <c r="V209" s="3" t="str">
        <f t="shared" si="34"/>
        <v>Priority D</v>
      </c>
      <c r="W209">
        <f t="shared" si="35"/>
        <v>7805.7000000000007</v>
      </c>
      <c r="X209" t="s">
        <v>23</v>
      </c>
      <c r="Y209" t="s">
        <v>23</v>
      </c>
      <c r="Z209" t="s">
        <v>23</v>
      </c>
      <c r="AA209" t="s">
        <v>23</v>
      </c>
      <c r="AB209" t="s">
        <v>23</v>
      </c>
      <c r="AC209" t="s">
        <v>23</v>
      </c>
      <c r="AD209" t="s">
        <v>23</v>
      </c>
      <c r="AE209" t="s">
        <v>23</v>
      </c>
      <c r="AF209" t="s">
        <v>23</v>
      </c>
      <c r="AG209" t="s">
        <v>23</v>
      </c>
      <c r="AH209" t="s">
        <v>23</v>
      </c>
      <c r="AI209" t="s">
        <v>23</v>
      </c>
      <c r="AJ209" t="s">
        <v>23</v>
      </c>
    </row>
    <row r="210" spans="1:36" x14ac:dyDescent="0.35">
      <c r="A210" s="2">
        <v>1208</v>
      </c>
      <c r="B210" s="4">
        <v>45040</v>
      </c>
      <c r="C210" s="1" t="s">
        <v>24</v>
      </c>
      <c r="D210" s="1" t="s">
        <v>25</v>
      </c>
      <c r="E210">
        <v>200604</v>
      </c>
      <c r="F210">
        <v>12</v>
      </c>
      <c r="G210" s="1" t="s">
        <v>39</v>
      </c>
      <c r="H210">
        <v>50353</v>
      </c>
      <c r="I210">
        <v>53897</v>
      </c>
      <c r="J210" s="1" t="s">
        <v>33</v>
      </c>
      <c r="K210" s="3">
        <v>23</v>
      </c>
      <c r="L210" s="1" t="s">
        <v>40</v>
      </c>
      <c r="M210" s="1" t="s">
        <v>29</v>
      </c>
      <c r="N210" s="3">
        <v>2024010123</v>
      </c>
      <c r="O210" s="3">
        <f t="shared" si="27"/>
        <v>1.23</v>
      </c>
      <c r="P210" s="6">
        <f t="shared" si="28"/>
        <v>246742.91999999998</v>
      </c>
      <c r="Q210" s="3" t="str">
        <f t="shared" si="29"/>
        <v>Excellent</v>
      </c>
      <c r="R210" s="3">
        <f t="shared" si="30"/>
        <v>3544</v>
      </c>
      <c r="S210" s="7">
        <f t="shared" si="31"/>
        <v>42528</v>
      </c>
      <c r="T210" s="3" t="str">
        <f t="shared" si="32"/>
        <v>High Profit</v>
      </c>
      <c r="U210" s="3" t="str">
        <f t="shared" si="33"/>
        <v>High Discount</v>
      </c>
      <c r="V210" s="3" t="str">
        <f t="shared" si="34"/>
        <v>Priority D</v>
      </c>
      <c r="W210">
        <f t="shared" si="35"/>
        <v>20060.400000000001</v>
      </c>
      <c r="X210" t="s">
        <v>23</v>
      </c>
      <c r="Y210" t="s">
        <v>23</v>
      </c>
      <c r="Z210" t="s">
        <v>23</v>
      </c>
      <c r="AA210" t="s">
        <v>23</v>
      </c>
      <c r="AB210" t="s">
        <v>23</v>
      </c>
      <c r="AC210" t="s">
        <v>23</v>
      </c>
      <c r="AD210" t="s">
        <v>23</v>
      </c>
      <c r="AE210" t="s">
        <v>23</v>
      </c>
      <c r="AF210" t="s">
        <v>23</v>
      </c>
      <c r="AG210" t="s">
        <v>23</v>
      </c>
      <c r="AH210" t="s">
        <v>23</v>
      </c>
      <c r="AI210" t="s">
        <v>23</v>
      </c>
      <c r="AJ210" t="s">
        <v>23</v>
      </c>
    </row>
    <row r="211" spans="1:36" x14ac:dyDescent="0.35">
      <c r="A211" s="2">
        <v>1209</v>
      </c>
      <c r="B211" s="4">
        <v>45176</v>
      </c>
      <c r="C211" s="1" t="s">
        <v>24</v>
      </c>
      <c r="D211" s="1" t="s">
        <v>42</v>
      </c>
      <c r="E211">
        <v>378172</v>
      </c>
      <c r="F211">
        <v>12</v>
      </c>
      <c r="G211" s="1" t="s">
        <v>26</v>
      </c>
      <c r="H211">
        <v>40415</v>
      </c>
      <c r="I211">
        <v>44565</v>
      </c>
      <c r="J211" s="1" t="s">
        <v>27</v>
      </c>
      <c r="K211" s="3">
        <v>22</v>
      </c>
      <c r="L211" s="1" t="s">
        <v>28</v>
      </c>
      <c r="M211" s="1" t="s">
        <v>37</v>
      </c>
      <c r="N211" s="3">
        <v>2024010123</v>
      </c>
      <c r="O211" s="3">
        <f t="shared" si="27"/>
        <v>1.23</v>
      </c>
      <c r="P211" s="6">
        <f t="shared" si="28"/>
        <v>465151.56</v>
      </c>
      <c r="Q211" s="3" t="str">
        <f t="shared" si="29"/>
        <v>Excellent</v>
      </c>
      <c r="R211" s="3">
        <f t="shared" si="30"/>
        <v>4150</v>
      </c>
      <c r="S211" s="7">
        <f t="shared" si="31"/>
        <v>49800</v>
      </c>
      <c r="T211" s="3" t="str">
        <f t="shared" si="32"/>
        <v>High Profit</v>
      </c>
      <c r="U211" s="3" t="str">
        <f t="shared" si="33"/>
        <v>High Discount</v>
      </c>
      <c r="V211" s="3" t="str">
        <f t="shared" si="34"/>
        <v>Priority C</v>
      </c>
      <c r="W211">
        <f t="shared" si="35"/>
        <v>56725.799999999996</v>
      </c>
      <c r="X211" t="s">
        <v>23</v>
      </c>
      <c r="Y211" t="s">
        <v>23</v>
      </c>
      <c r="Z211" t="s">
        <v>23</v>
      </c>
      <c r="AA211" t="s">
        <v>23</v>
      </c>
      <c r="AB211" t="s">
        <v>23</v>
      </c>
      <c r="AC211" t="s">
        <v>23</v>
      </c>
      <c r="AD211" t="s">
        <v>23</v>
      </c>
      <c r="AE211" t="s">
        <v>23</v>
      </c>
      <c r="AF211" t="s">
        <v>23</v>
      </c>
      <c r="AG211" t="s">
        <v>23</v>
      </c>
      <c r="AH211" t="s">
        <v>23</v>
      </c>
      <c r="AI211" t="s">
        <v>23</v>
      </c>
      <c r="AJ211" t="s">
        <v>23</v>
      </c>
    </row>
    <row r="212" spans="1:36" x14ac:dyDescent="0.35">
      <c r="A212" s="2">
        <v>1210</v>
      </c>
      <c r="B212" s="4">
        <v>44929</v>
      </c>
      <c r="C212" s="1" t="s">
        <v>41</v>
      </c>
      <c r="D212" s="1" t="s">
        <v>43</v>
      </c>
      <c r="E212">
        <v>541418</v>
      </c>
      <c r="F212">
        <v>30</v>
      </c>
      <c r="G212" s="1" t="s">
        <v>39</v>
      </c>
      <c r="H212">
        <v>14166</v>
      </c>
      <c r="I212">
        <v>20277</v>
      </c>
      <c r="J212" s="1" t="s">
        <v>33</v>
      </c>
      <c r="K212" s="3">
        <v>0</v>
      </c>
      <c r="L212" s="1" t="s">
        <v>36</v>
      </c>
      <c r="M212" s="1" t="s">
        <v>37</v>
      </c>
      <c r="N212" s="3">
        <v>2024010123</v>
      </c>
      <c r="O212" s="3">
        <f t="shared" si="27"/>
        <v>1.23</v>
      </c>
      <c r="P212" s="6">
        <f t="shared" si="28"/>
        <v>665944.14</v>
      </c>
      <c r="Q212" s="3" t="str">
        <f t="shared" si="29"/>
        <v>Excellent</v>
      </c>
      <c r="R212" s="3">
        <f t="shared" si="30"/>
        <v>6111</v>
      </c>
      <c r="S212" s="7">
        <f t="shared" si="31"/>
        <v>183330</v>
      </c>
      <c r="T212" s="3" t="str">
        <f t="shared" si="32"/>
        <v>High Profit</v>
      </c>
      <c r="U212" s="3" t="str">
        <f t="shared" si="33"/>
        <v>No Discount</v>
      </c>
      <c r="V212" s="3" t="str">
        <f t="shared" si="34"/>
        <v>Priority A</v>
      </c>
      <c r="W212">
        <f t="shared" si="35"/>
        <v>54141.8</v>
      </c>
      <c r="X212" t="s">
        <v>23</v>
      </c>
      <c r="Y212" t="s">
        <v>23</v>
      </c>
      <c r="Z212" t="s">
        <v>23</v>
      </c>
      <c r="AA212" t="s">
        <v>23</v>
      </c>
      <c r="AB212" t="s">
        <v>23</v>
      </c>
      <c r="AC212" t="s">
        <v>23</v>
      </c>
      <c r="AD212" t="s">
        <v>23</v>
      </c>
      <c r="AE212" t="s">
        <v>23</v>
      </c>
      <c r="AF212" t="s">
        <v>23</v>
      </c>
      <c r="AG212" t="s">
        <v>23</v>
      </c>
      <c r="AH212" t="s">
        <v>23</v>
      </c>
      <c r="AI212" t="s">
        <v>23</v>
      </c>
      <c r="AJ212" t="s">
        <v>23</v>
      </c>
    </row>
    <row r="213" spans="1:36" x14ac:dyDescent="0.35">
      <c r="A213" s="2">
        <v>1211</v>
      </c>
      <c r="B213" s="4">
        <v>45015</v>
      </c>
      <c r="C213" s="1" t="s">
        <v>38</v>
      </c>
      <c r="D213" s="1" t="s">
        <v>43</v>
      </c>
      <c r="E213">
        <v>163538</v>
      </c>
      <c r="F213">
        <v>17</v>
      </c>
      <c r="G213" s="1" t="s">
        <v>35</v>
      </c>
      <c r="H213">
        <v>15400</v>
      </c>
      <c r="I213">
        <v>25192</v>
      </c>
      <c r="J213" s="1" t="s">
        <v>33</v>
      </c>
      <c r="K213" s="3">
        <v>3</v>
      </c>
      <c r="L213" s="1" t="s">
        <v>28</v>
      </c>
      <c r="M213" s="1" t="s">
        <v>29</v>
      </c>
      <c r="N213" s="3">
        <v>2024010123</v>
      </c>
      <c r="O213" s="3">
        <f t="shared" si="27"/>
        <v>1.23</v>
      </c>
      <c r="P213" s="6">
        <f t="shared" si="28"/>
        <v>201151.74</v>
      </c>
      <c r="Q213" s="3" t="str">
        <f t="shared" si="29"/>
        <v>Excellent</v>
      </c>
      <c r="R213" s="3">
        <f t="shared" si="30"/>
        <v>9792</v>
      </c>
      <c r="S213" s="7">
        <f t="shared" si="31"/>
        <v>166464</v>
      </c>
      <c r="T213" s="3" t="str">
        <f t="shared" si="32"/>
        <v>High Profit</v>
      </c>
      <c r="U213" s="3" t="str">
        <f t="shared" si="33"/>
        <v>Low Discount</v>
      </c>
      <c r="V213" s="3" t="str">
        <f t="shared" si="34"/>
        <v>Priority C</v>
      </c>
      <c r="W213">
        <f t="shared" si="35"/>
        <v>16353.800000000001</v>
      </c>
      <c r="X213" t="s">
        <v>23</v>
      </c>
      <c r="Y213" t="s">
        <v>23</v>
      </c>
      <c r="Z213" t="s">
        <v>23</v>
      </c>
      <c r="AA213" t="s">
        <v>23</v>
      </c>
      <c r="AB213" t="s">
        <v>23</v>
      </c>
      <c r="AC213" t="s">
        <v>23</v>
      </c>
      <c r="AD213" t="s">
        <v>23</v>
      </c>
      <c r="AE213" t="s">
        <v>23</v>
      </c>
      <c r="AF213" t="s">
        <v>23</v>
      </c>
      <c r="AG213" t="s">
        <v>23</v>
      </c>
      <c r="AH213" t="s">
        <v>23</v>
      </c>
      <c r="AI213" t="s">
        <v>23</v>
      </c>
      <c r="AJ213" t="s">
        <v>23</v>
      </c>
    </row>
    <row r="214" spans="1:36" x14ac:dyDescent="0.35">
      <c r="A214" s="2">
        <v>1212</v>
      </c>
      <c r="B214" s="4">
        <v>44992</v>
      </c>
      <c r="C214" s="1" t="s">
        <v>41</v>
      </c>
      <c r="D214" s="1" t="s">
        <v>42</v>
      </c>
      <c r="E214">
        <v>711912</v>
      </c>
      <c r="F214">
        <v>12</v>
      </c>
      <c r="G214" s="1" t="s">
        <v>39</v>
      </c>
      <c r="H214">
        <v>18884</v>
      </c>
      <c r="I214">
        <v>25338</v>
      </c>
      <c r="J214" s="1" t="s">
        <v>33</v>
      </c>
      <c r="K214" s="3">
        <v>2</v>
      </c>
      <c r="L214" s="1" t="s">
        <v>28</v>
      </c>
      <c r="M214" s="1" t="s">
        <v>37</v>
      </c>
      <c r="N214" s="3">
        <v>2024010123</v>
      </c>
      <c r="O214" s="3">
        <f t="shared" si="27"/>
        <v>1.23</v>
      </c>
      <c r="P214" s="6">
        <f t="shared" si="28"/>
        <v>875651.76</v>
      </c>
      <c r="Q214" s="3" t="str">
        <f t="shared" si="29"/>
        <v>Excellent</v>
      </c>
      <c r="R214" s="3">
        <f t="shared" si="30"/>
        <v>6454</v>
      </c>
      <c r="S214" s="7">
        <f t="shared" si="31"/>
        <v>77448</v>
      </c>
      <c r="T214" s="3" t="str">
        <f t="shared" si="32"/>
        <v>High Profit</v>
      </c>
      <c r="U214" s="3" t="str">
        <f t="shared" si="33"/>
        <v>Low Discount</v>
      </c>
      <c r="V214" s="3" t="str">
        <f t="shared" si="34"/>
        <v>Priority C</v>
      </c>
      <c r="W214">
        <f t="shared" si="35"/>
        <v>71191.199999999997</v>
      </c>
      <c r="X214" t="s">
        <v>23</v>
      </c>
      <c r="Y214" t="s">
        <v>23</v>
      </c>
      <c r="Z214" t="s">
        <v>23</v>
      </c>
      <c r="AA214" t="s">
        <v>23</v>
      </c>
      <c r="AB214" t="s">
        <v>23</v>
      </c>
      <c r="AC214" t="s">
        <v>23</v>
      </c>
      <c r="AD214" t="s">
        <v>23</v>
      </c>
      <c r="AE214" t="s">
        <v>23</v>
      </c>
      <c r="AF214" t="s">
        <v>23</v>
      </c>
      <c r="AG214" t="s">
        <v>23</v>
      </c>
      <c r="AH214" t="s">
        <v>23</v>
      </c>
      <c r="AI214" t="s">
        <v>23</v>
      </c>
      <c r="AJ214" t="s">
        <v>23</v>
      </c>
    </row>
    <row r="215" spans="1:36" x14ac:dyDescent="0.35">
      <c r="A215" s="2">
        <v>1213</v>
      </c>
      <c r="B215" s="4">
        <v>44977</v>
      </c>
      <c r="C215" s="1" t="s">
        <v>24</v>
      </c>
      <c r="D215" s="1" t="s">
        <v>42</v>
      </c>
      <c r="E215">
        <v>91112</v>
      </c>
      <c r="F215">
        <v>17</v>
      </c>
      <c r="G215" s="1" t="s">
        <v>39</v>
      </c>
      <c r="H215">
        <v>16795</v>
      </c>
      <c r="I215">
        <v>30548</v>
      </c>
      <c r="J215" s="1" t="s">
        <v>33</v>
      </c>
      <c r="K215" s="3">
        <v>12</v>
      </c>
      <c r="L215" s="1" t="s">
        <v>28</v>
      </c>
      <c r="M215" s="1" t="s">
        <v>29</v>
      </c>
      <c r="N215" s="3">
        <v>2024010123</v>
      </c>
      <c r="O215" s="3">
        <f t="shared" si="27"/>
        <v>1.23</v>
      </c>
      <c r="P215" s="6">
        <f t="shared" si="28"/>
        <v>112067.76</v>
      </c>
      <c r="Q215" s="3" t="str">
        <f t="shared" si="29"/>
        <v>Excellent</v>
      </c>
      <c r="R215" s="3">
        <f t="shared" si="30"/>
        <v>13753</v>
      </c>
      <c r="S215" s="7">
        <f t="shared" si="31"/>
        <v>233801</v>
      </c>
      <c r="T215" s="3" t="str">
        <f t="shared" si="32"/>
        <v>High Profit</v>
      </c>
      <c r="U215" s="3" t="str">
        <f t="shared" si="33"/>
        <v>Medium Discount</v>
      </c>
      <c r="V215" s="3" t="str">
        <f t="shared" si="34"/>
        <v>Priority C</v>
      </c>
      <c r="W215">
        <f t="shared" si="35"/>
        <v>9111.2000000000007</v>
      </c>
      <c r="X215" t="s">
        <v>23</v>
      </c>
      <c r="Y215" t="s">
        <v>23</v>
      </c>
      <c r="Z215" t="s">
        <v>23</v>
      </c>
      <c r="AA215" t="s">
        <v>23</v>
      </c>
      <c r="AB215" t="s">
        <v>23</v>
      </c>
      <c r="AC215" t="s">
        <v>23</v>
      </c>
      <c r="AD215" t="s">
        <v>23</v>
      </c>
      <c r="AE215" t="s">
        <v>23</v>
      </c>
      <c r="AF215" t="s">
        <v>23</v>
      </c>
      <c r="AG215" t="s">
        <v>23</v>
      </c>
      <c r="AH215" t="s">
        <v>23</v>
      </c>
      <c r="AI215" t="s">
        <v>23</v>
      </c>
      <c r="AJ215" t="s">
        <v>23</v>
      </c>
    </row>
    <row r="216" spans="1:36" x14ac:dyDescent="0.35">
      <c r="A216" s="2">
        <v>1214</v>
      </c>
      <c r="B216" s="4">
        <v>45167</v>
      </c>
      <c r="C216" s="1" t="s">
        <v>24</v>
      </c>
      <c r="D216" s="1" t="s">
        <v>42</v>
      </c>
      <c r="E216">
        <v>692272</v>
      </c>
      <c r="F216">
        <v>23</v>
      </c>
      <c r="G216" s="1" t="s">
        <v>32</v>
      </c>
      <c r="H216">
        <v>27036</v>
      </c>
      <c r="I216">
        <v>36028</v>
      </c>
      <c r="J216" s="1" t="s">
        <v>33</v>
      </c>
      <c r="K216" s="3">
        <v>11</v>
      </c>
      <c r="L216" s="1" t="s">
        <v>28</v>
      </c>
      <c r="M216" s="1" t="s">
        <v>37</v>
      </c>
      <c r="N216" s="3">
        <v>2024010123</v>
      </c>
      <c r="O216" s="3">
        <f t="shared" si="27"/>
        <v>1.23</v>
      </c>
      <c r="P216" s="6">
        <f t="shared" si="28"/>
        <v>851494.55999999994</v>
      </c>
      <c r="Q216" s="3" t="str">
        <f t="shared" si="29"/>
        <v>Excellent</v>
      </c>
      <c r="R216" s="3">
        <f t="shared" si="30"/>
        <v>8992</v>
      </c>
      <c r="S216" s="7">
        <f t="shared" si="31"/>
        <v>206816</v>
      </c>
      <c r="T216" s="3" t="str">
        <f t="shared" si="32"/>
        <v>High Profit</v>
      </c>
      <c r="U216" s="3" t="str">
        <f t="shared" si="33"/>
        <v>Medium Discount</v>
      </c>
      <c r="V216" s="3" t="str">
        <f t="shared" si="34"/>
        <v>Priority B</v>
      </c>
      <c r="W216">
        <f t="shared" si="35"/>
        <v>69227.199999999997</v>
      </c>
      <c r="X216" t="s">
        <v>23</v>
      </c>
      <c r="Y216" t="s">
        <v>23</v>
      </c>
      <c r="Z216" t="s">
        <v>23</v>
      </c>
      <c r="AA216" t="s">
        <v>23</v>
      </c>
      <c r="AB216" t="s">
        <v>23</v>
      </c>
      <c r="AC216" t="s">
        <v>23</v>
      </c>
      <c r="AD216" t="s">
        <v>23</v>
      </c>
      <c r="AE216" t="s">
        <v>23</v>
      </c>
      <c r="AF216" t="s">
        <v>23</v>
      </c>
      <c r="AG216" t="s">
        <v>23</v>
      </c>
      <c r="AH216" t="s">
        <v>23</v>
      </c>
      <c r="AI216" t="s">
        <v>23</v>
      </c>
      <c r="AJ216" t="s">
        <v>23</v>
      </c>
    </row>
    <row r="217" spans="1:36" x14ac:dyDescent="0.35">
      <c r="A217" s="2">
        <v>1215</v>
      </c>
      <c r="B217" s="4">
        <v>45219</v>
      </c>
      <c r="C217" s="1" t="s">
        <v>30</v>
      </c>
      <c r="D217" s="1" t="s">
        <v>42</v>
      </c>
      <c r="E217">
        <v>224272</v>
      </c>
      <c r="F217">
        <v>28</v>
      </c>
      <c r="G217" s="1" t="s">
        <v>26</v>
      </c>
      <c r="H217">
        <v>21932</v>
      </c>
      <c r="I217">
        <v>29804</v>
      </c>
      <c r="J217" s="1" t="s">
        <v>27</v>
      </c>
      <c r="K217" s="3">
        <v>6</v>
      </c>
      <c r="L217" s="1" t="s">
        <v>40</v>
      </c>
      <c r="M217" s="1" t="s">
        <v>29</v>
      </c>
      <c r="N217" s="3">
        <v>2024010123</v>
      </c>
      <c r="O217" s="3">
        <f t="shared" si="27"/>
        <v>1.23</v>
      </c>
      <c r="P217" s="6">
        <f t="shared" si="28"/>
        <v>275854.56</v>
      </c>
      <c r="Q217" s="3" t="str">
        <f t="shared" si="29"/>
        <v>Excellent</v>
      </c>
      <c r="R217" s="3">
        <f t="shared" si="30"/>
        <v>7872</v>
      </c>
      <c r="S217" s="7">
        <f t="shared" si="31"/>
        <v>220416</v>
      </c>
      <c r="T217" s="3" t="str">
        <f t="shared" si="32"/>
        <v>High Profit</v>
      </c>
      <c r="U217" s="3" t="str">
        <f t="shared" si="33"/>
        <v>Medium Discount</v>
      </c>
      <c r="V217" s="3" t="str">
        <f t="shared" si="34"/>
        <v>Priority C</v>
      </c>
      <c r="W217">
        <f t="shared" si="35"/>
        <v>33640.799999999996</v>
      </c>
      <c r="X217" t="s">
        <v>23</v>
      </c>
      <c r="Y217" t="s">
        <v>23</v>
      </c>
      <c r="Z217" t="s">
        <v>23</v>
      </c>
      <c r="AA217" t="s">
        <v>23</v>
      </c>
      <c r="AB217" t="s">
        <v>23</v>
      </c>
      <c r="AC217" t="s">
        <v>23</v>
      </c>
      <c r="AD217" t="s">
        <v>23</v>
      </c>
      <c r="AE217" t="s">
        <v>23</v>
      </c>
      <c r="AF217" t="s">
        <v>23</v>
      </c>
      <c r="AG217" t="s">
        <v>23</v>
      </c>
      <c r="AH217" t="s">
        <v>23</v>
      </c>
      <c r="AI217" t="s">
        <v>23</v>
      </c>
      <c r="AJ217" t="s">
        <v>23</v>
      </c>
    </row>
    <row r="218" spans="1:36" x14ac:dyDescent="0.35">
      <c r="A218" s="2">
        <v>1216</v>
      </c>
      <c r="B218" s="4">
        <v>45003</v>
      </c>
      <c r="C218" s="1" t="s">
        <v>30</v>
      </c>
      <c r="D218" s="1" t="s">
        <v>42</v>
      </c>
      <c r="E218">
        <v>242038</v>
      </c>
      <c r="F218">
        <v>30</v>
      </c>
      <c r="G218" s="1" t="s">
        <v>39</v>
      </c>
      <c r="H218">
        <v>15479</v>
      </c>
      <c r="I218">
        <v>27521</v>
      </c>
      <c r="J218" s="1" t="s">
        <v>33</v>
      </c>
      <c r="K218" s="3">
        <v>26</v>
      </c>
      <c r="L218" s="1" t="s">
        <v>28</v>
      </c>
      <c r="M218" s="1" t="s">
        <v>29</v>
      </c>
      <c r="N218" s="3">
        <v>2024010123</v>
      </c>
      <c r="O218" s="3">
        <f t="shared" si="27"/>
        <v>1.23</v>
      </c>
      <c r="P218" s="6">
        <f t="shared" si="28"/>
        <v>297706.74</v>
      </c>
      <c r="Q218" s="3" t="str">
        <f t="shared" si="29"/>
        <v>Excellent</v>
      </c>
      <c r="R218" s="3">
        <f t="shared" si="30"/>
        <v>12042</v>
      </c>
      <c r="S218" s="7">
        <f t="shared" si="31"/>
        <v>361260</v>
      </c>
      <c r="T218" s="3" t="str">
        <f t="shared" si="32"/>
        <v>High Profit</v>
      </c>
      <c r="U218" s="3" t="str">
        <f t="shared" si="33"/>
        <v>High Discount</v>
      </c>
      <c r="V218" s="3" t="str">
        <f t="shared" si="34"/>
        <v>Priority B</v>
      </c>
      <c r="W218">
        <f t="shared" si="35"/>
        <v>24203.800000000003</v>
      </c>
      <c r="X218" t="s">
        <v>23</v>
      </c>
      <c r="Y218" t="s">
        <v>23</v>
      </c>
      <c r="Z218" t="s">
        <v>23</v>
      </c>
      <c r="AA218" t="s">
        <v>23</v>
      </c>
      <c r="AB218" t="s">
        <v>23</v>
      </c>
      <c r="AC218" t="s">
        <v>23</v>
      </c>
      <c r="AD218" t="s">
        <v>23</v>
      </c>
      <c r="AE218" t="s">
        <v>23</v>
      </c>
      <c r="AF218" t="s">
        <v>23</v>
      </c>
      <c r="AG218" t="s">
        <v>23</v>
      </c>
      <c r="AH218" t="s">
        <v>23</v>
      </c>
      <c r="AI218" t="s">
        <v>23</v>
      </c>
      <c r="AJ218" t="s">
        <v>23</v>
      </c>
    </row>
    <row r="219" spans="1:36" x14ac:dyDescent="0.35">
      <c r="A219" s="2">
        <v>1217</v>
      </c>
      <c r="B219" s="4">
        <v>45061</v>
      </c>
      <c r="C219" s="1" t="s">
        <v>41</v>
      </c>
      <c r="D219" s="1" t="s">
        <v>43</v>
      </c>
      <c r="E219">
        <v>872582</v>
      </c>
      <c r="F219">
        <v>47</v>
      </c>
      <c r="G219" s="1" t="s">
        <v>35</v>
      </c>
      <c r="H219">
        <v>14773</v>
      </c>
      <c r="I219">
        <v>27138</v>
      </c>
      <c r="J219" s="1" t="s">
        <v>33</v>
      </c>
      <c r="K219" s="3">
        <v>17</v>
      </c>
      <c r="L219" s="1" t="s">
        <v>28</v>
      </c>
      <c r="M219" s="1" t="s">
        <v>29</v>
      </c>
      <c r="N219" s="3">
        <v>2024010123</v>
      </c>
      <c r="O219" s="3">
        <f t="shared" si="27"/>
        <v>1.23</v>
      </c>
      <c r="P219" s="6">
        <f t="shared" si="28"/>
        <v>1073275.8599999999</v>
      </c>
      <c r="Q219" s="3" t="str">
        <f t="shared" si="29"/>
        <v>Excellent</v>
      </c>
      <c r="R219" s="3">
        <f t="shared" si="30"/>
        <v>12365</v>
      </c>
      <c r="S219" s="7">
        <f t="shared" si="31"/>
        <v>581155</v>
      </c>
      <c r="T219" s="3" t="str">
        <f t="shared" si="32"/>
        <v>High Profit</v>
      </c>
      <c r="U219" s="3" t="str">
        <f t="shared" si="33"/>
        <v>High Discount</v>
      </c>
      <c r="V219" s="3" t="str">
        <f t="shared" si="34"/>
        <v>Priority C</v>
      </c>
      <c r="W219">
        <f t="shared" si="35"/>
        <v>87258.200000000012</v>
      </c>
      <c r="X219" t="s">
        <v>23</v>
      </c>
      <c r="Y219" t="s">
        <v>23</v>
      </c>
      <c r="Z219" t="s">
        <v>23</v>
      </c>
      <c r="AA219" t="s">
        <v>23</v>
      </c>
      <c r="AB219" t="s">
        <v>23</v>
      </c>
      <c r="AC219" t="s">
        <v>23</v>
      </c>
      <c r="AD219" t="s">
        <v>23</v>
      </c>
      <c r="AE219" t="s">
        <v>23</v>
      </c>
      <c r="AF219" t="s">
        <v>23</v>
      </c>
      <c r="AG219" t="s">
        <v>23</v>
      </c>
      <c r="AH219" t="s">
        <v>23</v>
      </c>
      <c r="AI219" t="s">
        <v>23</v>
      </c>
      <c r="AJ219" t="s">
        <v>23</v>
      </c>
    </row>
    <row r="220" spans="1:36" x14ac:dyDescent="0.35">
      <c r="A220" s="2">
        <v>1218</v>
      </c>
      <c r="B220" s="4">
        <v>45270</v>
      </c>
      <c r="C220" s="1" t="s">
        <v>34</v>
      </c>
      <c r="D220" s="1" t="s">
        <v>42</v>
      </c>
      <c r="E220">
        <v>822151</v>
      </c>
      <c r="F220">
        <v>12</v>
      </c>
      <c r="G220" s="1" t="s">
        <v>26</v>
      </c>
      <c r="H220">
        <v>17198</v>
      </c>
      <c r="I220">
        <v>27410</v>
      </c>
      <c r="J220" s="1" t="s">
        <v>33</v>
      </c>
      <c r="K220" s="3">
        <v>21</v>
      </c>
      <c r="L220" s="1" t="s">
        <v>36</v>
      </c>
      <c r="M220" s="1" t="s">
        <v>29</v>
      </c>
      <c r="N220" s="3">
        <v>2024010123</v>
      </c>
      <c r="O220" s="3">
        <f t="shared" si="27"/>
        <v>1.23</v>
      </c>
      <c r="P220" s="6">
        <f t="shared" si="28"/>
        <v>1011245.73</v>
      </c>
      <c r="Q220" s="3" t="str">
        <f t="shared" si="29"/>
        <v>Excellent</v>
      </c>
      <c r="R220" s="3">
        <f t="shared" si="30"/>
        <v>10212</v>
      </c>
      <c r="S220" s="7">
        <f t="shared" si="31"/>
        <v>122544</v>
      </c>
      <c r="T220" s="3" t="str">
        <f t="shared" si="32"/>
        <v>High Profit</v>
      </c>
      <c r="U220" s="3" t="str">
        <f t="shared" si="33"/>
        <v>High Discount</v>
      </c>
      <c r="V220" s="3" t="str">
        <f t="shared" si="34"/>
        <v>Priority D</v>
      </c>
      <c r="W220">
        <f t="shared" si="35"/>
        <v>82215.100000000006</v>
      </c>
      <c r="X220" t="s">
        <v>23</v>
      </c>
      <c r="Y220" t="s">
        <v>23</v>
      </c>
      <c r="Z220" t="s">
        <v>23</v>
      </c>
      <c r="AA220" t="s">
        <v>23</v>
      </c>
      <c r="AB220" t="s">
        <v>23</v>
      </c>
      <c r="AC220" t="s">
        <v>23</v>
      </c>
      <c r="AD220" t="s">
        <v>23</v>
      </c>
      <c r="AE220" t="s">
        <v>23</v>
      </c>
      <c r="AF220" t="s">
        <v>23</v>
      </c>
      <c r="AG220" t="s">
        <v>23</v>
      </c>
      <c r="AH220" t="s">
        <v>23</v>
      </c>
      <c r="AI220" t="s">
        <v>23</v>
      </c>
      <c r="AJ220" t="s">
        <v>23</v>
      </c>
    </row>
    <row r="221" spans="1:36" x14ac:dyDescent="0.35">
      <c r="A221" s="2">
        <v>1219</v>
      </c>
      <c r="B221" s="4">
        <v>45129</v>
      </c>
      <c r="C221" s="1" t="s">
        <v>24</v>
      </c>
      <c r="D221" s="1" t="s">
        <v>43</v>
      </c>
      <c r="E221">
        <v>471866</v>
      </c>
      <c r="F221">
        <v>50</v>
      </c>
      <c r="G221" s="1" t="s">
        <v>35</v>
      </c>
      <c r="H221">
        <v>16317</v>
      </c>
      <c r="I221">
        <v>23081</v>
      </c>
      <c r="J221" s="1" t="s">
        <v>33</v>
      </c>
      <c r="K221" s="3">
        <v>23</v>
      </c>
      <c r="L221" s="1" t="s">
        <v>28</v>
      </c>
      <c r="M221" s="1" t="s">
        <v>37</v>
      </c>
      <c r="N221" s="3">
        <v>2024010123</v>
      </c>
      <c r="O221" s="3">
        <f t="shared" si="27"/>
        <v>1.23</v>
      </c>
      <c r="P221" s="6">
        <f t="shared" si="28"/>
        <v>580395.17999999993</v>
      </c>
      <c r="Q221" s="3" t="str">
        <f t="shared" si="29"/>
        <v>Excellent</v>
      </c>
      <c r="R221" s="3">
        <f t="shared" si="30"/>
        <v>6764</v>
      </c>
      <c r="S221" s="7">
        <f t="shared" si="31"/>
        <v>338200</v>
      </c>
      <c r="T221" s="3" t="str">
        <f t="shared" si="32"/>
        <v>High Profit</v>
      </c>
      <c r="U221" s="3" t="str">
        <f t="shared" si="33"/>
        <v>High Discount</v>
      </c>
      <c r="V221" s="3" t="str">
        <f t="shared" si="34"/>
        <v>Priority C</v>
      </c>
      <c r="W221">
        <f t="shared" si="35"/>
        <v>47186.600000000006</v>
      </c>
      <c r="X221" t="s">
        <v>23</v>
      </c>
      <c r="Y221" t="s">
        <v>23</v>
      </c>
      <c r="Z221" t="s">
        <v>23</v>
      </c>
      <c r="AA221" t="s">
        <v>23</v>
      </c>
      <c r="AB221" t="s">
        <v>23</v>
      </c>
      <c r="AC221" t="s">
        <v>23</v>
      </c>
      <c r="AD221" t="s">
        <v>23</v>
      </c>
      <c r="AE221" t="s">
        <v>23</v>
      </c>
      <c r="AF221" t="s">
        <v>23</v>
      </c>
      <c r="AG221" t="s">
        <v>23</v>
      </c>
      <c r="AH221" t="s">
        <v>23</v>
      </c>
      <c r="AI221" t="s">
        <v>23</v>
      </c>
      <c r="AJ221" t="s">
        <v>23</v>
      </c>
    </row>
    <row r="222" spans="1:36" x14ac:dyDescent="0.35">
      <c r="A222" s="2">
        <v>1220</v>
      </c>
      <c r="B222" s="4">
        <v>45170</v>
      </c>
      <c r="C222" s="1" t="s">
        <v>41</v>
      </c>
      <c r="D222" s="1" t="s">
        <v>43</v>
      </c>
      <c r="E222">
        <v>226445</v>
      </c>
      <c r="F222">
        <v>16</v>
      </c>
      <c r="G222" s="1" t="s">
        <v>32</v>
      </c>
      <c r="H222">
        <v>33361</v>
      </c>
      <c r="I222">
        <v>37261</v>
      </c>
      <c r="J222" s="1" t="s">
        <v>33</v>
      </c>
      <c r="K222" s="3">
        <v>0</v>
      </c>
      <c r="L222" s="1" t="s">
        <v>36</v>
      </c>
      <c r="M222" s="1" t="s">
        <v>37</v>
      </c>
      <c r="N222" s="3">
        <v>2024010123</v>
      </c>
      <c r="O222" s="3">
        <f t="shared" si="27"/>
        <v>1.23</v>
      </c>
      <c r="P222" s="6">
        <f t="shared" si="28"/>
        <v>278527.34999999998</v>
      </c>
      <c r="Q222" s="3" t="str">
        <f t="shared" si="29"/>
        <v>Excellent</v>
      </c>
      <c r="R222" s="3">
        <f t="shared" si="30"/>
        <v>3900</v>
      </c>
      <c r="S222" s="7">
        <f t="shared" si="31"/>
        <v>62400</v>
      </c>
      <c r="T222" s="3" t="str">
        <f t="shared" si="32"/>
        <v>High Profit</v>
      </c>
      <c r="U222" s="3" t="str">
        <f t="shared" si="33"/>
        <v>No Discount</v>
      </c>
      <c r="V222" s="3" t="str">
        <f t="shared" si="34"/>
        <v>Priority C</v>
      </c>
      <c r="W222">
        <f t="shared" si="35"/>
        <v>22644.5</v>
      </c>
      <c r="X222" t="s">
        <v>23</v>
      </c>
      <c r="Y222" t="s">
        <v>23</v>
      </c>
      <c r="Z222" t="s">
        <v>23</v>
      </c>
      <c r="AA222" t="s">
        <v>23</v>
      </c>
      <c r="AB222" t="s">
        <v>23</v>
      </c>
      <c r="AC222" t="s">
        <v>23</v>
      </c>
      <c r="AD222" t="s">
        <v>23</v>
      </c>
      <c r="AE222" t="s">
        <v>23</v>
      </c>
      <c r="AF222" t="s">
        <v>23</v>
      </c>
      <c r="AG222" t="s">
        <v>23</v>
      </c>
      <c r="AH222" t="s">
        <v>23</v>
      </c>
      <c r="AI222" t="s">
        <v>23</v>
      </c>
      <c r="AJ222" t="s">
        <v>23</v>
      </c>
    </row>
    <row r="223" spans="1:36" x14ac:dyDescent="0.35">
      <c r="A223" s="2">
        <v>1221</v>
      </c>
      <c r="B223" s="4">
        <v>45106</v>
      </c>
      <c r="C223" s="1" t="s">
        <v>34</v>
      </c>
      <c r="D223" s="1" t="s">
        <v>31</v>
      </c>
      <c r="E223">
        <v>470885</v>
      </c>
      <c r="F223">
        <v>18</v>
      </c>
      <c r="G223" s="1" t="s">
        <v>32</v>
      </c>
      <c r="H223">
        <v>23895</v>
      </c>
      <c r="I223">
        <v>27408</v>
      </c>
      <c r="J223" s="1" t="s">
        <v>33</v>
      </c>
      <c r="K223" s="3">
        <v>3</v>
      </c>
      <c r="L223" s="1" t="s">
        <v>40</v>
      </c>
      <c r="M223" s="1" t="s">
        <v>37</v>
      </c>
      <c r="N223" s="3">
        <v>2024010123</v>
      </c>
      <c r="O223" s="3">
        <f t="shared" si="27"/>
        <v>1.23</v>
      </c>
      <c r="P223" s="6">
        <f t="shared" si="28"/>
        <v>579188.55000000005</v>
      </c>
      <c r="Q223" s="3" t="str">
        <f t="shared" si="29"/>
        <v>Excellent</v>
      </c>
      <c r="R223" s="3">
        <f t="shared" si="30"/>
        <v>3513</v>
      </c>
      <c r="S223" s="7">
        <f t="shared" si="31"/>
        <v>63234</v>
      </c>
      <c r="T223" s="3" t="str">
        <f t="shared" si="32"/>
        <v>High Profit</v>
      </c>
      <c r="U223" s="3" t="str">
        <f t="shared" si="33"/>
        <v>Low Discount</v>
      </c>
      <c r="V223" s="3" t="str">
        <f t="shared" si="34"/>
        <v>Priority C</v>
      </c>
      <c r="W223">
        <f t="shared" si="35"/>
        <v>47088.5</v>
      </c>
      <c r="X223" t="s">
        <v>23</v>
      </c>
      <c r="Y223" t="s">
        <v>23</v>
      </c>
      <c r="Z223" t="s">
        <v>23</v>
      </c>
      <c r="AA223" t="s">
        <v>23</v>
      </c>
      <c r="AB223" t="s">
        <v>23</v>
      </c>
      <c r="AC223" t="s">
        <v>23</v>
      </c>
      <c r="AD223" t="s">
        <v>23</v>
      </c>
      <c r="AE223" t="s">
        <v>23</v>
      </c>
      <c r="AF223" t="s">
        <v>23</v>
      </c>
      <c r="AG223" t="s">
        <v>23</v>
      </c>
      <c r="AH223" t="s">
        <v>23</v>
      </c>
      <c r="AI223" t="s">
        <v>23</v>
      </c>
      <c r="AJ223" t="s">
        <v>23</v>
      </c>
    </row>
    <row r="224" spans="1:36" x14ac:dyDescent="0.35">
      <c r="A224" s="2">
        <v>1222</v>
      </c>
      <c r="B224" s="4">
        <v>45065</v>
      </c>
      <c r="C224" s="1" t="s">
        <v>30</v>
      </c>
      <c r="D224" s="1" t="s">
        <v>31</v>
      </c>
      <c r="E224">
        <v>92867</v>
      </c>
      <c r="F224">
        <v>8</v>
      </c>
      <c r="G224" s="1" t="s">
        <v>39</v>
      </c>
      <c r="H224">
        <v>34700</v>
      </c>
      <c r="I224">
        <v>40148</v>
      </c>
      <c r="J224" s="1" t="s">
        <v>33</v>
      </c>
      <c r="K224" s="3">
        <v>1</v>
      </c>
      <c r="L224" s="1" t="s">
        <v>40</v>
      </c>
      <c r="M224" s="1" t="s">
        <v>29</v>
      </c>
      <c r="N224" s="3">
        <v>2024010123</v>
      </c>
      <c r="O224" s="3">
        <f t="shared" si="27"/>
        <v>1.23</v>
      </c>
      <c r="P224" s="6">
        <f t="shared" si="28"/>
        <v>114226.41</v>
      </c>
      <c r="Q224" s="3" t="str">
        <f t="shared" si="29"/>
        <v>Excellent</v>
      </c>
      <c r="R224" s="3">
        <f t="shared" si="30"/>
        <v>5448</v>
      </c>
      <c r="S224" s="7">
        <f t="shared" si="31"/>
        <v>43584</v>
      </c>
      <c r="T224" s="3" t="str">
        <f t="shared" si="32"/>
        <v>High Profit</v>
      </c>
      <c r="U224" s="3" t="str">
        <f t="shared" si="33"/>
        <v>Low Discount</v>
      </c>
      <c r="V224" s="3" t="str">
        <f t="shared" si="34"/>
        <v>Priority D</v>
      </c>
      <c r="W224">
        <f t="shared" si="35"/>
        <v>9286.7000000000007</v>
      </c>
      <c r="X224" t="s">
        <v>23</v>
      </c>
      <c r="Y224" t="s">
        <v>23</v>
      </c>
      <c r="Z224" t="s">
        <v>23</v>
      </c>
      <c r="AA224" t="s">
        <v>23</v>
      </c>
      <c r="AB224" t="s">
        <v>23</v>
      </c>
      <c r="AC224" t="s">
        <v>23</v>
      </c>
      <c r="AD224" t="s">
        <v>23</v>
      </c>
      <c r="AE224" t="s">
        <v>23</v>
      </c>
      <c r="AF224" t="s">
        <v>23</v>
      </c>
      <c r="AG224" t="s">
        <v>23</v>
      </c>
      <c r="AH224" t="s">
        <v>23</v>
      </c>
      <c r="AI224" t="s">
        <v>23</v>
      </c>
      <c r="AJ224" t="s">
        <v>23</v>
      </c>
    </row>
    <row r="225" spans="1:36" x14ac:dyDescent="0.35">
      <c r="A225" s="2">
        <v>1223</v>
      </c>
      <c r="B225" s="4">
        <v>44947</v>
      </c>
      <c r="C225" s="1" t="s">
        <v>38</v>
      </c>
      <c r="D225" s="1" t="s">
        <v>31</v>
      </c>
      <c r="E225">
        <v>938354</v>
      </c>
      <c r="F225">
        <v>18</v>
      </c>
      <c r="G225" s="1" t="s">
        <v>26</v>
      </c>
      <c r="H225">
        <v>34721</v>
      </c>
      <c r="I225">
        <v>41397</v>
      </c>
      <c r="J225" s="1" t="s">
        <v>33</v>
      </c>
      <c r="K225" s="3">
        <v>11</v>
      </c>
      <c r="L225" s="1" t="s">
        <v>36</v>
      </c>
      <c r="M225" s="1" t="s">
        <v>37</v>
      </c>
      <c r="N225" s="3">
        <v>2024010123</v>
      </c>
      <c r="O225" s="3">
        <f t="shared" si="27"/>
        <v>1.23</v>
      </c>
      <c r="P225" s="6">
        <f t="shared" si="28"/>
        <v>1154175.42</v>
      </c>
      <c r="Q225" s="3" t="str">
        <f t="shared" si="29"/>
        <v>Excellent</v>
      </c>
      <c r="R225" s="3">
        <f t="shared" si="30"/>
        <v>6676</v>
      </c>
      <c r="S225" s="7">
        <f t="shared" si="31"/>
        <v>120168</v>
      </c>
      <c r="T225" s="3" t="str">
        <f t="shared" si="32"/>
        <v>High Profit</v>
      </c>
      <c r="U225" s="3" t="str">
        <f t="shared" si="33"/>
        <v>Medium Discount</v>
      </c>
      <c r="V225" s="3" t="str">
        <f t="shared" si="34"/>
        <v>Priority C</v>
      </c>
      <c r="W225">
        <f t="shared" si="35"/>
        <v>93835.400000000009</v>
      </c>
      <c r="X225" t="s">
        <v>23</v>
      </c>
      <c r="Y225" t="s">
        <v>23</v>
      </c>
      <c r="Z225" t="s">
        <v>23</v>
      </c>
      <c r="AA225" t="s">
        <v>23</v>
      </c>
      <c r="AB225" t="s">
        <v>23</v>
      </c>
      <c r="AC225" t="s">
        <v>23</v>
      </c>
      <c r="AD225" t="s">
        <v>23</v>
      </c>
      <c r="AE225" t="s">
        <v>23</v>
      </c>
      <c r="AF225" t="s">
        <v>23</v>
      </c>
      <c r="AG225" t="s">
        <v>23</v>
      </c>
      <c r="AH225" t="s">
        <v>23</v>
      </c>
      <c r="AI225" t="s">
        <v>23</v>
      </c>
      <c r="AJ225" t="s">
        <v>23</v>
      </c>
    </row>
    <row r="226" spans="1:36" x14ac:dyDescent="0.35">
      <c r="A226" s="2">
        <v>1224</v>
      </c>
      <c r="B226" s="4">
        <v>45046</v>
      </c>
      <c r="C226" s="1" t="s">
        <v>34</v>
      </c>
      <c r="D226" s="1" t="s">
        <v>42</v>
      </c>
      <c r="E226">
        <v>438040</v>
      </c>
      <c r="F226">
        <v>18</v>
      </c>
      <c r="G226" s="1" t="s">
        <v>32</v>
      </c>
      <c r="H226">
        <v>18301</v>
      </c>
      <c r="I226">
        <v>24488</v>
      </c>
      <c r="J226" s="1" t="s">
        <v>27</v>
      </c>
      <c r="K226" s="3">
        <v>8</v>
      </c>
      <c r="L226" s="1" t="s">
        <v>36</v>
      </c>
      <c r="M226" s="1" t="s">
        <v>29</v>
      </c>
      <c r="N226" s="3">
        <v>2024010123</v>
      </c>
      <c r="O226" s="3">
        <f t="shared" si="27"/>
        <v>1.23</v>
      </c>
      <c r="P226" s="6">
        <f t="shared" si="28"/>
        <v>538789.19999999995</v>
      </c>
      <c r="Q226" s="3" t="str">
        <f t="shared" si="29"/>
        <v>Excellent</v>
      </c>
      <c r="R226" s="3">
        <f t="shared" si="30"/>
        <v>6187</v>
      </c>
      <c r="S226" s="7">
        <f t="shared" si="31"/>
        <v>111366</v>
      </c>
      <c r="T226" s="3" t="str">
        <f t="shared" si="32"/>
        <v>High Profit</v>
      </c>
      <c r="U226" s="3" t="str">
        <f t="shared" si="33"/>
        <v>Medium Discount</v>
      </c>
      <c r="V226" s="3" t="str">
        <f t="shared" si="34"/>
        <v>Priority C</v>
      </c>
      <c r="W226">
        <f t="shared" si="35"/>
        <v>65706</v>
      </c>
      <c r="X226" t="s">
        <v>23</v>
      </c>
      <c r="Y226" t="s">
        <v>23</v>
      </c>
      <c r="Z226" t="s">
        <v>23</v>
      </c>
      <c r="AA226" t="s">
        <v>23</v>
      </c>
      <c r="AB226" t="s">
        <v>23</v>
      </c>
      <c r="AC226" t="s">
        <v>23</v>
      </c>
      <c r="AD226" t="s">
        <v>23</v>
      </c>
      <c r="AE226" t="s">
        <v>23</v>
      </c>
      <c r="AF226" t="s">
        <v>23</v>
      </c>
      <c r="AG226" t="s">
        <v>23</v>
      </c>
      <c r="AH226" t="s">
        <v>23</v>
      </c>
      <c r="AI226" t="s">
        <v>23</v>
      </c>
      <c r="AJ226" t="s">
        <v>23</v>
      </c>
    </row>
    <row r="227" spans="1:36" x14ac:dyDescent="0.35">
      <c r="A227" s="2">
        <v>1225</v>
      </c>
      <c r="B227" s="4">
        <v>44982</v>
      </c>
      <c r="C227" s="1" t="s">
        <v>38</v>
      </c>
      <c r="D227" s="1" t="s">
        <v>31</v>
      </c>
      <c r="E227">
        <v>802179</v>
      </c>
      <c r="F227">
        <v>8</v>
      </c>
      <c r="G227" s="1" t="s">
        <v>35</v>
      </c>
      <c r="H227">
        <v>16824</v>
      </c>
      <c r="I227">
        <v>22615</v>
      </c>
      <c r="J227" s="1" t="s">
        <v>33</v>
      </c>
      <c r="K227" s="3">
        <v>12</v>
      </c>
      <c r="L227" s="1" t="s">
        <v>36</v>
      </c>
      <c r="M227" s="1" t="s">
        <v>37</v>
      </c>
      <c r="N227" s="3">
        <v>2024010123</v>
      </c>
      <c r="O227" s="3">
        <f t="shared" si="27"/>
        <v>1.23</v>
      </c>
      <c r="P227" s="6">
        <f t="shared" si="28"/>
        <v>986680.17</v>
      </c>
      <c r="Q227" s="3" t="str">
        <f t="shared" si="29"/>
        <v>Excellent</v>
      </c>
      <c r="R227" s="3">
        <f t="shared" si="30"/>
        <v>5791</v>
      </c>
      <c r="S227" s="7">
        <f t="shared" si="31"/>
        <v>46328</v>
      </c>
      <c r="T227" s="3" t="str">
        <f t="shared" si="32"/>
        <v>High Profit</v>
      </c>
      <c r="U227" s="3" t="str">
        <f t="shared" si="33"/>
        <v>Medium Discount</v>
      </c>
      <c r="V227" s="3" t="str">
        <f t="shared" si="34"/>
        <v>Priority C</v>
      </c>
      <c r="W227">
        <f t="shared" si="35"/>
        <v>80217.900000000009</v>
      </c>
      <c r="X227" t="s">
        <v>23</v>
      </c>
      <c r="Y227" t="s">
        <v>23</v>
      </c>
      <c r="Z227" t="s">
        <v>23</v>
      </c>
      <c r="AA227" t="s">
        <v>23</v>
      </c>
      <c r="AB227" t="s">
        <v>23</v>
      </c>
      <c r="AC227" t="s">
        <v>23</v>
      </c>
      <c r="AD227" t="s">
        <v>23</v>
      </c>
      <c r="AE227" t="s">
        <v>23</v>
      </c>
      <c r="AF227" t="s">
        <v>23</v>
      </c>
      <c r="AG227" t="s">
        <v>23</v>
      </c>
      <c r="AH227" t="s">
        <v>23</v>
      </c>
      <c r="AI227" t="s">
        <v>23</v>
      </c>
      <c r="AJ227" t="s">
        <v>23</v>
      </c>
    </row>
    <row r="228" spans="1:36" x14ac:dyDescent="0.35">
      <c r="A228" s="2">
        <v>1226</v>
      </c>
      <c r="B228" s="4">
        <v>45192</v>
      </c>
      <c r="C228" s="1" t="s">
        <v>34</v>
      </c>
      <c r="D228" s="1" t="s">
        <v>31</v>
      </c>
      <c r="E228">
        <v>252702</v>
      </c>
      <c r="F228">
        <v>12</v>
      </c>
      <c r="G228" s="1" t="s">
        <v>32</v>
      </c>
      <c r="H228">
        <v>27752</v>
      </c>
      <c r="I228">
        <v>32581</v>
      </c>
      <c r="J228" s="1" t="s">
        <v>33</v>
      </c>
      <c r="K228" s="3">
        <v>18</v>
      </c>
      <c r="L228" s="1" t="s">
        <v>36</v>
      </c>
      <c r="M228" s="1" t="s">
        <v>37</v>
      </c>
      <c r="N228" s="3">
        <v>2024010123</v>
      </c>
      <c r="O228" s="3">
        <f t="shared" si="27"/>
        <v>1.23</v>
      </c>
      <c r="P228" s="6">
        <f t="shared" si="28"/>
        <v>310823.46000000002</v>
      </c>
      <c r="Q228" s="3" t="str">
        <f t="shared" si="29"/>
        <v>Excellent</v>
      </c>
      <c r="R228" s="3">
        <f t="shared" si="30"/>
        <v>4829</v>
      </c>
      <c r="S228" s="7">
        <f t="shared" si="31"/>
        <v>57948</v>
      </c>
      <c r="T228" s="3" t="str">
        <f t="shared" si="32"/>
        <v>High Profit</v>
      </c>
      <c r="U228" s="3" t="str">
        <f t="shared" si="33"/>
        <v>High Discount</v>
      </c>
      <c r="V228" s="3" t="str">
        <f t="shared" si="34"/>
        <v>Priority C</v>
      </c>
      <c r="W228">
        <f t="shared" si="35"/>
        <v>25270.2</v>
      </c>
      <c r="X228" t="s">
        <v>23</v>
      </c>
      <c r="Y228" t="s">
        <v>23</v>
      </c>
      <c r="Z228" t="s">
        <v>23</v>
      </c>
      <c r="AA228" t="s">
        <v>23</v>
      </c>
      <c r="AB228" t="s">
        <v>23</v>
      </c>
      <c r="AC228" t="s">
        <v>23</v>
      </c>
      <c r="AD228" t="s">
        <v>23</v>
      </c>
      <c r="AE228" t="s">
        <v>23</v>
      </c>
      <c r="AF228" t="s">
        <v>23</v>
      </c>
      <c r="AG228" t="s">
        <v>23</v>
      </c>
      <c r="AH228" t="s">
        <v>23</v>
      </c>
      <c r="AI228" t="s">
        <v>23</v>
      </c>
      <c r="AJ228" t="s">
        <v>23</v>
      </c>
    </row>
    <row r="229" spans="1:36" x14ac:dyDescent="0.35">
      <c r="A229" s="2">
        <v>1227</v>
      </c>
      <c r="B229" s="4">
        <v>45190</v>
      </c>
      <c r="C229" s="1" t="s">
        <v>30</v>
      </c>
      <c r="D229" s="1" t="s">
        <v>25</v>
      </c>
      <c r="E229">
        <v>147500</v>
      </c>
      <c r="F229">
        <v>18</v>
      </c>
      <c r="G229" s="1" t="s">
        <v>32</v>
      </c>
      <c r="H229">
        <v>18646</v>
      </c>
      <c r="I229">
        <v>25206</v>
      </c>
      <c r="J229" s="1" t="s">
        <v>33</v>
      </c>
      <c r="K229" s="3">
        <v>16</v>
      </c>
      <c r="L229" s="1" t="s">
        <v>28</v>
      </c>
      <c r="M229" s="1" t="s">
        <v>29</v>
      </c>
      <c r="N229" s="3">
        <v>2024010123</v>
      </c>
      <c r="O229" s="3">
        <f t="shared" si="27"/>
        <v>1.23</v>
      </c>
      <c r="P229" s="6">
        <f t="shared" si="28"/>
        <v>181425</v>
      </c>
      <c r="Q229" s="3" t="str">
        <f t="shared" si="29"/>
        <v>Excellent</v>
      </c>
      <c r="R229" s="3">
        <f t="shared" si="30"/>
        <v>6560</v>
      </c>
      <c r="S229" s="7">
        <f t="shared" si="31"/>
        <v>118080</v>
      </c>
      <c r="T229" s="3" t="str">
        <f t="shared" si="32"/>
        <v>High Profit</v>
      </c>
      <c r="U229" s="3" t="str">
        <f t="shared" si="33"/>
        <v>High Discount</v>
      </c>
      <c r="V229" s="3" t="str">
        <f t="shared" si="34"/>
        <v>Priority C</v>
      </c>
      <c r="W229">
        <f t="shared" si="35"/>
        <v>14750</v>
      </c>
      <c r="X229" t="s">
        <v>23</v>
      </c>
      <c r="Y229" t="s">
        <v>23</v>
      </c>
      <c r="Z229" t="s">
        <v>23</v>
      </c>
      <c r="AA229" t="s">
        <v>23</v>
      </c>
      <c r="AB229" t="s">
        <v>23</v>
      </c>
      <c r="AC229" t="s">
        <v>23</v>
      </c>
      <c r="AD229" t="s">
        <v>23</v>
      </c>
      <c r="AE229" t="s">
        <v>23</v>
      </c>
      <c r="AF229" t="s">
        <v>23</v>
      </c>
      <c r="AG229" t="s">
        <v>23</v>
      </c>
      <c r="AH229" t="s">
        <v>23</v>
      </c>
      <c r="AI229" t="s">
        <v>23</v>
      </c>
      <c r="AJ229" t="s">
        <v>23</v>
      </c>
    </row>
    <row r="230" spans="1:36" x14ac:dyDescent="0.35">
      <c r="A230" s="2">
        <v>1228</v>
      </c>
      <c r="B230" s="4">
        <v>45159</v>
      </c>
      <c r="C230" s="1" t="s">
        <v>41</v>
      </c>
      <c r="D230" s="1" t="s">
        <v>43</v>
      </c>
      <c r="E230">
        <v>802177</v>
      </c>
      <c r="F230">
        <v>18</v>
      </c>
      <c r="G230" s="1" t="s">
        <v>32</v>
      </c>
      <c r="H230">
        <v>43924</v>
      </c>
      <c r="I230">
        <v>50855</v>
      </c>
      <c r="J230" s="1" t="s">
        <v>33</v>
      </c>
      <c r="K230" s="3">
        <v>29</v>
      </c>
      <c r="L230" s="1" t="s">
        <v>40</v>
      </c>
      <c r="M230" s="1" t="s">
        <v>37</v>
      </c>
      <c r="N230" s="3">
        <v>2024010123</v>
      </c>
      <c r="O230" s="3">
        <f t="shared" si="27"/>
        <v>1.23</v>
      </c>
      <c r="P230" s="6">
        <f t="shared" si="28"/>
        <v>986677.71</v>
      </c>
      <c r="Q230" s="3" t="str">
        <f t="shared" si="29"/>
        <v>Excellent</v>
      </c>
      <c r="R230" s="3">
        <f t="shared" si="30"/>
        <v>6931</v>
      </c>
      <c r="S230" s="7">
        <f t="shared" si="31"/>
        <v>124758</v>
      </c>
      <c r="T230" s="3" t="str">
        <f t="shared" si="32"/>
        <v>High Profit</v>
      </c>
      <c r="U230" s="3" t="str">
        <f t="shared" si="33"/>
        <v>High Discount</v>
      </c>
      <c r="V230" s="3" t="str">
        <f t="shared" si="34"/>
        <v>Priority C</v>
      </c>
      <c r="W230">
        <f t="shared" si="35"/>
        <v>80217.700000000012</v>
      </c>
      <c r="X230" t="s">
        <v>23</v>
      </c>
      <c r="Y230" t="s">
        <v>23</v>
      </c>
      <c r="Z230" t="s">
        <v>23</v>
      </c>
      <c r="AA230" t="s">
        <v>23</v>
      </c>
      <c r="AB230" t="s">
        <v>23</v>
      </c>
      <c r="AC230" t="s">
        <v>23</v>
      </c>
      <c r="AD230" t="s">
        <v>23</v>
      </c>
      <c r="AE230" t="s">
        <v>23</v>
      </c>
      <c r="AF230" t="s">
        <v>23</v>
      </c>
      <c r="AG230" t="s">
        <v>23</v>
      </c>
      <c r="AH230" t="s">
        <v>23</v>
      </c>
      <c r="AI230" t="s">
        <v>23</v>
      </c>
      <c r="AJ230" t="s">
        <v>23</v>
      </c>
    </row>
    <row r="231" spans="1:36" x14ac:dyDescent="0.35">
      <c r="A231" s="2">
        <v>1229</v>
      </c>
      <c r="B231" s="4">
        <v>45128</v>
      </c>
      <c r="C231" s="1" t="s">
        <v>34</v>
      </c>
      <c r="D231" s="1" t="s">
        <v>42</v>
      </c>
      <c r="E231">
        <v>769812</v>
      </c>
      <c r="F231">
        <v>12</v>
      </c>
      <c r="G231" s="1" t="s">
        <v>32</v>
      </c>
      <c r="H231">
        <v>43525</v>
      </c>
      <c r="I231">
        <v>51262</v>
      </c>
      <c r="J231" s="1" t="s">
        <v>27</v>
      </c>
      <c r="K231" s="3">
        <v>28</v>
      </c>
      <c r="L231" s="1" t="s">
        <v>28</v>
      </c>
      <c r="M231" s="1" t="s">
        <v>37</v>
      </c>
      <c r="N231" s="3">
        <v>2024010123</v>
      </c>
      <c r="O231" s="3">
        <f t="shared" si="27"/>
        <v>1.23</v>
      </c>
      <c r="P231" s="6">
        <f t="shared" si="28"/>
        <v>946868.76</v>
      </c>
      <c r="Q231" s="3" t="str">
        <f t="shared" si="29"/>
        <v>Excellent</v>
      </c>
      <c r="R231" s="3">
        <f t="shared" si="30"/>
        <v>7737</v>
      </c>
      <c r="S231" s="7">
        <f t="shared" si="31"/>
        <v>92844</v>
      </c>
      <c r="T231" s="3" t="str">
        <f t="shared" si="32"/>
        <v>High Profit</v>
      </c>
      <c r="U231" s="3" t="str">
        <f t="shared" si="33"/>
        <v>High Discount</v>
      </c>
      <c r="V231" s="3" t="str">
        <f t="shared" si="34"/>
        <v>Priority C</v>
      </c>
      <c r="W231">
        <f t="shared" si="35"/>
        <v>115471.8</v>
      </c>
      <c r="X231" t="s">
        <v>23</v>
      </c>
      <c r="Y231" t="s">
        <v>23</v>
      </c>
      <c r="Z231" t="s">
        <v>23</v>
      </c>
      <c r="AA231" t="s">
        <v>23</v>
      </c>
      <c r="AB231" t="s">
        <v>23</v>
      </c>
      <c r="AC231" t="s">
        <v>23</v>
      </c>
      <c r="AD231" t="s">
        <v>23</v>
      </c>
      <c r="AE231" t="s">
        <v>23</v>
      </c>
      <c r="AF231" t="s">
        <v>23</v>
      </c>
      <c r="AG231" t="s">
        <v>23</v>
      </c>
      <c r="AH231" t="s">
        <v>23</v>
      </c>
      <c r="AI231" t="s">
        <v>23</v>
      </c>
      <c r="AJ231" t="s">
        <v>23</v>
      </c>
    </row>
    <row r="232" spans="1:36" x14ac:dyDescent="0.35">
      <c r="A232" s="2">
        <v>1230</v>
      </c>
      <c r="B232" s="4">
        <v>45052</v>
      </c>
      <c r="C232" s="1" t="s">
        <v>41</v>
      </c>
      <c r="D232" s="1" t="s">
        <v>42</v>
      </c>
      <c r="E232">
        <v>63250</v>
      </c>
      <c r="F232">
        <v>12</v>
      </c>
      <c r="G232" s="1" t="s">
        <v>32</v>
      </c>
      <c r="H232">
        <v>56857</v>
      </c>
      <c r="I232">
        <v>61608</v>
      </c>
      <c r="J232" s="1" t="s">
        <v>33</v>
      </c>
      <c r="K232" s="3">
        <v>0</v>
      </c>
      <c r="L232" s="1" t="s">
        <v>40</v>
      </c>
      <c r="M232" s="1" t="s">
        <v>37</v>
      </c>
      <c r="N232" s="3">
        <v>2024010123</v>
      </c>
      <c r="O232" s="3">
        <f t="shared" si="27"/>
        <v>1.23</v>
      </c>
      <c r="P232" s="6">
        <f t="shared" si="28"/>
        <v>77797.5</v>
      </c>
      <c r="Q232" s="3" t="str">
        <f t="shared" si="29"/>
        <v>Excellent</v>
      </c>
      <c r="R232" s="3">
        <f t="shared" si="30"/>
        <v>4751</v>
      </c>
      <c r="S232" s="7">
        <f t="shared" si="31"/>
        <v>57012</v>
      </c>
      <c r="T232" s="3" t="str">
        <f t="shared" si="32"/>
        <v>High Profit</v>
      </c>
      <c r="U232" s="3" t="str">
        <f t="shared" si="33"/>
        <v>No Discount</v>
      </c>
      <c r="V232" s="3" t="str">
        <f t="shared" si="34"/>
        <v>Priority C</v>
      </c>
      <c r="W232">
        <f t="shared" si="35"/>
        <v>6325</v>
      </c>
      <c r="X232" t="s">
        <v>23</v>
      </c>
      <c r="Y232" t="s">
        <v>23</v>
      </c>
      <c r="Z232" t="s">
        <v>23</v>
      </c>
      <c r="AA232" t="s">
        <v>23</v>
      </c>
      <c r="AB232" t="s">
        <v>23</v>
      </c>
      <c r="AC232" t="s">
        <v>23</v>
      </c>
      <c r="AD232" t="s">
        <v>23</v>
      </c>
      <c r="AE232" t="s">
        <v>23</v>
      </c>
      <c r="AF232" t="s">
        <v>23</v>
      </c>
      <c r="AG232" t="s">
        <v>23</v>
      </c>
      <c r="AH232" t="s">
        <v>23</v>
      </c>
      <c r="AI232" t="s">
        <v>23</v>
      </c>
      <c r="AJ232" t="s">
        <v>23</v>
      </c>
    </row>
    <row r="233" spans="1:36" x14ac:dyDescent="0.35">
      <c r="A233" s="2">
        <v>1231</v>
      </c>
      <c r="B233" s="4">
        <v>44954</v>
      </c>
      <c r="C233" s="1" t="s">
        <v>24</v>
      </c>
      <c r="D233" s="1" t="s">
        <v>25</v>
      </c>
      <c r="E233">
        <v>640852</v>
      </c>
      <c r="F233">
        <v>12</v>
      </c>
      <c r="G233" s="1" t="s">
        <v>39</v>
      </c>
      <c r="H233">
        <v>47176</v>
      </c>
      <c r="I233">
        <v>50350</v>
      </c>
      <c r="J233" s="1" t="s">
        <v>27</v>
      </c>
      <c r="K233" s="3">
        <v>1</v>
      </c>
      <c r="L233" s="1" t="s">
        <v>36</v>
      </c>
      <c r="M233" s="1" t="s">
        <v>29</v>
      </c>
      <c r="N233" s="3">
        <v>2024010123</v>
      </c>
      <c r="O233" s="3">
        <f t="shared" si="27"/>
        <v>1.23</v>
      </c>
      <c r="P233" s="6">
        <f t="shared" si="28"/>
        <v>788247.96</v>
      </c>
      <c r="Q233" s="3" t="str">
        <f t="shared" si="29"/>
        <v>Excellent</v>
      </c>
      <c r="R233" s="3">
        <f t="shared" si="30"/>
        <v>3174</v>
      </c>
      <c r="S233" s="7">
        <f t="shared" si="31"/>
        <v>38088</v>
      </c>
      <c r="T233" s="3" t="str">
        <f t="shared" si="32"/>
        <v>High Profit</v>
      </c>
      <c r="U233" s="3" t="str">
        <f t="shared" si="33"/>
        <v>Low Discount</v>
      </c>
      <c r="V233" s="3" t="str">
        <f t="shared" si="34"/>
        <v>Priority D</v>
      </c>
      <c r="W233">
        <f t="shared" si="35"/>
        <v>96127.8</v>
      </c>
      <c r="X233" t="s">
        <v>23</v>
      </c>
      <c r="Y233" t="s">
        <v>23</v>
      </c>
      <c r="Z233" t="s">
        <v>23</v>
      </c>
      <c r="AA233" t="s">
        <v>23</v>
      </c>
      <c r="AB233" t="s">
        <v>23</v>
      </c>
      <c r="AC233" t="s">
        <v>23</v>
      </c>
      <c r="AD233" t="s">
        <v>23</v>
      </c>
      <c r="AE233" t="s">
        <v>23</v>
      </c>
      <c r="AF233" t="s">
        <v>23</v>
      </c>
      <c r="AG233" t="s">
        <v>23</v>
      </c>
      <c r="AH233" t="s">
        <v>23</v>
      </c>
      <c r="AI233" t="s">
        <v>23</v>
      </c>
      <c r="AJ233" t="s">
        <v>23</v>
      </c>
    </row>
    <row r="234" spans="1:36" x14ac:dyDescent="0.35">
      <c r="A234" s="2">
        <v>1232</v>
      </c>
      <c r="B234" s="4">
        <v>45108</v>
      </c>
      <c r="C234" s="1" t="s">
        <v>41</v>
      </c>
      <c r="D234" s="1" t="s">
        <v>42</v>
      </c>
      <c r="E234">
        <v>189350</v>
      </c>
      <c r="F234">
        <v>9</v>
      </c>
      <c r="G234" s="1" t="s">
        <v>35</v>
      </c>
      <c r="H234">
        <v>24451</v>
      </c>
      <c r="I234">
        <v>27345</v>
      </c>
      <c r="J234" s="1" t="s">
        <v>27</v>
      </c>
      <c r="K234" s="3">
        <v>1</v>
      </c>
      <c r="L234" s="1" t="s">
        <v>28</v>
      </c>
      <c r="M234" s="1" t="s">
        <v>37</v>
      </c>
      <c r="N234" s="3">
        <v>2024010123</v>
      </c>
      <c r="O234" s="3">
        <f t="shared" si="27"/>
        <v>1.23</v>
      </c>
      <c r="P234" s="6">
        <f t="shared" si="28"/>
        <v>232900.5</v>
      </c>
      <c r="Q234" s="3" t="str">
        <f t="shared" si="29"/>
        <v>Excellent</v>
      </c>
      <c r="R234" s="3">
        <f t="shared" si="30"/>
        <v>2894</v>
      </c>
      <c r="S234" s="7">
        <f t="shared" si="31"/>
        <v>26046</v>
      </c>
      <c r="T234" s="3" t="str">
        <f t="shared" si="32"/>
        <v>High Profit</v>
      </c>
      <c r="U234" s="3" t="str">
        <f t="shared" si="33"/>
        <v>Low Discount</v>
      </c>
      <c r="V234" s="3" t="str">
        <f t="shared" si="34"/>
        <v>Priority C</v>
      </c>
      <c r="W234">
        <f t="shared" si="35"/>
        <v>28402.5</v>
      </c>
      <c r="X234" t="s">
        <v>23</v>
      </c>
      <c r="Y234" t="s">
        <v>23</v>
      </c>
      <c r="Z234" t="s">
        <v>23</v>
      </c>
      <c r="AA234" t="s">
        <v>23</v>
      </c>
      <c r="AB234" t="s">
        <v>23</v>
      </c>
      <c r="AC234" t="s">
        <v>23</v>
      </c>
      <c r="AD234" t="s">
        <v>23</v>
      </c>
      <c r="AE234" t="s">
        <v>23</v>
      </c>
      <c r="AF234" t="s">
        <v>23</v>
      </c>
      <c r="AG234" t="s">
        <v>23</v>
      </c>
      <c r="AH234" t="s">
        <v>23</v>
      </c>
      <c r="AI234" t="s">
        <v>23</v>
      </c>
      <c r="AJ234" t="s">
        <v>23</v>
      </c>
    </row>
    <row r="235" spans="1:36" x14ac:dyDescent="0.35">
      <c r="A235" s="2">
        <v>1233</v>
      </c>
      <c r="B235" s="4">
        <v>45215</v>
      </c>
      <c r="C235" s="1" t="s">
        <v>41</v>
      </c>
      <c r="D235" s="1" t="s">
        <v>42</v>
      </c>
      <c r="E235">
        <v>573223</v>
      </c>
      <c r="F235">
        <v>12</v>
      </c>
      <c r="G235" s="1" t="s">
        <v>39</v>
      </c>
      <c r="H235">
        <v>38877</v>
      </c>
      <c r="I235">
        <v>42419</v>
      </c>
      <c r="J235" s="1" t="s">
        <v>27</v>
      </c>
      <c r="K235" s="3">
        <v>8</v>
      </c>
      <c r="L235" s="1" t="s">
        <v>28</v>
      </c>
      <c r="M235" s="1" t="s">
        <v>37</v>
      </c>
      <c r="N235" s="3">
        <v>2024010123</v>
      </c>
      <c r="O235" s="3">
        <f t="shared" si="27"/>
        <v>1.23</v>
      </c>
      <c r="P235" s="6">
        <f t="shared" si="28"/>
        <v>705064.29</v>
      </c>
      <c r="Q235" s="3" t="str">
        <f t="shared" si="29"/>
        <v>Excellent</v>
      </c>
      <c r="R235" s="3">
        <f t="shared" si="30"/>
        <v>3542</v>
      </c>
      <c r="S235" s="7">
        <f t="shared" si="31"/>
        <v>42504</v>
      </c>
      <c r="T235" s="3" t="str">
        <f t="shared" si="32"/>
        <v>High Profit</v>
      </c>
      <c r="U235" s="3" t="str">
        <f t="shared" si="33"/>
        <v>Medium Discount</v>
      </c>
      <c r="V235" s="3" t="str">
        <f t="shared" si="34"/>
        <v>Priority C</v>
      </c>
      <c r="W235">
        <f t="shared" si="35"/>
        <v>85983.45</v>
      </c>
      <c r="X235" t="s">
        <v>23</v>
      </c>
      <c r="Y235" t="s">
        <v>23</v>
      </c>
      <c r="Z235" t="s">
        <v>23</v>
      </c>
      <c r="AA235" t="s">
        <v>23</v>
      </c>
      <c r="AB235" t="s">
        <v>23</v>
      </c>
      <c r="AC235" t="s">
        <v>23</v>
      </c>
      <c r="AD235" t="s">
        <v>23</v>
      </c>
      <c r="AE235" t="s">
        <v>23</v>
      </c>
      <c r="AF235" t="s">
        <v>23</v>
      </c>
      <c r="AG235" t="s">
        <v>23</v>
      </c>
      <c r="AH235" t="s">
        <v>23</v>
      </c>
      <c r="AI235" t="s">
        <v>23</v>
      </c>
      <c r="AJ235" t="s">
        <v>23</v>
      </c>
    </row>
    <row r="236" spans="1:36" x14ac:dyDescent="0.35">
      <c r="A236" s="2">
        <v>1234</v>
      </c>
      <c r="B236" s="4">
        <v>45067</v>
      </c>
      <c r="C236" s="1" t="s">
        <v>34</v>
      </c>
      <c r="D236" s="1" t="s">
        <v>25</v>
      </c>
      <c r="E236">
        <v>961379</v>
      </c>
      <c r="F236">
        <v>9</v>
      </c>
      <c r="G236" s="1" t="s">
        <v>39</v>
      </c>
      <c r="H236">
        <v>20196</v>
      </c>
      <c r="I236">
        <v>23781</v>
      </c>
      <c r="J236" s="1" t="s">
        <v>33</v>
      </c>
      <c r="K236" s="3">
        <v>8</v>
      </c>
      <c r="L236" s="1" t="s">
        <v>40</v>
      </c>
      <c r="M236" s="1" t="s">
        <v>37</v>
      </c>
      <c r="N236" s="3">
        <v>2024010123</v>
      </c>
      <c r="O236" s="3">
        <f t="shared" si="27"/>
        <v>1.23</v>
      </c>
      <c r="P236" s="6">
        <f t="shared" si="28"/>
        <v>1182496.17</v>
      </c>
      <c r="Q236" s="3" t="str">
        <f t="shared" si="29"/>
        <v>Excellent</v>
      </c>
      <c r="R236" s="3">
        <f t="shared" si="30"/>
        <v>3585</v>
      </c>
      <c r="S236" s="7">
        <f t="shared" si="31"/>
        <v>32265</v>
      </c>
      <c r="T236" s="3" t="str">
        <f t="shared" si="32"/>
        <v>High Profit</v>
      </c>
      <c r="U236" s="3" t="str">
        <f t="shared" si="33"/>
        <v>Medium Discount</v>
      </c>
      <c r="V236" s="3" t="str">
        <f t="shared" si="34"/>
        <v>Priority C</v>
      </c>
      <c r="W236">
        <f t="shared" si="35"/>
        <v>96137.900000000009</v>
      </c>
      <c r="X236" t="s">
        <v>23</v>
      </c>
      <c r="Y236" t="s">
        <v>23</v>
      </c>
      <c r="Z236" t="s">
        <v>23</v>
      </c>
      <c r="AA236" t="s">
        <v>23</v>
      </c>
      <c r="AB236" t="s">
        <v>23</v>
      </c>
      <c r="AC236" t="s">
        <v>23</v>
      </c>
      <c r="AD236" t="s">
        <v>23</v>
      </c>
      <c r="AE236" t="s">
        <v>23</v>
      </c>
      <c r="AF236" t="s">
        <v>23</v>
      </c>
      <c r="AG236" t="s">
        <v>23</v>
      </c>
      <c r="AH236" t="s">
        <v>23</v>
      </c>
      <c r="AI236" t="s">
        <v>23</v>
      </c>
      <c r="AJ236" t="s">
        <v>23</v>
      </c>
    </row>
    <row r="237" spans="1:36" x14ac:dyDescent="0.35">
      <c r="A237" s="2">
        <v>1235</v>
      </c>
      <c r="B237" s="4">
        <v>45222</v>
      </c>
      <c r="C237" s="1" t="s">
        <v>34</v>
      </c>
      <c r="D237" s="1" t="s">
        <v>43</v>
      </c>
      <c r="E237">
        <v>198737</v>
      </c>
      <c r="F237">
        <v>12</v>
      </c>
      <c r="G237" s="1" t="s">
        <v>39</v>
      </c>
      <c r="H237">
        <v>58616</v>
      </c>
      <c r="I237">
        <v>63437</v>
      </c>
      <c r="J237" s="1" t="s">
        <v>33</v>
      </c>
      <c r="K237" s="3">
        <v>13</v>
      </c>
      <c r="L237" s="1" t="s">
        <v>40</v>
      </c>
      <c r="M237" s="1" t="s">
        <v>29</v>
      </c>
      <c r="N237" s="3">
        <v>2024010123</v>
      </c>
      <c r="O237" s="3">
        <f t="shared" si="27"/>
        <v>1.23</v>
      </c>
      <c r="P237" s="6">
        <f t="shared" si="28"/>
        <v>244446.51</v>
      </c>
      <c r="Q237" s="3" t="str">
        <f t="shared" si="29"/>
        <v>Excellent</v>
      </c>
      <c r="R237" s="3">
        <f t="shared" si="30"/>
        <v>4821</v>
      </c>
      <c r="S237" s="7">
        <f t="shared" si="31"/>
        <v>57852</v>
      </c>
      <c r="T237" s="3" t="str">
        <f t="shared" si="32"/>
        <v>High Profit</v>
      </c>
      <c r="U237" s="3" t="str">
        <f t="shared" si="33"/>
        <v>Medium Discount</v>
      </c>
      <c r="V237" s="3" t="str">
        <f t="shared" si="34"/>
        <v>Priority D</v>
      </c>
      <c r="W237">
        <f t="shared" si="35"/>
        <v>19873.7</v>
      </c>
      <c r="X237" t="s">
        <v>23</v>
      </c>
      <c r="Y237" t="s">
        <v>23</v>
      </c>
      <c r="Z237" t="s">
        <v>23</v>
      </c>
      <c r="AA237" t="s">
        <v>23</v>
      </c>
      <c r="AB237" t="s">
        <v>23</v>
      </c>
      <c r="AC237" t="s">
        <v>23</v>
      </c>
      <c r="AD237" t="s">
        <v>23</v>
      </c>
      <c r="AE237" t="s">
        <v>23</v>
      </c>
      <c r="AF237" t="s">
        <v>23</v>
      </c>
      <c r="AG237" t="s">
        <v>23</v>
      </c>
      <c r="AH237" t="s">
        <v>23</v>
      </c>
      <c r="AI237" t="s">
        <v>23</v>
      </c>
      <c r="AJ237" t="s">
        <v>23</v>
      </c>
    </row>
    <row r="238" spans="1:36" x14ac:dyDescent="0.35">
      <c r="A238" s="2">
        <v>1236</v>
      </c>
      <c r="B238" s="4">
        <v>45171</v>
      </c>
      <c r="C238" s="1" t="s">
        <v>30</v>
      </c>
      <c r="D238" s="1" t="s">
        <v>31</v>
      </c>
      <c r="E238">
        <v>289981</v>
      </c>
      <c r="F238">
        <v>4</v>
      </c>
      <c r="G238" s="1" t="s">
        <v>26</v>
      </c>
      <c r="H238">
        <v>45200</v>
      </c>
      <c r="I238">
        <v>48724</v>
      </c>
      <c r="J238" s="1" t="s">
        <v>27</v>
      </c>
      <c r="K238" s="3">
        <v>22</v>
      </c>
      <c r="L238" s="1" t="s">
        <v>36</v>
      </c>
      <c r="M238" s="1" t="s">
        <v>37</v>
      </c>
      <c r="N238" s="3">
        <v>2024010123</v>
      </c>
      <c r="O238" s="3">
        <f t="shared" si="27"/>
        <v>1.23</v>
      </c>
      <c r="P238" s="6">
        <f t="shared" si="28"/>
        <v>356676.63</v>
      </c>
      <c r="Q238" s="3" t="str">
        <f t="shared" si="29"/>
        <v>Excellent</v>
      </c>
      <c r="R238" s="3">
        <f t="shared" si="30"/>
        <v>3524</v>
      </c>
      <c r="S238" s="7">
        <f t="shared" si="31"/>
        <v>14096</v>
      </c>
      <c r="T238" s="3" t="str">
        <f t="shared" si="32"/>
        <v>High Profit</v>
      </c>
      <c r="U238" s="3" t="str">
        <f t="shared" si="33"/>
        <v>High Discount</v>
      </c>
      <c r="V238" s="3" t="str">
        <f t="shared" si="34"/>
        <v>Priority C</v>
      </c>
      <c r="W238">
        <f t="shared" si="35"/>
        <v>43497.15</v>
      </c>
      <c r="X238" t="s">
        <v>23</v>
      </c>
      <c r="Y238" t="s">
        <v>23</v>
      </c>
      <c r="Z238" t="s">
        <v>23</v>
      </c>
      <c r="AA238" t="s">
        <v>23</v>
      </c>
      <c r="AB238" t="s">
        <v>23</v>
      </c>
      <c r="AC238" t="s">
        <v>23</v>
      </c>
      <c r="AD238" t="s">
        <v>23</v>
      </c>
      <c r="AE238" t="s">
        <v>23</v>
      </c>
      <c r="AF238" t="s">
        <v>23</v>
      </c>
      <c r="AG238" t="s">
        <v>23</v>
      </c>
      <c r="AH238" t="s">
        <v>23</v>
      </c>
      <c r="AI238" t="s">
        <v>23</v>
      </c>
      <c r="AJ238" t="s">
        <v>23</v>
      </c>
    </row>
    <row r="239" spans="1:36" x14ac:dyDescent="0.35">
      <c r="A239" s="2">
        <v>1237</v>
      </c>
      <c r="B239" s="4">
        <v>45017</v>
      </c>
      <c r="C239" s="1" t="s">
        <v>24</v>
      </c>
      <c r="D239" s="1" t="s">
        <v>43</v>
      </c>
      <c r="E239">
        <v>336633</v>
      </c>
      <c r="F239">
        <v>12</v>
      </c>
      <c r="G239" s="1" t="s">
        <v>26</v>
      </c>
      <c r="H239">
        <v>49000</v>
      </c>
      <c r="I239">
        <v>52027</v>
      </c>
      <c r="J239" s="1" t="s">
        <v>27</v>
      </c>
      <c r="K239" s="3">
        <v>20</v>
      </c>
      <c r="L239" s="1" t="s">
        <v>28</v>
      </c>
      <c r="M239" s="1" t="s">
        <v>37</v>
      </c>
      <c r="N239" s="3">
        <v>2024010123</v>
      </c>
      <c r="O239" s="3">
        <f t="shared" si="27"/>
        <v>1.23</v>
      </c>
      <c r="P239" s="6">
        <f t="shared" si="28"/>
        <v>414058.58999999997</v>
      </c>
      <c r="Q239" s="3" t="str">
        <f t="shared" si="29"/>
        <v>Excellent</v>
      </c>
      <c r="R239" s="3">
        <f t="shared" si="30"/>
        <v>3027</v>
      </c>
      <c r="S239" s="7">
        <f t="shared" si="31"/>
        <v>36324</v>
      </c>
      <c r="T239" s="3" t="str">
        <f t="shared" si="32"/>
        <v>High Profit</v>
      </c>
      <c r="U239" s="3" t="str">
        <f t="shared" si="33"/>
        <v>High Discount</v>
      </c>
      <c r="V239" s="3" t="str">
        <f t="shared" si="34"/>
        <v>Priority C</v>
      </c>
      <c r="W239">
        <f t="shared" si="35"/>
        <v>50494.95</v>
      </c>
      <c r="X239" t="s">
        <v>23</v>
      </c>
      <c r="Y239" t="s">
        <v>23</v>
      </c>
      <c r="Z239" t="s">
        <v>23</v>
      </c>
      <c r="AA239" t="s">
        <v>23</v>
      </c>
      <c r="AB239" t="s">
        <v>23</v>
      </c>
      <c r="AC239" t="s">
        <v>23</v>
      </c>
      <c r="AD239" t="s">
        <v>23</v>
      </c>
      <c r="AE239" t="s">
        <v>23</v>
      </c>
      <c r="AF239" t="s">
        <v>23</v>
      </c>
      <c r="AG239" t="s">
        <v>23</v>
      </c>
      <c r="AH239" t="s">
        <v>23</v>
      </c>
      <c r="AI239" t="s">
        <v>23</v>
      </c>
      <c r="AJ239" t="s">
        <v>23</v>
      </c>
    </row>
    <row r="240" spans="1:36" x14ac:dyDescent="0.35">
      <c r="A240" s="2">
        <v>1238</v>
      </c>
      <c r="B240" s="4">
        <v>45283</v>
      </c>
      <c r="C240" s="1" t="s">
        <v>24</v>
      </c>
      <c r="D240" s="1" t="s">
        <v>25</v>
      </c>
      <c r="E240">
        <v>190448</v>
      </c>
      <c r="F240">
        <v>4</v>
      </c>
      <c r="G240" s="1" t="s">
        <v>39</v>
      </c>
      <c r="H240">
        <v>56943</v>
      </c>
      <c r="I240">
        <v>59328</v>
      </c>
      <c r="J240" s="1" t="s">
        <v>33</v>
      </c>
      <c r="K240" s="3">
        <v>24</v>
      </c>
      <c r="L240" s="1" t="s">
        <v>40</v>
      </c>
      <c r="M240" s="1" t="s">
        <v>29</v>
      </c>
      <c r="N240" s="3">
        <v>2024010123</v>
      </c>
      <c r="O240" s="3">
        <f t="shared" si="27"/>
        <v>1.23</v>
      </c>
      <c r="P240" s="6">
        <f t="shared" si="28"/>
        <v>234251.04</v>
      </c>
      <c r="Q240" s="3" t="str">
        <f t="shared" si="29"/>
        <v>Excellent</v>
      </c>
      <c r="R240" s="3">
        <f t="shared" si="30"/>
        <v>2385</v>
      </c>
      <c r="S240" s="7">
        <f t="shared" si="31"/>
        <v>9540</v>
      </c>
      <c r="T240" s="3" t="str">
        <f t="shared" si="32"/>
        <v>High Profit</v>
      </c>
      <c r="U240" s="3" t="str">
        <f t="shared" si="33"/>
        <v>High Discount</v>
      </c>
      <c r="V240" s="3" t="str">
        <f t="shared" si="34"/>
        <v>Priority D</v>
      </c>
      <c r="W240">
        <f t="shared" si="35"/>
        <v>19044.8</v>
      </c>
      <c r="X240" t="s">
        <v>23</v>
      </c>
      <c r="Y240" t="s">
        <v>23</v>
      </c>
      <c r="Z240" t="s">
        <v>23</v>
      </c>
      <c r="AA240" t="s">
        <v>23</v>
      </c>
      <c r="AB240" t="s">
        <v>23</v>
      </c>
      <c r="AC240" t="s">
        <v>23</v>
      </c>
      <c r="AD240" t="s">
        <v>23</v>
      </c>
      <c r="AE240" t="s">
        <v>23</v>
      </c>
      <c r="AF240" t="s">
        <v>23</v>
      </c>
      <c r="AG240" t="s">
        <v>23</v>
      </c>
      <c r="AH240" t="s">
        <v>23</v>
      </c>
      <c r="AI240" t="s">
        <v>23</v>
      </c>
      <c r="AJ240" t="s">
        <v>23</v>
      </c>
    </row>
    <row r="241" spans="1:36" x14ac:dyDescent="0.35">
      <c r="A241" s="2">
        <v>1239</v>
      </c>
      <c r="B241" s="4">
        <v>44975</v>
      </c>
      <c r="C241" s="1" t="s">
        <v>34</v>
      </c>
      <c r="D241" s="1" t="s">
        <v>42</v>
      </c>
      <c r="E241">
        <v>778721</v>
      </c>
      <c r="F241">
        <v>11</v>
      </c>
      <c r="G241" s="1" t="s">
        <v>32</v>
      </c>
      <c r="H241">
        <v>29155</v>
      </c>
      <c r="I241">
        <v>34144</v>
      </c>
      <c r="J241" s="1" t="s">
        <v>33</v>
      </c>
      <c r="K241" s="3">
        <v>19</v>
      </c>
      <c r="L241" s="1" t="s">
        <v>28</v>
      </c>
      <c r="M241" s="1" t="s">
        <v>37</v>
      </c>
      <c r="N241" s="3">
        <v>2024010123</v>
      </c>
      <c r="O241" s="3">
        <f t="shared" si="27"/>
        <v>1.23</v>
      </c>
      <c r="P241" s="6">
        <f t="shared" si="28"/>
        <v>957826.83</v>
      </c>
      <c r="Q241" s="3" t="str">
        <f t="shared" si="29"/>
        <v>Excellent</v>
      </c>
      <c r="R241" s="3">
        <f t="shared" si="30"/>
        <v>4989</v>
      </c>
      <c r="S241" s="7">
        <f t="shared" si="31"/>
        <v>54879</v>
      </c>
      <c r="T241" s="3" t="str">
        <f t="shared" si="32"/>
        <v>High Profit</v>
      </c>
      <c r="U241" s="3" t="str">
        <f t="shared" si="33"/>
        <v>High Discount</v>
      </c>
      <c r="V241" s="3" t="str">
        <f t="shared" si="34"/>
        <v>Priority C</v>
      </c>
      <c r="W241">
        <f t="shared" si="35"/>
        <v>77872.100000000006</v>
      </c>
      <c r="X241" t="s">
        <v>23</v>
      </c>
      <c r="Y241" t="s">
        <v>23</v>
      </c>
      <c r="Z241" t="s">
        <v>23</v>
      </c>
      <c r="AA241" t="s">
        <v>23</v>
      </c>
      <c r="AB241" t="s">
        <v>23</v>
      </c>
      <c r="AC241" t="s">
        <v>23</v>
      </c>
      <c r="AD241" t="s">
        <v>23</v>
      </c>
      <c r="AE241" t="s">
        <v>23</v>
      </c>
      <c r="AF241" t="s">
        <v>23</v>
      </c>
      <c r="AG241" t="s">
        <v>23</v>
      </c>
      <c r="AH241" t="s">
        <v>23</v>
      </c>
      <c r="AI241" t="s">
        <v>23</v>
      </c>
      <c r="AJ241" t="s">
        <v>23</v>
      </c>
    </row>
    <row r="242" spans="1:36" x14ac:dyDescent="0.35">
      <c r="A242" s="2">
        <v>1240</v>
      </c>
      <c r="B242" s="4">
        <v>45044</v>
      </c>
      <c r="C242" s="1" t="s">
        <v>30</v>
      </c>
      <c r="D242" s="1" t="s">
        <v>43</v>
      </c>
      <c r="E242">
        <v>167021</v>
      </c>
      <c r="F242">
        <v>17</v>
      </c>
      <c r="G242" s="1" t="s">
        <v>35</v>
      </c>
      <c r="H242">
        <v>21339</v>
      </c>
      <c r="I242">
        <v>33202</v>
      </c>
      <c r="J242" s="1" t="s">
        <v>33</v>
      </c>
      <c r="K242" s="3">
        <v>0</v>
      </c>
      <c r="L242" s="1" t="s">
        <v>28</v>
      </c>
      <c r="M242" s="1" t="s">
        <v>37</v>
      </c>
      <c r="N242" s="3">
        <v>2024010123</v>
      </c>
      <c r="O242" s="3">
        <f t="shared" si="27"/>
        <v>1.23</v>
      </c>
      <c r="P242" s="6">
        <f t="shared" si="28"/>
        <v>205435.83</v>
      </c>
      <c r="Q242" s="3" t="str">
        <f t="shared" si="29"/>
        <v>Excellent</v>
      </c>
      <c r="R242" s="3">
        <f t="shared" si="30"/>
        <v>11863</v>
      </c>
      <c r="S242" s="7">
        <f t="shared" si="31"/>
        <v>201671</v>
      </c>
      <c r="T242" s="3" t="str">
        <f t="shared" si="32"/>
        <v>High Profit</v>
      </c>
      <c r="U242" s="3" t="str">
        <f t="shared" si="33"/>
        <v>No Discount</v>
      </c>
      <c r="V242" s="3" t="str">
        <f t="shared" si="34"/>
        <v>Priority C</v>
      </c>
      <c r="W242">
        <f t="shared" si="35"/>
        <v>16702.100000000002</v>
      </c>
      <c r="X242" t="s">
        <v>23</v>
      </c>
      <c r="Y242" t="s">
        <v>23</v>
      </c>
      <c r="Z242" t="s">
        <v>23</v>
      </c>
      <c r="AA242" t="s">
        <v>23</v>
      </c>
      <c r="AB242" t="s">
        <v>23</v>
      </c>
      <c r="AC242" t="s">
        <v>23</v>
      </c>
      <c r="AD242" t="s">
        <v>23</v>
      </c>
      <c r="AE242" t="s">
        <v>23</v>
      </c>
      <c r="AF242" t="s">
        <v>23</v>
      </c>
      <c r="AG242" t="s">
        <v>23</v>
      </c>
      <c r="AH242" t="s">
        <v>23</v>
      </c>
      <c r="AI242" t="s">
        <v>23</v>
      </c>
      <c r="AJ242" t="s">
        <v>23</v>
      </c>
    </row>
    <row r="243" spans="1:36" x14ac:dyDescent="0.35">
      <c r="A243" s="2">
        <v>1241</v>
      </c>
      <c r="B243" s="4">
        <v>45011</v>
      </c>
      <c r="C243" s="1" t="s">
        <v>24</v>
      </c>
      <c r="D243" s="1" t="s">
        <v>25</v>
      </c>
      <c r="E243">
        <v>23227</v>
      </c>
      <c r="F243">
        <v>12</v>
      </c>
      <c r="G243" s="1" t="s">
        <v>39</v>
      </c>
      <c r="H243">
        <v>11968</v>
      </c>
      <c r="I243">
        <v>18715</v>
      </c>
      <c r="J243" s="1" t="s">
        <v>27</v>
      </c>
      <c r="K243" s="3">
        <v>3</v>
      </c>
      <c r="L243" s="1" t="s">
        <v>28</v>
      </c>
      <c r="M243" s="1" t="s">
        <v>29</v>
      </c>
      <c r="N243" s="3">
        <v>2024010123</v>
      </c>
      <c r="O243" s="3">
        <f t="shared" si="27"/>
        <v>1.23</v>
      </c>
      <c r="P243" s="6">
        <f t="shared" si="28"/>
        <v>28569.21</v>
      </c>
      <c r="Q243" s="3" t="str">
        <f t="shared" si="29"/>
        <v>Excellent</v>
      </c>
      <c r="R243" s="3">
        <f t="shared" si="30"/>
        <v>6747</v>
      </c>
      <c r="S243" s="7">
        <f t="shared" si="31"/>
        <v>80964</v>
      </c>
      <c r="T243" s="3" t="str">
        <f t="shared" si="32"/>
        <v>High Profit</v>
      </c>
      <c r="U243" s="3" t="str">
        <f t="shared" si="33"/>
        <v>Low Discount</v>
      </c>
      <c r="V243" s="3" t="str">
        <f t="shared" si="34"/>
        <v>Priority D</v>
      </c>
      <c r="W243">
        <f t="shared" si="35"/>
        <v>3484.0499999999997</v>
      </c>
      <c r="X243" t="s">
        <v>23</v>
      </c>
      <c r="Y243" t="s">
        <v>23</v>
      </c>
      <c r="Z243" t="s">
        <v>23</v>
      </c>
      <c r="AA243" t="s">
        <v>23</v>
      </c>
      <c r="AB243" t="s">
        <v>23</v>
      </c>
      <c r="AC243" t="s">
        <v>23</v>
      </c>
      <c r="AD243" t="s">
        <v>23</v>
      </c>
      <c r="AE243" t="s">
        <v>23</v>
      </c>
      <c r="AF243" t="s">
        <v>23</v>
      </c>
      <c r="AG243" t="s">
        <v>23</v>
      </c>
      <c r="AH243" t="s">
        <v>23</v>
      </c>
      <c r="AI243" t="s">
        <v>23</v>
      </c>
      <c r="AJ243" t="s">
        <v>23</v>
      </c>
    </row>
    <row r="244" spans="1:36" x14ac:dyDescent="0.35">
      <c r="A244" s="2">
        <v>1242</v>
      </c>
      <c r="B244" s="4">
        <v>44995</v>
      </c>
      <c r="C244" s="1" t="s">
        <v>34</v>
      </c>
      <c r="D244" s="1" t="s">
        <v>25</v>
      </c>
      <c r="E244">
        <v>553622</v>
      </c>
      <c r="F244">
        <v>19</v>
      </c>
      <c r="G244" s="1" t="s">
        <v>26</v>
      </c>
      <c r="H244">
        <v>19630</v>
      </c>
      <c r="I244">
        <v>27449</v>
      </c>
      <c r="J244" s="1" t="s">
        <v>27</v>
      </c>
      <c r="K244" s="3">
        <v>2</v>
      </c>
      <c r="L244" s="1" t="s">
        <v>40</v>
      </c>
      <c r="M244" s="1" t="s">
        <v>29</v>
      </c>
      <c r="N244" s="3">
        <v>2024010123</v>
      </c>
      <c r="O244" s="3">
        <f t="shared" si="27"/>
        <v>1.23</v>
      </c>
      <c r="P244" s="6">
        <f t="shared" si="28"/>
        <v>680955.05999999994</v>
      </c>
      <c r="Q244" s="3" t="str">
        <f t="shared" si="29"/>
        <v>Excellent</v>
      </c>
      <c r="R244" s="3">
        <f t="shared" si="30"/>
        <v>7819</v>
      </c>
      <c r="S244" s="7">
        <f t="shared" si="31"/>
        <v>148561</v>
      </c>
      <c r="T244" s="3" t="str">
        <f t="shared" si="32"/>
        <v>High Profit</v>
      </c>
      <c r="U244" s="3" t="str">
        <f t="shared" si="33"/>
        <v>Low Discount</v>
      </c>
      <c r="V244" s="3" t="str">
        <f t="shared" si="34"/>
        <v>Priority C</v>
      </c>
      <c r="W244">
        <f t="shared" si="35"/>
        <v>83043.3</v>
      </c>
      <c r="X244" t="s">
        <v>23</v>
      </c>
      <c r="Y244" t="s">
        <v>23</v>
      </c>
      <c r="Z244" t="s">
        <v>23</v>
      </c>
      <c r="AA244" t="s">
        <v>23</v>
      </c>
      <c r="AB244" t="s">
        <v>23</v>
      </c>
      <c r="AC244" t="s">
        <v>23</v>
      </c>
      <c r="AD244" t="s">
        <v>23</v>
      </c>
      <c r="AE244" t="s">
        <v>23</v>
      </c>
      <c r="AF244" t="s">
        <v>23</v>
      </c>
      <c r="AG244" t="s">
        <v>23</v>
      </c>
      <c r="AH244" t="s">
        <v>23</v>
      </c>
      <c r="AI244" t="s">
        <v>23</v>
      </c>
      <c r="AJ244" t="s">
        <v>23</v>
      </c>
    </row>
    <row r="245" spans="1:36" x14ac:dyDescent="0.35">
      <c r="A245" s="2">
        <v>1243</v>
      </c>
      <c r="B245" s="4">
        <v>45051</v>
      </c>
      <c r="C245" s="1" t="s">
        <v>38</v>
      </c>
      <c r="D245" s="1" t="s">
        <v>43</v>
      </c>
      <c r="E245">
        <v>110431</v>
      </c>
      <c r="F245">
        <v>17</v>
      </c>
      <c r="G245" s="1" t="s">
        <v>26</v>
      </c>
      <c r="H245">
        <v>27735</v>
      </c>
      <c r="I245">
        <v>34113</v>
      </c>
      <c r="J245" s="1" t="s">
        <v>27</v>
      </c>
      <c r="K245" s="3">
        <v>12</v>
      </c>
      <c r="L245" s="1" t="s">
        <v>36</v>
      </c>
      <c r="M245" s="1" t="s">
        <v>29</v>
      </c>
      <c r="N245" s="3">
        <v>2024010123</v>
      </c>
      <c r="O245" s="3">
        <f t="shared" si="27"/>
        <v>1.23</v>
      </c>
      <c r="P245" s="6">
        <f t="shared" si="28"/>
        <v>135830.13</v>
      </c>
      <c r="Q245" s="3" t="str">
        <f t="shared" si="29"/>
        <v>Excellent</v>
      </c>
      <c r="R245" s="3">
        <f t="shared" si="30"/>
        <v>6378</v>
      </c>
      <c r="S245" s="7">
        <f t="shared" si="31"/>
        <v>108426</v>
      </c>
      <c r="T245" s="3" t="str">
        <f t="shared" si="32"/>
        <v>High Profit</v>
      </c>
      <c r="U245" s="3" t="str">
        <f t="shared" si="33"/>
        <v>Medium Discount</v>
      </c>
      <c r="V245" s="3" t="str">
        <f t="shared" si="34"/>
        <v>Priority C</v>
      </c>
      <c r="W245">
        <f t="shared" si="35"/>
        <v>16564.649999999998</v>
      </c>
      <c r="X245" t="s">
        <v>23</v>
      </c>
      <c r="Y245" t="s">
        <v>23</v>
      </c>
      <c r="Z245" t="s">
        <v>23</v>
      </c>
      <c r="AA245" t="s">
        <v>23</v>
      </c>
      <c r="AB245" t="s">
        <v>23</v>
      </c>
      <c r="AC245" t="s">
        <v>23</v>
      </c>
      <c r="AD245" t="s">
        <v>23</v>
      </c>
      <c r="AE245" t="s">
        <v>23</v>
      </c>
      <c r="AF245" t="s">
        <v>23</v>
      </c>
      <c r="AG245" t="s">
        <v>23</v>
      </c>
      <c r="AH245" t="s">
        <v>23</v>
      </c>
      <c r="AI245" t="s">
        <v>23</v>
      </c>
      <c r="AJ245" t="s">
        <v>23</v>
      </c>
    </row>
    <row r="246" spans="1:36" x14ac:dyDescent="0.35">
      <c r="A246" s="2">
        <v>1244</v>
      </c>
      <c r="B246" s="4">
        <v>44964</v>
      </c>
      <c r="C246" s="1" t="s">
        <v>38</v>
      </c>
      <c r="D246" s="1" t="s">
        <v>31</v>
      </c>
      <c r="E246">
        <v>308763</v>
      </c>
      <c r="F246">
        <v>38</v>
      </c>
      <c r="G246" s="1" t="s">
        <v>26</v>
      </c>
      <c r="H246">
        <v>29058</v>
      </c>
      <c r="I246">
        <v>43009</v>
      </c>
      <c r="J246" s="1" t="s">
        <v>33</v>
      </c>
      <c r="K246" s="3">
        <v>11</v>
      </c>
      <c r="L246" s="1" t="s">
        <v>28</v>
      </c>
      <c r="M246" s="1" t="s">
        <v>37</v>
      </c>
      <c r="N246" s="3">
        <v>2024010123</v>
      </c>
      <c r="O246" s="3">
        <f t="shared" si="27"/>
        <v>1.23</v>
      </c>
      <c r="P246" s="6">
        <f t="shared" si="28"/>
        <v>379778.49</v>
      </c>
      <c r="Q246" s="3" t="str">
        <f t="shared" si="29"/>
        <v>Excellent</v>
      </c>
      <c r="R246" s="3">
        <f t="shared" si="30"/>
        <v>13951</v>
      </c>
      <c r="S246" s="7">
        <f t="shared" si="31"/>
        <v>530138</v>
      </c>
      <c r="T246" s="3" t="str">
        <f t="shared" si="32"/>
        <v>High Profit</v>
      </c>
      <c r="U246" s="3" t="str">
        <f t="shared" si="33"/>
        <v>Medium Discount</v>
      </c>
      <c r="V246" s="3" t="str">
        <f t="shared" si="34"/>
        <v>Priority C</v>
      </c>
      <c r="W246">
        <f t="shared" si="35"/>
        <v>30876.300000000003</v>
      </c>
      <c r="X246" t="s">
        <v>23</v>
      </c>
      <c r="Y246" t="s">
        <v>23</v>
      </c>
      <c r="Z246" t="s">
        <v>23</v>
      </c>
      <c r="AA246" t="s">
        <v>23</v>
      </c>
      <c r="AB246" t="s">
        <v>23</v>
      </c>
      <c r="AC246" t="s">
        <v>23</v>
      </c>
      <c r="AD246" t="s">
        <v>23</v>
      </c>
      <c r="AE246" t="s">
        <v>23</v>
      </c>
      <c r="AF246" t="s">
        <v>23</v>
      </c>
      <c r="AG246" t="s">
        <v>23</v>
      </c>
      <c r="AH246" t="s">
        <v>23</v>
      </c>
      <c r="AI246" t="s">
        <v>23</v>
      </c>
      <c r="AJ246" t="s">
        <v>23</v>
      </c>
    </row>
    <row r="247" spans="1:36" x14ac:dyDescent="0.35">
      <c r="A247" s="2">
        <v>1245</v>
      </c>
      <c r="B247" s="4">
        <v>45190</v>
      </c>
      <c r="C247" s="1" t="s">
        <v>30</v>
      </c>
      <c r="D247" s="1" t="s">
        <v>31</v>
      </c>
      <c r="E247">
        <v>578004</v>
      </c>
      <c r="F247">
        <v>12</v>
      </c>
      <c r="G247" s="1" t="s">
        <v>32</v>
      </c>
      <c r="H247">
        <v>21318</v>
      </c>
      <c r="I247">
        <v>32715</v>
      </c>
      <c r="J247" s="1" t="s">
        <v>33</v>
      </c>
      <c r="K247" s="3">
        <v>8</v>
      </c>
      <c r="L247" s="1" t="s">
        <v>28</v>
      </c>
      <c r="M247" s="1" t="s">
        <v>29</v>
      </c>
      <c r="N247" s="3">
        <v>2024010123</v>
      </c>
      <c r="O247" s="3">
        <f t="shared" si="27"/>
        <v>1.23</v>
      </c>
      <c r="P247" s="6">
        <f t="shared" si="28"/>
        <v>710944.92</v>
      </c>
      <c r="Q247" s="3" t="str">
        <f t="shared" si="29"/>
        <v>Excellent</v>
      </c>
      <c r="R247" s="3">
        <f t="shared" si="30"/>
        <v>11397</v>
      </c>
      <c r="S247" s="7">
        <f t="shared" si="31"/>
        <v>136764</v>
      </c>
      <c r="T247" s="3" t="str">
        <f t="shared" si="32"/>
        <v>High Profit</v>
      </c>
      <c r="U247" s="3" t="str">
        <f t="shared" si="33"/>
        <v>Medium Discount</v>
      </c>
      <c r="V247" s="3" t="str">
        <f t="shared" si="34"/>
        <v>Priority D</v>
      </c>
      <c r="W247">
        <f t="shared" si="35"/>
        <v>57800.4</v>
      </c>
      <c r="X247" t="s">
        <v>23</v>
      </c>
      <c r="Y247" t="s">
        <v>23</v>
      </c>
      <c r="Z247" t="s">
        <v>23</v>
      </c>
      <c r="AA247" t="s">
        <v>23</v>
      </c>
      <c r="AB247" t="s">
        <v>23</v>
      </c>
      <c r="AC247" t="s">
        <v>23</v>
      </c>
      <c r="AD247" t="s">
        <v>23</v>
      </c>
      <c r="AE247" t="s">
        <v>23</v>
      </c>
      <c r="AF247" t="s">
        <v>23</v>
      </c>
      <c r="AG247" t="s">
        <v>23</v>
      </c>
      <c r="AH247" t="s">
        <v>23</v>
      </c>
      <c r="AI247" t="s">
        <v>23</v>
      </c>
      <c r="AJ247" t="s">
        <v>23</v>
      </c>
    </row>
    <row r="248" spans="1:36" x14ac:dyDescent="0.35">
      <c r="A248" s="2">
        <v>1246</v>
      </c>
      <c r="B248" s="4">
        <v>44943</v>
      </c>
      <c r="C248" s="1" t="s">
        <v>30</v>
      </c>
      <c r="D248" s="1" t="s">
        <v>31</v>
      </c>
      <c r="E248">
        <v>676763</v>
      </c>
      <c r="F248">
        <v>12</v>
      </c>
      <c r="G248" s="1" t="s">
        <v>26</v>
      </c>
      <c r="H248">
        <v>17929</v>
      </c>
      <c r="I248">
        <v>26532</v>
      </c>
      <c r="J248" s="1" t="s">
        <v>33</v>
      </c>
      <c r="K248" s="3">
        <v>29</v>
      </c>
      <c r="L248" s="1" t="s">
        <v>36</v>
      </c>
      <c r="M248" s="1" t="s">
        <v>37</v>
      </c>
      <c r="N248" s="3">
        <v>2024010123</v>
      </c>
      <c r="O248" s="3">
        <f t="shared" si="27"/>
        <v>1.23</v>
      </c>
      <c r="P248" s="6">
        <f t="shared" si="28"/>
        <v>832418.49</v>
      </c>
      <c r="Q248" s="3" t="str">
        <f t="shared" si="29"/>
        <v>Excellent</v>
      </c>
      <c r="R248" s="3">
        <f t="shared" si="30"/>
        <v>8603</v>
      </c>
      <c r="S248" s="7">
        <f t="shared" si="31"/>
        <v>103236</v>
      </c>
      <c r="T248" s="3" t="str">
        <f t="shared" si="32"/>
        <v>High Profit</v>
      </c>
      <c r="U248" s="3" t="str">
        <f t="shared" si="33"/>
        <v>High Discount</v>
      </c>
      <c r="V248" s="3" t="str">
        <f t="shared" si="34"/>
        <v>Priority C</v>
      </c>
      <c r="W248">
        <f t="shared" si="35"/>
        <v>67676.3</v>
      </c>
      <c r="X248" t="s">
        <v>23</v>
      </c>
      <c r="Y248" t="s">
        <v>23</v>
      </c>
      <c r="Z248" t="s">
        <v>23</v>
      </c>
      <c r="AA248" t="s">
        <v>23</v>
      </c>
      <c r="AB248" t="s">
        <v>23</v>
      </c>
      <c r="AC248" t="s">
        <v>23</v>
      </c>
      <c r="AD248" t="s">
        <v>23</v>
      </c>
      <c r="AE248" t="s">
        <v>23</v>
      </c>
      <c r="AF248" t="s">
        <v>23</v>
      </c>
      <c r="AG248" t="s">
        <v>23</v>
      </c>
      <c r="AH248" t="s">
        <v>23</v>
      </c>
      <c r="AI248" t="s">
        <v>23</v>
      </c>
      <c r="AJ248" t="s">
        <v>23</v>
      </c>
    </row>
    <row r="249" spans="1:36" x14ac:dyDescent="0.35">
      <c r="A249" s="2">
        <v>1247</v>
      </c>
      <c r="B249" s="4">
        <v>45079</v>
      </c>
      <c r="C249" s="1" t="s">
        <v>34</v>
      </c>
      <c r="D249" s="1" t="s">
        <v>25</v>
      </c>
      <c r="E249">
        <v>742812</v>
      </c>
      <c r="F249">
        <v>46</v>
      </c>
      <c r="G249" s="1" t="s">
        <v>32</v>
      </c>
      <c r="H249">
        <v>13748</v>
      </c>
      <c r="I249">
        <v>26244</v>
      </c>
      <c r="J249" s="1" t="s">
        <v>33</v>
      </c>
      <c r="K249" s="3">
        <v>24</v>
      </c>
      <c r="L249" s="1" t="s">
        <v>28</v>
      </c>
      <c r="M249" s="1" t="s">
        <v>37</v>
      </c>
      <c r="N249" s="3">
        <v>2024010123</v>
      </c>
      <c r="O249" s="3">
        <f t="shared" si="27"/>
        <v>1.23</v>
      </c>
      <c r="P249" s="6">
        <f t="shared" si="28"/>
        <v>913658.76</v>
      </c>
      <c r="Q249" s="3" t="str">
        <f t="shared" si="29"/>
        <v>Excellent</v>
      </c>
      <c r="R249" s="3">
        <f t="shared" si="30"/>
        <v>12496</v>
      </c>
      <c r="S249" s="7">
        <f t="shared" si="31"/>
        <v>574816</v>
      </c>
      <c r="T249" s="3" t="str">
        <f t="shared" si="32"/>
        <v>High Profit</v>
      </c>
      <c r="U249" s="3" t="str">
        <f t="shared" si="33"/>
        <v>High Discount</v>
      </c>
      <c r="V249" s="3" t="str">
        <f t="shared" si="34"/>
        <v>Priority B</v>
      </c>
      <c r="W249">
        <f t="shared" si="35"/>
        <v>74281.2</v>
      </c>
      <c r="X249" t="s">
        <v>23</v>
      </c>
      <c r="Y249" t="s">
        <v>23</v>
      </c>
      <c r="Z249" t="s">
        <v>23</v>
      </c>
      <c r="AA249" t="s">
        <v>23</v>
      </c>
      <c r="AB249" t="s">
        <v>23</v>
      </c>
      <c r="AC249" t="s">
        <v>23</v>
      </c>
      <c r="AD249" t="s">
        <v>23</v>
      </c>
      <c r="AE249" t="s">
        <v>23</v>
      </c>
      <c r="AF249" t="s">
        <v>23</v>
      </c>
      <c r="AG249" t="s">
        <v>23</v>
      </c>
      <c r="AH249" t="s">
        <v>23</v>
      </c>
      <c r="AI249" t="s">
        <v>23</v>
      </c>
      <c r="AJ249" t="s">
        <v>23</v>
      </c>
    </row>
    <row r="250" spans="1:36" x14ac:dyDescent="0.35">
      <c r="A250" s="2">
        <v>1248</v>
      </c>
      <c r="B250" s="4">
        <v>45217</v>
      </c>
      <c r="C250" s="1" t="s">
        <v>34</v>
      </c>
      <c r="D250" s="1" t="s">
        <v>43</v>
      </c>
      <c r="E250">
        <v>209602</v>
      </c>
      <c r="F250">
        <v>12</v>
      </c>
      <c r="G250" s="1" t="s">
        <v>26</v>
      </c>
      <c r="H250">
        <v>15924</v>
      </c>
      <c r="I250">
        <v>28546</v>
      </c>
      <c r="J250" s="1" t="s">
        <v>33</v>
      </c>
      <c r="K250" s="3">
        <v>23</v>
      </c>
      <c r="L250" s="1" t="s">
        <v>28</v>
      </c>
      <c r="M250" s="1" t="s">
        <v>37</v>
      </c>
      <c r="N250" s="3">
        <v>2024010123</v>
      </c>
      <c r="O250" s="3">
        <f t="shared" si="27"/>
        <v>1.23</v>
      </c>
      <c r="P250" s="6">
        <f t="shared" si="28"/>
        <v>257810.46</v>
      </c>
      <c r="Q250" s="3" t="str">
        <f t="shared" si="29"/>
        <v>Excellent</v>
      </c>
      <c r="R250" s="3">
        <f t="shared" si="30"/>
        <v>12622</v>
      </c>
      <c r="S250" s="7">
        <f t="shared" si="31"/>
        <v>151464</v>
      </c>
      <c r="T250" s="3" t="str">
        <f t="shared" si="32"/>
        <v>High Profit</v>
      </c>
      <c r="U250" s="3" t="str">
        <f t="shared" si="33"/>
        <v>High Discount</v>
      </c>
      <c r="V250" s="3" t="str">
        <f t="shared" si="34"/>
        <v>Priority C</v>
      </c>
      <c r="W250">
        <f t="shared" si="35"/>
        <v>20960.2</v>
      </c>
      <c r="X250" t="s">
        <v>23</v>
      </c>
      <c r="Y250" t="s">
        <v>23</v>
      </c>
      <c r="Z250" t="s">
        <v>23</v>
      </c>
      <c r="AA250" t="s">
        <v>23</v>
      </c>
      <c r="AB250" t="s">
        <v>23</v>
      </c>
      <c r="AC250" t="s">
        <v>23</v>
      </c>
      <c r="AD250" t="s">
        <v>23</v>
      </c>
      <c r="AE250" t="s">
        <v>23</v>
      </c>
      <c r="AF250" t="s">
        <v>23</v>
      </c>
      <c r="AG250" t="s">
        <v>23</v>
      </c>
      <c r="AH250" t="s">
        <v>23</v>
      </c>
      <c r="AI250" t="s">
        <v>23</v>
      </c>
      <c r="AJ250" t="s">
        <v>23</v>
      </c>
    </row>
    <row r="251" spans="1:36" x14ac:dyDescent="0.35">
      <c r="A251" s="2">
        <v>1249</v>
      </c>
      <c r="B251" s="4">
        <v>45004</v>
      </c>
      <c r="C251" s="1" t="s">
        <v>38</v>
      </c>
      <c r="D251" s="1" t="s">
        <v>43</v>
      </c>
      <c r="E251">
        <v>257963</v>
      </c>
      <c r="F251">
        <v>23</v>
      </c>
      <c r="G251" s="1" t="s">
        <v>26</v>
      </c>
      <c r="H251">
        <v>11503</v>
      </c>
      <c r="I251">
        <v>19016</v>
      </c>
      <c r="J251" s="1" t="s">
        <v>33</v>
      </c>
      <c r="K251" s="3">
        <v>28</v>
      </c>
      <c r="L251" s="1" t="s">
        <v>40</v>
      </c>
      <c r="M251" s="1" t="s">
        <v>29</v>
      </c>
      <c r="N251" s="3">
        <v>2024010123</v>
      </c>
      <c r="O251" s="3">
        <f t="shared" si="27"/>
        <v>1.23</v>
      </c>
      <c r="P251" s="6">
        <f t="shared" si="28"/>
        <v>317294.49</v>
      </c>
      <c r="Q251" s="3" t="str">
        <f t="shared" si="29"/>
        <v>Excellent</v>
      </c>
      <c r="R251" s="3">
        <f t="shared" si="30"/>
        <v>7513</v>
      </c>
      <c r="S251" s="7">
        <f t="shared" si="31"/>
        <v>172799</v>
      </c>
      <c r="T251" s="3" t="str">
        <f t="shared" si="32"/>
        <v>High Profit</v>
      </c>
      <c r="U251" s="3" t="str">
        <f t="shared" si="33"/>
        <v>High Discount</v>
      </c>
      <c r="V251" s="3" t="str">
        <f t="shared" si="34"/>
        <v>Priority C</v>
      </c>
      <c r="W251">
        <f t="shared" si="35"/>
        <v>25796.300000000003</v>
      </c>
      <c r="X251" t="s">
        <v>23</v>
      </c>
      <c r="Y251" t="s">
        <v>23</v>
      </c>
      <c r="Z251" t="s">
        <v>23</v>
      </c>
      <c r="AA251" t="s">
        <v>23</v>
      </c>
      <c r="AB251" t="s">
        <v>23</v>
      </c>
      <c r="AC251" t="s">
        <v>23</v>
      </c>
      <c r="AD251" t="s">
        <v>23</v>
      </c>
      <c r="AE251" t="s">
        <v>23</v>
      </c>
      <c r="AF251" t="s">
        <v>23</v>
      </c>
      <c r="AG251" t="s">
        <v>23</v>
      </c>
      <c r="AH251" t="s">
        <v>23</v>
      </c>
      <c r="AI251" t="s">
        <v>23</v>
      </c>
      <c r="AJ251" t="s">
        <v>23</v>
      </c>
    </row>
    <row r="252" spans="1:36" x14ac:dyDescent="0.35">
      <c r="A252" s="2">
        <v>1250</v>
      </c>
      <c r="B252" s="4">
        <v>44986</v>
      </c>
      <c r="C252" s="1" t="s">
        <v>24</v>
      </c>
      <c r="D252" s="1" t="s">
        <v>42</v>
      </c>
      <c r="E252">
        <v>575063</v>
      </c>
      <c r="F252">
        <v>18</v>
      </c>
      <c r="G252" s="1" t="s">
        <v>39</v>
      </c>
      <c r="H252">
        <v>23764</v>
      </c>
      <c r="I252">
        <v>29638</v>
      </c>
      <c r="J252" s="1" t="s">
        <v>27</v>
      </c>
      <c r="K252" s="3">
        <v>0</v>
      </c>
      <c r="L252" s="1" t="s">
        <v>28</v>
      </c>
      <c r="M252" s="1" t="s">
        <v>37</v>
      </c>
      <c r="N252" s="3">
        <v>2024010123</v>
      </c>
      <c r="O252" s="3">
        <f t="shared" si="27"/>
        <v>1.23</v>
      </c>
      <c r="P252" s="6">
        <f t="shared" si="28"/>
        <v>707327.49</v>
      </c>
      <c r="Q252" s="3" t="str">
        <f t="shared" si="29"/>
        <v>Excellent</v>
      </c>
      <c r="R252" s="3">
        <f t="shared" si="30"/>
        <v>5874</v>
      </c>
      <c r="S252" s="7">
        <f t="shared" si="31"/>
        <v>105732</v>
      </c>
      <c r="T252" s="3" t="str">
        <f t="shared" si="32"/>
        <v>High Profit</v>
      </c>
      <c r="U252" s="3" t="str">
        <f t="shared" si="33"/>
        <v>No Discount</v>
      </c>
      <c r="V252" s="3" t="str">
        <f t="shared" si="34"/>
        <v>Priority C</v>
      </c>
      <c r="W252">
        <f t="shared" si="35"/>
        <v>86259.45</v>
      </c>
      <c r="X252" t="s">
        <v>23</v>
      </c>
      <c r="Y252" t="s">
        <v>23</v>
      </c>
      <c r="Z252" t="s">
        <v>23</v>
      </c>
      <c r="AA252" t="s">
        <v>23</v>
      </c>
      <c r="AB252" t="s">
        <v>23</v>
      </c>
      <c r="AC252" t="s">
        <v>23</v>
      </c>
      <c r="AD252" t="s">
        <v>23</v>
      </c>
      <c r="AE252" t="s">
        <v>23</v>
      </c>
      <c r="AF252" t="s">
        <v>23</v>
      </c>
      <c r="AG252" t="s">
        <v>23</v>
      </c>
      <c r="AH252" t="s">
        <v>23</v>
      </c>
      <c r="AI252" t="s">
        <v>23</v>
      </c>
      <c r="AJ252" t="s">
        <v>23</v>
      </c>
    </row>
    <row r="253" spans="1:36" x14ac:dyDescent="0.35">
      <c r="A253" s="2">
        <v>1251</v>
      </c>
      <c r="B253" s="4">
        <v>45038</v>
      </c>
      <c r="C253" s="1" t="s">
        <v>41</v>
      </c>
      <c r="D253" s="1" t="s">
        <v>31</v>
      </c>
      <c r="E253">
        <v>26764</v>
      </c>
      <c r="F253">
        <v>18</v>
      </c>
      <c r="G253" s="1" t="s">
        <v>39</v>
      </c>
      <c r="H253">
        <v>37639</v>
      </c>
      <c r="I253">
        <v>41516</v>
      </c>
      <c r="J253" s="1" t="s">
        <v>33</v>
      </c>
      <c r="K253" s="3">
        <v>4</v>
      </c>
      <c r="L253" s="1" t="s">
        <v>36</v>
      </c>
      <c r="M253" s="1" t="s">
        <v>29</v>
      </c>
      <c r="N253" s="3">
        <v>2024010123</v>
      </c>
      <c r="O253" s="3">
        <f t="shared" si="27"/>
        <v>1.23</v>
      </c>
      <c r="P253" s="6">
        <f t="shared" si="28"/>
        <v>32919.72</v>
      </c>
      <c r="Q253" s="3" t="str">
        <f t="shared" si="29"/>
        <v>Excellent</v>
      </c>
      <c r="R253" s="3">
        <f t="shared" si="30"/>
        <v>3877</v>
      </c>
      <c r="S253" s="7">
        <f t="shared" si="31"/>
        <v>69786</v>
      </c>
      <c r="T253" s="3" t="str">
        <f t="shared" si="32"/>
        <v>High Profit</v>
      </c>
      <c r="U253" s="3" t="str">
        <f t="shared" si="33"/>
        <v>Low Discount</v>
      </c>
      <c r="V253" s="3" t="str">
        <f t="shared" si="34"/>
        <v>Priority C</v>
      </c>
      <c r="W253">
        <f t="shared" si="35"/>
        <v>2676.4</v>
      </c>
      <c r="X253" t="s">
        <v>23</v>
      </c>
      <c r="Y253" t="s">
        <v>23</v>
      </c>
      <c r="Z253" t="s">
        <v>23</v>
      </c>
      <c r="AA253" t="s">
        <v>23</v>
      </c>
      <c r="AB253" t="s">
        <v>23</v>
      </c>
      <c r="AC253" t="s">
        <v>23</v>
      </c>
      <c r="AD253" t="s">
        <v>23</v>
      </c>
      <c r="AE253" t="s">
        <v>23</v>
      </c>
      <c r="AF253" t="s">
        <v>23</v>
      </c>
      <c r="AG253" t="s">
        <v>23</v>
      </c>
      <c r="AH253" t="s">
        <v>23</v>
      </c>
      <c r="AI253" t="s">
        <v>23</v>
      </c>
      <c r="AJ253" t="s">
        <v>23</v>
      </c>
    </row>
    <row r="254" spans="1:36" x14ac:dyDescent="0.35">
      <c r="A254" s="2">
        <v>1252</v>
      </c>
      <c r="B254" s="4">
        <v>45003</v>
      </c>
      <c r="C254" s="1" t="s">
        <v>38</v>
      </c>
      <c r="D254" s="1" t="s">
        <v>43</v>
      </c>
      <c r="E254">
        <v>102275</v>
      </c>
      <c r="F254">
        <v>18</v>
      </c>
      <c r="G254" s="1" t="s">
        <v>39</v>
      </c>
      <c r="H254">
        <v>34222</v>
      </c>
      <c r="I254">
        <v>39166</v>
      </c>
      <c r="J254" s="1" t="s">
        <v>27</v>
      </c>
      <c r="K254" s="3">
        <v>2</v>
      </c>
      <c r="L254" s="1" t="s">
        <v>36</v>
      </c>
      <c r="M254" s="1" t="s">
        <v>37</v>
      </c>
      <c r="N254" s="3">
        <v>2024010123</v>
      </c>
      <c r="O254" s="3">
        <f t="shared" si="27"/>
        <v>1.23</v>
      </c>
      <c r="P254" s="6">
        <f t="shared" si="28"/>
        <v>125798.25</v>
      </c>
      <c r="Q254" s="3" t="str">
        <f t="shared" si="29"/>
        <v>Excellent</v>
      </c>
      <c r="R254" s="3">
        <f t="shared" si="30"/>
        <v>4944</v>
      </c>
      <c r="S254" s="7">
        <f t="shared" si="31"/>
        <v>88992</v>
      </c>
      <c r="T254" s="3" t="str">
        <f t="shared" si="32"/>
        <v>High Profit</v>
      </c>
      <c r="U254" s="3" t="str">
        <f t="shared" si="33"/>
        <v>Low Discount</v>
      </c>
      <c r="V254" s="3" t="str">
        <f t="shared" si="34"/>
        <v>Priority C</v>
      </c>
      <c r="W254">
        <f t="shared" si="35"/>
        <v>15341.25</v>
      </c>
      <c r="X254" t="s">
        <v>23</v>
      </c>
      <c r="Y254" t="s">
        <v>23</v>
      </c>
      <c r="Z254" t="s">
        <v>23</v>
      </c>
      <c r="AA254" t="s">
        <v>23</v>
      </c>
      <c r="AB254" t="s">
        <v>23</v>
      </c>
      <c r="AC254" t="s">
        <v>23</v>
      </c>
      <c r="AD254" t="s">
        <v>23</v>
      </c>
      <c r="AE254" t="s">
        <v>23</v>
      </c>
      <c r="AF254" t="s">
        <v>23</v>
      </c>
      <c r="AG254" t="s">
        <v>23</v>
      </c>
      <c r="AH254" t="s">
        <v>23</v>
      </c>
      <c r="AI254" t="s">
        <v>23</v>
      </c>
      <c r="AJ254" t="s">
        <v>23</v>
      </c>
    </row>
    <row r="255" spans="1:36" x14ac:dyDescent="0.35">
      <c r="A255" s="2">
        <v>1253</v>
      </c>
      <c r="B255" s="4">
        <v>45059</v>
      </c>
      <c r="C255" s="1" t="s">
        <v>41</v>
      </c>
      <c r="D255" s="1" t="s">
        <v>43</v>
      </c>
      <c r="E255">
        <v>729282</v>
      </c>
      <c r="F255">
        <v>11</v>
      </c>
      <c r="G255" s="1" t="s">
        <v>26</v>
      </c>
      <c r="H255">
        <v>42055</v>
      </c>
      <c r="I255">
        <v>46188</v>
      </c>
      <c r="J255" s="1" t="s">
        <v>33</v>
      </c>
      <c r="K255" s="3">
        <v>11</v>
      </c>
      <c r="L255" s="1" t="s">
        <v>40</v>
      </c>
      <c r="M255" s="1" t="s">
        <v>37</v>
      </c>
      <c r="N255" s="3">
        <v>2024010123</v>
      </c>
      <c r="O255" s="3">
        <f t="shared" si="27"/>
        <v>1.23</v>
      </c>
      <c r="P255" s="6">
        <f t="shared" si="28"/>
        <v>897016.86</v>
      </c>
      <c r="Q255" s="3" t="str">
        <f t="shared" si="29"/>
        <v>Excellent</v>
      </c>
      <c r="R255" s="3">
        <f t="shared" si="30"/>
        <v>4133</v>
      </c>
      <c r="S255" s="7">
        <f t="shared" si="31"/>
        <v>45463</v>
      </c>
      <c r="T255" s="3" t="str">
        <f t="shared" si="32"/>
        <v>High Profit</v>
      </c>
      <c r="U255" s="3" t="str">
        <f t="shared" si="33"/>
        <v>Medium Discount</v>
      </c>
      <c r="V255" s="3" t="str">
        <f t="shared" si="34"/>
        <v>Priority C</v>
      </c>
      <c r="W255">
        <f t="shared" si="35"/>
        <v>72928.2</v>
      </c>
      <c r="X255" t="s">
        <v>23</v>
      </c>
      <c r="Y255" t="s">
        <v>23</v>
      </c>
      <c r="Z255" t="s">
        <v>23</v>
      </c>
      <c r="AA255" t="s">
        <v>23</v>
      </c>
      <c r="AB255" t="s">
        <v>23</v>
      </c>
      <c r="AC255" t="s">
        <v>23</v>
      </c>
      <c r="AD255" t="s">
        <v>23</v>
      </c>
      <c r="AE255" t="s">
        <v>23</v>
      </c>
      <c r="AF255" t="s">
        <v>23</v>
      </c>
      <c r="AG255" t="s">
        <v>23</v>
      </c>
      <c r="AH255" t="s">
        <v>23</v>
      </c>
      <c r="AI255" t="s">
        <v>23</v>
      </c>
      <c r="AJ255" t="s">
        <v>23</v>
      </c>
    </row>
    <row r="256" spans="1:36" x14ac:dyDescent="0.35">
      <c r="A256" s="2">
        <v>1254</v>
      </c>
      <c r="B256" s="4">
        <v>45100</v>
      </c>
      <c r="C256" s="1" t="s">
        <v>38</v>
      </c>
      <c r="D256" s="1" t="s">
        <v>31</v>
      </c>
      <c r="E256">
        <v>693995</v>
      </c>
      <c r="F256">
        <v>18</v>
      </c>
      <c r="G256" s="1" t="s">
        <v>32</v>
      </c>
      <c r="H256">
        <v>44055</v>
      </c>
      <c r="I256">
        <v>47754</v>
      </c>
      <c r="J256" s="1" t="s">
        <v>33</v>
      </c>
      <c r="K256" s="3">
        <v>10</v>
      </c>
      <c r="L256" s="1" t="s">
        <v>28</v>
      </c>
      <c r="M256" s="1" t="s">
        <v>37</v>
      </c>
      <c r="N256" s="3">
        <v>2024010123</v>
      </c>
      <c r="O256" s="3">
        <f t="shared" si="27"/>
        <v>1.23</v>
      </c>
      <c r="P256" s="6">
        <f t="shared" si="28"/>
        <v>853613.85</v>
      </c>
      <c r="Q256" s="3" t="str">
        <f t="shared" si="29"/>
        <v>Excellent</v>
      </c>
      <c r="R256" s="3">
        <f t="shared" si="30"/>
        <v>3699</v>
      </c>
      <c r="S256" s="7">
        <f t="shared" si="31"/>
        <v>66582</v>
      </c>
      <c r="T256" s="3" t="str">
        <f t="shared" si="32"/>
        <v>High Profit</v>
      </c>
      <c r="U256" s="3" t="str">
        <f t="shared" si="33"/>
        <v>Medium Discount</v>
      </c>
      <c r="V256" s="3" t="str">
        <f t="shared" si="34"/>
        <v>Priority C</v>
      </c>
      <c r="W256">
        <f t="shared" si="35"/>
        <v>69399.5</v>
      </c>
      <c r="X256" t="s">
        <v>23</v>
      </c>
      <c r="Y256" t="s">
        <v>23</v>
      </c>
      <c r="Z256" t="s">
        <v>23</v>
      </c>
      <c r="AA256" t="s">
        <v>23</v>
      </c>
      <c r="AB256" t="s">
        <v>23</v>
      </c>
      <c r="AC256" t="s">
        <v>23</v>
      </c>
      <c r="AD256" t="s">
        <v>23</v>
      </c>
      <c r="AE256" t="s">
        <v>23</v>
      </c>
      <c r="AF256" t="s">
        <v>23</v>
      </c>
      <c r="AG256" t="s">
        <v>23</v>
      </c>
      <c r="AH256" t="s">
        <v>23</v>
      </c>
      <c r="AI256" t="s">
        <v>23</v>
      </c>
      <c r="AJ256" t="s">
        <v>23</v>
      </c>
    </row>
    <row r="257" spans="1:36" x14ac:dyDescent="0.35">
      <c r="A257" s="2">
        <v>1255</v>
      </c>
      <c r="B257" s="4">
        <v>45012</v>
      </c>
      <c r="C257" s="1" t="s">
        <v>38</v>
      </c>
      <c r="D257" s="1" t="s">
        <v>43</v>
      </c>
      <c r="E257">
        <v>100337</v>
      </c>
      <c r="F257">
        <v>18</v>
      </c>
      <c r="G257" s="1" t="s">
        <v>32</v>
      </c>
      <c r="H257">
        <v>21470</v>
      </c>
      <c r="I257">
        <v>29450</v>
      </c>
      <c r="J257" s="1" t="s">
        <v>27</v>
      </c>
      <c r="K257" s="3">
        <v>7</v>
      </c>
      <c r="L257" s="1" t="s">
        <v>28</v>
      </c>
      <c r="M257" s="1" t="s">
        <v>37</v>
      </c>
      <c r="N257" s="3">
        <v>2024010123</v>
      </c>
      <c r="O257" s="3">
        <f t="shared" si="27"/>
        <v>1.23</v>
      </c>
      <c r="P257" s="6">
        <f t="shared" si="28"/>
        <v>123414.51</v>
      </c>
      <c r="Q257" s="3" t="str">
        <f t="shared" si="29"/>
        <v>Excellent</v>
      </c>
      <c r="R257" s="3">
        <f t="shared" si="30"/>
        <v>7980</v>
      </c>
      <c r="S257" s="7">
        <f t="shared" si="31"/>
        <v>143640</v>
      </c>
      <c r="T257" s="3" t="str">
        <f t="shared" si="32"/>
        <v>High Profit</v>
      </c>
      <c r="U257" s="3" t="str">
        <f t="shared" si="33"/>
        <v>Medium Discount</v>
      </c>
      <c r="V257" s="3" t="str">
        <f t="shared" si="34"/>
        <v>Priority C</v>
      </c>
      <c r="W257">
        <f t="shared" si="35"/>
        <v>15050.55</v>
      </c>
      <c r="X257" t="s">
        <v>23</v>
      </c>
      <c r="Y257" t="s">
        <v>23</v>
      </c>
      <c r="Z257" t="s">
        <v>23</v>
      </c>
      <c r="AA257" t="s">
        <v>23</v>
      </c>
      <c r="AB257" t="s">
        <v>23</v>
      </c>
      <c r="AC257" t="s">
        <v>23</v>
      </c>
      <c r="AD257" t="s">
        <v>23</v>
      </c>
      <c r="AE257" t="s">
        <v>23</v>
      </c>
      <c r="AF257" t="s">
        <v>23</v>
      </c>
      <c r="AG257" t="s">
        <v>23</v>
      </c>
      <c r="AH257" t="s">
        <v>23</v>
      </c>
      <c r="AI257" t="s">
        <v>23</v>
      </c>
      <c r="AJ257" t="s">
        <v>23</v>
      </c>
    </row>
    <row r="258" spans="1:36" x14ac:dyDescent="0.35">
      <c r="A258" s="2">
        <v>1256</v>
      </c>
      <c r="B258" s="4">
        <v>45028</v>
      </c>
      <c r="C258" s="1" t="s">
        <v>34</v>
      </c>
      <c r="D258" s="1" t="s">
        <v>31</v>
      </c>
      <c r="E258">
        <v>311442</v>
      </c>
      <c r="F258">
        <v>18</v>
      </c>
      <c r="G258" s="1" t="s">
        <v>32</v>
      </c>
      <c r="H258">
        <v>24537</v>
      </c>
      <c r="I258">
        <v>28733</v>
      </c>
      <c r="J258" s="1" t="s">
        <v>27</v>
      </c>
      <c r="K258" s="3">
        <v>21</v>
      </c>
      <c r="L258" s="1" t="s">
        <v>36</v>
      </c>
      <c r="M258" s="1" t="s">
        <v>37</v>
      </c>
      <c r="N258" s="3">
        <v>2024010123</v>
      </c>
      <c r="O258" s="3">
        <f t="shared" si="27"/>
        <v>1.23</v>
      </c>
      <c r="P258" s="6">
        <f t="shared" si="28"/>
        <v>383073.66</v>
      </c>
      <c r="Q258" s="3" t="str">
        <f t="shared" si="29"/>
        <v>Excellent</v>
      </c>
      <c r="R258" s="3">
        <f t="shared" si="30"/>
        <v>4196</v>
      </c>
      <c r="S258" s="7">
        <f t="shared" si="31"/>
        <v>75528</v>
      </c>
      <c r="T258" s="3" t="str">
        <f t="shared" si="32"/>
        <v>High Profit</v>
      </c>
      <c r="U258" s="3" t="str">
        <f t="shared" si="33"/>
        <v>High Discount</v>
      </c>
      <c r="V258" s="3" t="str">
        <f t="shared" si="34"/>
        <v>Priority C</v>
      </c>
      <c r="W258">
        <f t="shared" si="35"/>
        <v>46716.299999999996</v>
      </c>
      <c r="X258" t="s">
        <v>23</v>
      </c>
      <c r="Y258" t="s">
        <v>23</v>
      </c>
      <c r="Z258" t="s">
        <v>23</v>
      </c>
      <c r="AA258" t="s">
        <v>23</v>
      </c>
      <c r="AB258" t="s">
        <v>23</v>
      </c>
      <c r="AC258" t="s">
        <v>23</v>
      </c>
      <c r="AD258" t="s">
        <v>23</v>
      </c>
      <c r="AE258" t="s">
        <v>23</v>
      </c>
      <c r="AF258" t="s">
        <v>23</v>
      </c>
      <c r="AG258" t="s">
        <v>23</v>
      </c>
      <c r="AH258" t="s">
        <v>23</v>
      </c>
      <c r="AI258" t="s">
        <v>23</v>
      </c>
      <c r="AJ258" t="s">
        <v>23</v>
      </c>
    </row>
    <row r="259" spans="1:36" x14ac:dyDescent="0.35">
      <c r="A259" s="2">
        <v>1257</v>
      </c>
      <c r="B259" s="4">
        <v>45214</v>
      </c>
      <c r="C259" s="1" t="s">
        <v>41</v>
      </c>
      <c r="D259" s="1" t="s">
        <v>25</v>
      </c>
      <c r="E259">
        <v>343963</v>
      </c>
      <c r="F259">
        <v>18</v>
      </c>
      <c r="G259" s="1" t="s">
        <v>39</v>
      </c>
      <c r="H259">
        <v>24336</v>
      </c>
      <c r="I259">
        <v>28805</v>
      </c>
      <c r="J259" s="1" t="s">
        <v>33</v>
      </c>
      <c r="K259" s="3">
        <v>17</v>
      </c>
      <c r="L259" s="1" t="s">
        <v>36</v>
      </c>
      <c r="M259" s="1" t="s">
        <v>37</v>
      </c>
      <c r="N259" s="3">
        <v>2024010123</v>
      </c>
      <c r="O259" s="3">
        <f t="shared" ref="O259:O322" si="36">VALUE(RIGHT($N$2,3))/100</f>
        <v>1.23</v>
      </c>
      <c r="P259" s="6">
        <f t="shared" ref="P259:P322" si="37">E259*$O259</f>
        <v>423074.49</v>
      </c>
      <c r="Q259" s="3" t="str">
        <f t="shared" ref="Q259:Q322" si="38">IF(P259&gt;=5000,"Excellent",
   IF(P259&gt;=3000,"Good",
      IF(P259&gt;=1500,"Average","Below Average")))</f>
        <v>Excellent</v>
      </c>
      <c r="R259" s="3">
        <f t="shared" ref="R259:R322" si="39">I259-H259</f>
        <v>4469</v>
      </c>
      <c r="S259" s="7">
        <f t="shared" ref="S259:S322" si="40">R259*F259</f>
        <v>80442</v>
      </c>
      <c r="T259" s="3" t="str">
        <f t="shared" ref="T259:T322" si="41">IF(S259&gt;=1000,"High Profit",
   IF(S259&gt;=500,"Medium Profit","Low Profit"))</f>
        <v>High Profit</v>
      </c>
      <c r="U259" s="3" t="str">
        <f t="shared" ref="U259:U322" si="42">_xlfn.LET(
  _xlpm.d0, K259,
  _xlpm.d, IF(_xlpm.d0&gt;=1, _xlpm.d0/100, _xlpm.d0),
  IF(_xlpm.d&gt;=0.15, "High Discount",
     IF(_xlpm.d&gt;=0.05, "Medium Discount",
        IF(_xlpm.d&gt;0, "Low Discount", "No Discount")))
)</f>
        <v>High Discount</v>
      </c>
      <c r="V259" s="3" t="str">
        <f t="shared" ref="V259:V322" si="43">IF(AND(G259="Electronics",F259&gt;=30,M259="Online"),"Priority A",
   IF(AND(OR(G259="Furniture",G259="Electronics"),F259&gt;=20),"Priority B",
      IF(OR(M259="Online",F259&gt;=15),"Priority C","Priority D")))</f>
        <v>Priority C</v>
      </c>
      <c r="W259">
        <f t="shared" ref="W259:W322" si="44">IF(AND(Q259="Excellent",J259="Returning",T259="High Profit"),E259*0.15,
   IF(AND(Q259="Excellent",J259="New"),E259*0.1,
      IF(AND(OR(Q259="Good",Q259="Excellent"),L259="Cash"),E259*0.08,
         IF(AND(Q259="Good",T259="High Profit"),E259*0.06,
            IF(Q259="Average",E259*0.03,
               IF(Q259="Below Average",E259*0.01,0))))))</f>
        <v>34396.300000000003</v>
      </c>
      <c r="X259" t="s">
        <v>23</v>
      </c>
      <c r="Y259" t="s">
        <v>23</v>
      </c>
      <c r="Z259" t="s">
        <v>23</v>
      </c>
      <c r="AA259" t="s">
        <v>23</v>
      </c>
      <c r="AB259" t="s">
        <v>23</v>
      </c>
      <c r="AC259" t="s">
        <v>23</v>
      </c>
      <c r="AD259" t="s">
        <v>23</v>
      </c>
      <c r="AE259" t="s">
        <v>23</v>
      </c>
      <c r="AF259" t="s">
        <v>23</v>
      </c>
      <c r="AG259" t="s">
        <v>23</v>
      </c>
      <c r="AH259" t="s">
        <v>23</v>
      </c>
      <c r="AI259" t="s">
        <v>23</v>
      </c>
      <c r="AJ259" t="s">
        <v>23</v>
      </c>
    </row>
    <row r="260" spans="1:36" x14ac:dyDescent="0.35">
      <c r="A260" s="2">
        <v>1258</v>
      </c>
      <c r="B260" s="4">
        <v>45049</v>
      </c>
      <c r="C260" s="1" t="s">
        <v>30</v>
      </c>
      <c r="D260" s="1" t="s">
        <v>42</v>
      </c>
      <c r="E260">
        <v>77897</v>
      </c>
      <c r="F260">
        <v>18</v>
      </c>
      <c r="G260" s="1" t="s">
        <v>35</v>
      </c>
      <c r="H260">
        <v>36255</v>
      </c>
      <c r="I260">
        <v>41207</v>
      </c>
      <c r="J260" s="1" t="s">
        <v>27</v>
      </c>
      <c r="K260" s="3">
        <v>22</v>
      </c>
      <c r="L260" s="1" t="s">
        <v>40</v>
      </c>
      <c r="M260" s="1" t="s">
        <v>29</v>
      </c>
      <c r="N260" s="3">
        <v>2024010123</v>
      </c>
      <c r="O260" s="3">
        <f t="shared" si="36"/>
        <v>1.23</v>
      </c>
      <c r="P260" s="6">
        <f t="shared" si="37"/>
        <v>95813.31</v>
      </c>
      <c r="Q260" s="3" t="str">
        <f t="shared" si="38"/>
        <v>Excellent</v>
      </c>
      <c r="R260" s="3">
        <f t="shared" si="39"/>
        <v>4952</v>
      </c>
      <c r="S260" s="7">
        <f t="shared" si="40"/>
        <v>89136</v>
      </c>
      <c r="T260" s="3" t="str">
        <f t="shared" si="41"/>
        <v>High Profit</v>
      </c>
      <c r="U260" s="3" t="str">
        <f t="shared" si="42"/>
        <v>High Discount</v>
      </c>
      <c r="V260" s="3" t="str">
        <f t="shared" si="43"/>
        <v>Priority C</v>
      </c>
      <c r="W260">
        <f t="shared" si="44"/>
        <v>11684.55</v>
      </c>
      <c r="X260" t="s">
        <v>23</v>
      </c>
      <c r="Y260" t="s">
        <v>23</v>
      </c>
      <c r="Z260" t="s">
        <v>23</v>
      </c>
      <c r="AA260" t="s">
        <v>23</v>
      </c>
      <c r="AB260" t="s">
        <v>23</v>
      </c>
      <c r="AC260" t="s">
        <v>23</v>
      </c>
      <c r="AD260" t="s">
        <v>23</v>
      </c>
      <c r="AE260" t="s">
        <v>23</v>
      </c>
      <c r="AF260" t="s">
        <v>23</v>
      </c>
      <c r="AG260" t="s">
        <v>23</v>
      </c>
      <c r="AH260" t="s">
        <v>23</v>
      </c>
      <c r="AI260" t="s">
        <v>23</v>
      </c>
      <c r="AJ260" t="s">
        <v>23</v>
      </c>
    </row>
    <row r="261" spans="1:36" x14ac:dyDescent="0.35">
      <c r="A261" s="2">
        <v>1259</v>
      </c>
      <c r="B261" s="4">
        <v>44988</v>
      </c>
      <c r="C261" s="1" t="s">
        <v>30</v>
      </c>
      <c r="D261" s="1" t="s">
        <v>43</v>
      </c>
      <c r="E261">
        <v>409992</v>
      </c>
      <c r="F261">
        <v>11</v>
      </c>
      <c r="G261" s="1" t="s">
        <v>39</v>
      </c>
      <c r="H261">
        <v>31362</v>
      </c>
      <c r="I261">
        <v>36800</v>
      </c>
      <c r="J261" s="1" t="s">
        <v>27</v>
      </c>
      <c r="K261" s="3">
        <v>23</v>
      </c>
      <c r="L261" s="1" t="s">
        <v>40</v>
      </c>
      <c r="M261" s="1" t="s">
        <v>37</v>
      </c>
      <c r="N261" s="3">
        <v>2024010123</v>
      </c>
      <c r="O261" s="3">
        <f t="shared" si="36"/>
        <v>1.23</v>
      </c>
      <c r="P261" s="6">
        <f t="shared" si="37"/>
        <v>504290.16</v>
      </c>
      <c r="Q261" s="3" t="str">
        <f t="shared" si="38"/>
        <v>Excellent</v>
      </c>
      <c r="R261" s="3">
        <f t="shared" si="39"/>
        <v>5438</v>
      </c>
      <c r="S261" s="7">
        <f t="shared" si="40"/>
        <v>59818</v>
      </c>
      <c r="T261" s="3" t="str">
        <f t="shared" si="41"/>
        <v>High Profit</v>
      </c>
      <c r="U261" s="3" t="str">
        <f t="shared" si="42"/>
        <v>High Discount</v>
      </c>
      <c r="V261" s="3" t="str">
        <f t="shared" si="43"/>
        <v>Priority C</v>
      </c>
      <c r="W261">
        <f t="shared" si="44"/>
        <v>61498.799999999996</v>
      </c>
      <c r="X261" t="s">
        <v>23</v>
      </c>
      <c r="Y261" t="s">
        <v>23</v>
      </c>
      <c r="Z261" t="s">
        <v>23</v>
      </c>
      <c r="AA261" t="s">
        <v>23</v>
      </c>
      <c r="AB261" t="s">
        <v>23</v>
      </c>
      <c r="AC261" t="s">
        <v>23</v>
      </c>
      <c r="AD261" t="s">
        <v>23</v>
      </c>
      <c r="AE261" t="s">
        <v>23</v>
      </c>
      <c r="AF261" t="s">
        <v>23</v>
      </c>
      <c r="AG261" t="s">
        <v>23</v>
      </c>
      <c r="AH261" t="s">
        <v>23</v>
      </c>
      <c r="AI261" t="s">
        <v>23</v>
      </c>
      <c r="AJ261" t="s">
        <v>23</v>
      </c>
    </row>
    <row r="262" spans="1:36" x14ac:dyDescent="0.35">
      <c r="A262" s="2">
        <v>1260</v>
      </c>
      <c r="B262" s="4">
        <v>44969</v>
      </c>
      <c r="C262" s="1" t="s">
        <v>41</v>
      </c>
      <c r="D262" s="1" t="s">
        <v>42</v>
      </c>
      <c r="E262">
        <v>404372</v>
      </c>
      <c r="F262">
        <v>12</v>
      </c>
      <c r="G262" s="1" t="s">
        <v>32</v>
      </c>
      <c r="H262">
        <v>34986</v>
      </c>
      <c r="I262">
        <v>37964</v>
      </c>
      <c r="J262" s="1" t="s">
        <v>27</v>
      </c>
      <c r="K262" s="3">
        <v>0</v>
      </c>
      <c r="L262" s="1" t="s">
        <v>36</v>
      </c>
      <c r="M262" s="1" t="s">
        <v>37</v>
      </c>
      <c r="N262" s="3">
        <v>2024010123</v>
      </c>
      <c r="O262" s="3">
        <f t="shared" si="36"/>
        <v>1.23</v>
      </c>
      <c r="P262" s="6">
        <f t="shared" si="37"/>
        <v>497377.56</v>
      </c>
      <c r="Q262" s="3" t="str">
        <f t="shared" si="38"/>
        <v>Excellent</v>
      </c>
      <c r="R262" s="3">
        <f t="shared" si="39"/>
        <v>2978</v>
      </c>
      <c r="S262" s="7">
        <f t="shared" si="40"/>
        <v>35736</v>
      </c>
      <c r="T262" s="3" t="str">
        <f t="shared" si="41"/>
        <v>High Profit</v>
      </c>
      <c r="U262" s="3" t="str">
        <f t="shared" si="42"/>
        <v>No Discount</v>
      </c>
      <c r="V262" s="3" t="str">
        <f t="shared" si="43"/>
        <v>Priority C</v>
      </c>
      <c r="W262">
        <f t="shared" si="44"/>
        <v>60655.799999999996</v>
      </c>
      <c r="X262" t="s">
        <v>23</v>
      </c>
      <c r="Y262" t="s">
        <v>23</v>
      </c>
      <c r="Z262" t="s">
        <v>23</v>
      </c>
      <c r="AA262" t="s">
        <v>23</v>
      </c>
      <c r="AB262" t="s">
        <v>23</v>
      </c>
      <c r="AC262" t="s">
        <v>23</v>
      </c>
      <c r="AD262" t="s">
        <v>23</v>
      </c>
      <c r="AE262" t="s">
        <v>23</v>
      </c>
      <c r="AF262" t="s">
        <v>23</v>
      </c>
      <c r="AG262" t="s">
        <v>23</v>
      </c>
      <c r="AH262" t="s">
        <v>23</v>
      </c>
      <c r="AI262" t="s">
        <v>23</v>
      </c>
      <c r="AJ262" t="s">
        <v>23</v>
      </c>
    </row>
    <row r="263" spans="1:36" x14ac:dyDescent="0.35">
      <c r="A263" s="2">
        <v>1261</v>
      </c>
      <c r="B263" s="4">
        <v>45064</v>
      </c>
      <c r="C263" s="1" t="s">
        <v>24</v>
      </c>
      <c r="D263" s="1" t="s">
        <v>31</v>
      </c>
      <c r="E263">
        <v>653711</v>
      </c>
      <c r="F263">
        <v>4</v>
      </c>
      <c r="G263" s="1" t="s">
        <v>39</v>
      </c>
      <c r="H263">
        <v>22511</v>
      </c>
      <c r="I263">
        <v>24994</v>
      </c>
      <c r="J263" s="1" t="s">
        <v>33</v>
      </c>
      <c r="K263" s="3">
        <v>4</v>
      </c>
      <c r="L263" s="1" t="s">
        <v>28</v>
      </c>
      <c r="M263" s="1" t="s">
        <v>37</v>
      </c>
      <c r="N263" s="3">
        <v>2024010123</v>
      </c>
      <c r="O263" s="3">
        <f t="shared" si="36"/>
        <v>1.23</v>
      </c>
      <c r="P263" s="6">
        <f t="shared" si="37"/>
        <v>804064.53</v>
      </c>
      <c r="Q263" s="3" t="str">
        <f t="shared" si="38"/>
        <v>Excellent</v>
      </c>
      <c r="R263" s="3">
        <f t="shared" si="39"/>
        <v>2483</v>
      </c>
      <c r="S263" s="7">
        <f t="shared" si="40"/>
        <v>9932</v>
      </c>
      <c r="T263" s="3" t="str">
        <f t="shared" si="41"/>
        <v>High Profit</v>
      </c>
      <c r="U263" s="3" t="str">
        <f t="shared" si="42"/>
        <v>Low Discount</v>
      </c>
      <c r="V263" s="3" t="str">
        <f t="shared" si="43"/>
        <v>Priority C</v>
      </c>
      <c r="W263">
        <f t="shared" si="44"/>
        <v>65371.100000000006</v>
      </c>
      <c r="X263" t="s">
        <v>23</v>
      </c>
      <c r="Y263" t="s">
        <v>23</v>
      </c>
      <c r="Z263" t="s">
        <v>23</v>
      </c>
      <c r="AA263" t="s">
        <v>23</v>
      </c>
      <c r="AB263" t="s">
        <v>23</v>
      </c>
      <c r="AC263" t="s">
        <v>23</v>
      </c>
      <c r="AD263" t="s">
        <v>23</v>
      </c>
      <c r="AE263" t="s">
        <v>23</v>
      </c>
      <c r="AF263" t="s">
        <v>23</v>
      </c>
      <c r="AG263" t="s">
        <v>23</v>
      </c>
      <c r="AH263" t="s">
        <v>23</v>
      </c>
      <c r="AI263" t="s">
        <v>23</v>
      </c>
      <c r="AJ263" t="s">
        <v>23</v>
      </c>
    </row>
    <row r="264" spans="1:36" x14ac:dyDescent="0.35">
      <c r="A264" s="2">
        <v>1262</v>
      </c>
      <c r="B264" s="4">
        <v>45094</v>
      </c>
      <c r="C264" s="1" t="s">
        <v>24</v>
      </c>
      <c r="D264" s="1" t="s">
        <v>43</v>
      </c>
      <c r="E264">
        <v>672552</v>
      </c>
      <c r="F264">
        <v>12</v>
      </c>
      <c r="G264" s="1" t="s">
        <v>26</v>
      </c>
      <c r="H264">
        <v>37322</v>
      </c>
      <c r="I264">
        <v>42150</v>
      </c>
      <c r="J264" s="1" t="s">
        <v>27</v>
      </c>
      <c r="K264" s="3">
        <v>3</v>
      </c>
      <c r="L264" s="1" t="s">
        <v>40</v>
      </c>
      <c r="M264" s="1" t="s">
        <v>37</v>
      </c>
      <c r="N264" s="3">
        <v>2024010123</v>
      </c>
      <c r="O264" s="3">
        <f t="shared" si="36"/>
        <v>1.23</v>
      </c>
      <c r="P264" s="6">
        <f t="shared" si="37"/>
        <v>827238.96</v>
      </c>
      <c r="Q264" s="3" t="str">
        <f t="shared" si="38"/>
        <v>Excellent</v>
      </c>
      <c r="R264" s="3">
        <f t="shared" si="39"/>
        <v>4828</v>
      </c>
      <c r="S264" s="7">
        <f t="shared" si="40"/>
        <v>57936</v>
      </c>
      <c r="T264" s="3" t="str">
        <f t="shared" si="41"/>
        <v>High Profit</v>
      </c>
      <c r="U264" s="3" t="str">
        <f t="shared" si="42"/>
        <v>Low Discount</v>
      </c>
      <c r="V264" s="3" t="str">
        <f t="shared" si="43"/>
        <v>Priority C</v>
      </c>
      <c r="W264">
        <f t="shared" si="44"/>
        <v>100882.8</v>
      </c>
      <c r="X264" t="s">
        <v>23</v>
      </c>
      <c r="Y264" t="s">
        <v>23</v>
      </c>
      <c r="Z264" t="s">
        <v>23</v>
      </c>
      <c r="AA264" t="s">
        <v>23</v>
      </c>
      <c r="AB264" t="s">
        <v>23</v>
      </c>
      <c r="AC264" t="s">
        <v>23</v>
      </c>
      <c r="AD264" t="s">
        <v>23</v>
      </c>
      <c r="AE264" t="s">
        <v>23</v>
      </c>
      <c r="AF264" t="s">
        <v>23</v>
      </c>
      <c r="AG264" t="s">
        <v>23</v>
      </c>
      <c r="AH264" t="s">
        <v>23</v>
      </c>
      <c r="AI264" t="s">
        <v>23</v>
      </c>
      <c r="AJ264" t="s">
        <v>23</v>
      </c>
    </row>
    <row r="265" spans="1:36" x14ac:dyDescent="0.35">
      <c r="A265" s="2">
        <v>1263</v>
      </c>
      <c r="B265" s="4">
        <v>45190</v>
      </c>
      <c r="C265" s="1" t="s">
        <v>24</v>
      </c>
      <c r="D265" s="1" t="s">
        <v>31</v>
      </c>
      <c r="E265">
        <v>889755</v>
      </c>
      <c r="F265">
        <v>12</v>
      </c>
      <c r="G265" s="1" t="s">
        <v>26</v>
      </c>
      <c r="H265">
        <v>54762</v>
      </c>
      <c r="I265">
        <v>59445</v>
      </c>
      <c r="J265" s="1" t="s">
        <v>33</v>
      </c>
      <c r="K265" s="3">
        <v>13</v>
      </c>
      <c r="L265" s="1" t="s">
        <v>40</v>
      </c>
      <c r="M265" s="1" t="s">
        <v>29</v>
      </c>
      <c r="N265" s="3">
        <v>2024010123</v>
      </c>
      <c r="O265" s="3">
        <f t="shared" si="36"/>
        <v>1.23</v>
      </c>
      <c r="P265" s="6">
        <f t="shared" si="37"/>
        <v>1094398.6499999999</v>
      </c>
      <c r="Q265" s="3" t="str">
        <f t="shared" si="38"/>
        <v>Excellent</v>
      </c>
      <c r="R265" s="3">
        <f t="shared" si="39"/>
        <v>4683</v>
      </c>
      <c r="S265" s="7">
        <f t="shared" si="40"/>
        <v>56196</v>
      </c>
      <c r="T265" s="3" t="str">
        <f t="shared" si="41"/>
        <v>High Profit</v>
      </c>
      <c r="U265" s="3" t="str">
        <f t="shared" si="42"/>
        <v>Medium Discount</v>
      </c>
      <c r="V265" s="3" t="str">
        <f t="shared" si="43"/>
        <v>Priority D</v>
      </c>
      <c r="W265">
        <f t="shared" si="44"/>
        <v>88975.5</v>
      </c>
      <c r="X265" t="s">
        <v>23</v>
      </c>
      <c r="Y265" t="s">
        <v>23</v>
      </c>
      <c r="Z265" t="s">
        <v>23</v>
      </c>
      <c r="AA265" t="s">
        <v>23</v>
      </c>
      <c r="AB265" t="s">
        <v>23</v>
      </c>
      <c r="AC265" t="s">
        <v>23</v>
      </c>
      <c r="AD265" t="s">
        <v>23</v>
      </c>
      <c r="AE265" t="s">
        <v>23</v>
      </c>
      <c r="AF265" t="s">
        <v>23</v>
      </c>
      <c r="AG265" t="s">
        <v>23</v>
      </c>
      <c r="AH265" t="s">
        <v>23</v>
      </c>
      <c r="AI265" t="s">
        <v>23</v>
      </c>
      <c r="AJ265" t="s">
        <v>23</v>
      </c>
    </row>
    <row r="266" spans="1:36" x14ac:dyDescent="0.35">
      <c r="A266" s="2">
        <v>1264</v>
      </c>
      <c r="B266" s="4">
        <v>45200</v>
      </c>
      <c r="C266" s="1" t="s">
        <v>34</v>
      </c>
      <c r="D266" s="1" t="s">
        <v>42</v>
      </c>
      <c r="E266">
        <v>849238</v>
      </c>
      <c r="F266">
        <v>12</v>
      </c>
      <c r="G266" s="1" t="s">
        <v>39</v>
      </c>
      <c r="H266">
        <v>49242</v>
      </c>
      <c r="I266">
        <v>53545</v>
      </c>
      <c r="J266" s="1" t="s">
        <v>33</v>
      </c>
      <c r="K266" s="3">
        <v>10</v>
      </c>
      <c r="L266" s="1" t="s">
        <v>40</v>
      </c>
      <c r="M266" s="1" t="s">
        <v>29</v>
      </c>
      <c r="N266" s="3">
        <v>2024010123</v>
      </c>
      <c r="O266" s="3">
        <f t="shared" si="36"/>
        <v>1.23</v>
      </c>
      <c r="P266" s="6">
        <f t="shared" si="37"/>
        <v>1044562.74</v>
      </c>
      <c r="Q266" s="3" t="str">
        <f t="shared" si="38"/>
        <v>Excellent</v>
      </c>
      <c r="R266" s="3">
        <f t="shared" si="39"/>
        <v>4303</v>
      </c>
      <c r="S266" s="7">
        <f t="shared" si="40"/>
        <v>51636</v>
      </c>
      <c r="T266" s="3" t="str">
        <f t="shared" si="41"/>
        <v>High Profit</v>
      </c>
      <c r="U266" s="3" t="str">
        <f t="shared" si="42"/>
        <v>Medium Discount</v>
      </c>
      <c r="V266" s="3" t="str">
        <f t="shared" si="43"/>
        <v>Priority D</v>
      </c>
      <c r="W266">
        <f t="shared" si="44"/>
        <v>84923.8</v>
      </c>
      <c r="X266" t="s">
        <v>23</v>
      </c>
      <c r="Y266" t="s">
        <v>23</v>
      </c>
      <c r="Z266" t="s">
        <v>23</v>
      </c>
      <c r="AA266" t="s">
        <v>23</v>
      </c>
      <c r="AB266" t="s">
        <v>23</v>
      </c>
      <c r="AC266" t="s">
        <v>23</v>
      </c>
      <c r="AD266" t="s">
        <v>23</v>
      </c>
      <c r="AE266" t="s">
        <v>23</v>
      </c>
      <c r="AF266" t="s">
        <v>23</v>
      </c>
      <c r="AG266" t="s">
        <v>23</v>
      </c>
      <c r="AH266" t="s">
        <v>23</v>
      </c>
      <c r="AI266" t="s">
        <v>23</v>
      </c>
      <c r="AJ266" t="s">
        <v>23</v>
      </c>
    </row>
    <row r="267" spans="1:36" x14ac:dyDescent="0.35">
      <c r="A267" s="2">
        <v>1265</v>
      </c>
      <c r="B267" s="4">
        <v>45254</v>
      </c>
      <c r="C267" s="1" t="s">
        <v>34</v>
      </c>
      <c r="D267" s="1" t="s">
        <v>42</v>
      </c>
      <c r="E267">
        <v>545017</v>
      </c>
      <c r="F267">
        <v>12</v>
      </c>
      <c r="G267" s="1" t="s">
        <v>32</v>
      </c>
      <c r="H267">
        <v>28252</v>
      </c>
      <c r="I267">
        <v>31960</v>
      </c>
      <c r="J267" s="1" t="s">
        <v>33</v>
      </c>
      <c r="K267" s="3">
        <v>7</v>
      </c>
      <c r="L267" s="1" t="s">
        <v>40</v>
      </c>
      <c r="M267" s="1" t="s">
        <v>29</v>
      </c>
      <c r="N267" s="3">
        <v>2024010123</v>
      </c>
      <c r="O267" s="3">
        <f t="shared" si="36"/>
        <v>1.23</v>
      </c>
      <c r="P267" s="6">
        <f t="shared" si="37"/>
        <v>670370.91</v>
      </c>
      <c r="Q267" s="3" t="str">
        <f t="shared" si="38"/>
        <v>Excellent</v>
      </c>
      <c r="R267" s="3">
        <f t="shared" si="39"/>
        <v>3708</v>
      </c>
      <c r="S267" s="7">
        <f t="shared" si="40"/>
        <v>44496</v>
      </c>
      <c r="T267" s="3" t="str">
        <f t="shared" si="41"/>
        <v>High Profit</v>
      </c>
      <c r="U267" s="3" t="str">
        <f t="shared" si="42"/>
        <v>Medium Discount</v>
      </c>
      <c r="V267" s="3" t="str">
        <f t="shared" si="43"/>
        <v>Priority D</v>
      </c>
      <c r="W267">
        <f t="shared" si="44"/>
        <v>54501.700000000004</v>
      </c>
      <c r="X267" t="s">
        <v>23</v>
      </c>
      <c r="Y267" t="s">
        <v>23</v>
      </c>
      <c r="Z267" t="s">
        <v>23</v>
      </c>
      <c r="AA267" t="s">
        <v>23</v>
      </c>
      <c r="AB267" t="s">
        <v>23</v>
      </c>
      <c r="AC267" t="s">
        <v>23</v>
      </c>
      <c r="AD267" t="s">
        <v>23</v>
      </c>
      <c r="AE267" t="s">
        <v>23</v>
      </c>
      <c r="AF267" t="s">
        <v>23</v>
      </c>
      <c r="AG267" t="s">
        <v>23</v>
      </c>
      <c r="AH267" t="s">
        <v>23</v>
      </c>
      <c r="AI267" t="s">
        <v>23</v>
      </c>
      <c r="AJ267" t="s">
        <v>23</v>
      </c>
    </row>
    <row r="268" spans="1:36" x14ac:dyDescent="0.35">
      <c r="A268" s="2">
        <v>1266</v>
      </c>
      <c r="B268" s="4">
        <v>45222</v>
      </c>
      <c r="C268" s="1" t="s">
        <v>30</v>
      </c>
      <c r="D268" s="1" t="s">
        <v>31</v>
      </c>
      <c r="E268">
        <v>969335</v>
      </c>
      <c r="F268">
        <v>7</v>
      </c>
      <c r="G268" s="1" t="s">
        <v>35</v>
      </c>
      <c r="H268">
        <v>24428</v>
      </c>
      <c r="I268">
        <v>26694</v>
      </c>
      <c r="J268" s="1" t="s">
        <v>33</v>
      </c>
      <c r="K268" s="3">
        <v>28</v>
      </c>
      <c r="L268" s="1" t="s">
        <v>40</v>
      </c>
      <c r="M268" s="1" t="s">
        <v>37</v>
      </c>
      <c r="N268" s="3">
        <v>2024010123</v>
      </c>
      <c r="O268" s="3">
        <f t="shared" si="36"/>
        <v>1.23</v>
      </c>
      <c r="P268" s="6">
        <f t="shared" si="37"/>
        <v>1192282.05</v>
      </c>
      <c r="Q268" s="3" t="str">
        <f t="shared" si="38"/>
        <v>Excellent</v>
      </c>
      <c r="R268" s="3">
        <f t="shared" si="39"/>
        <v>2266</v>
      </c>
      <c r="S268" s="7">
        <f t="shared" si="40"/>
        <v>15862</v>
      </c>
      <c r="T268" s="3" t="str">
        <f t="shared" si="41"/>
        <v>High Profit</v>
      </c>
      <c r="U268" s="3" t="str">
        <f t="shared" si="42"/>
        <v>High Discount</v>
      </c>
      <c r="V268" s="3" t="str">
        <f t="shared" si="43"/>
        <v>Priority C</v>
      </c>
      <c r="W268">
        <f t="shared" si="44"/>
        <v>96933.5</v>
      </c>
      <c r="X268" t="s">
        <v>23</v>
      </c>
      <c r="Y268" t="s">
        <v>23</v>
      </c>
      <c r="Z268" t="s">
        <v>23</v>
      </c>
      <c r="AA268" t="s">
        <v>23</v>
      </c>
      <c r="AB268" t="s">
        <v>23</v>
      </c>
      <c r="AC268" t="s">
        <v>23</v>
      </c>
      <c r="AD268" t="s">
        <v>23</v>
      </c>
      <c r="AE268" t="s">
        <v>23</v>
      </c>
      <c r="AF268" t="s">
        <v>23</v>
      </c>
      <c r="AG268" t="s">
        <v>23</v>
      </c>
      <c r="AH268" t="s">
        <v>23</v>
      </c>
      <c r="AI268" t="s">
        <v>23</v>
      </c>
      <c r="AJ268" t="s">
        <v>23</v>
      </c>
    </row>
    <row r="269" spans="1:36" x14ac:dyDescent="0.35">
      <c r="A269" s="2">
        <v>1267</v>
      </c>
      <c r="B269" s="4">
        <v>45212</v>
      </c>
      <c r="C269" s="1" t="s">
        <v>34</v>
      </c>
      <c r="D269" s="1" t="s">
        <v>42</v>
      </c>
      <c r="E269">
        <v>527346</v>
      </c>
      <c r="F269">
        <v>12</v>
      </c>
      <c r="G269" s="1" t="s">
        <v>35</v>
      </c>
      <c r="H269">
        <v>52865</v>
      </c>
      <c r="I269">
        <v>55892</v>
      </c>
      <c r="J269" s="1" t="s">
        <v>33</v>
      </c>
      <c r="K269" s="3">
        <v>19</v>
      </c>
      <c r="L269" s="1" t="s">
        <v>28</v>
      </c>
      <c r="M269" s="1" t="s">
        <v>37</v>
      </c>
      <c r="N269" s="3">
        <v>2024010123</v>
      </c>
      <c r="O269" s="3">
        <f t="shared" si="36"/>
        <v>1.23</v>
      </c>
      <c r="P269" s="6">
        <f t="shared" si="37"/>
        <v>648635.57999999996</v>
      </c>
      <c r="Q269" s="3" t="str">
        <f t="shared" si="38"/>
        <v>Excellent</v>
      </c>
      <c r="R269" s="3">
        <f t="shared" si="39"/>
        <v>3027</v>
      </c>
      <c r="S269" s="7">
        <f t="shared" si="40"/>
        <v>36324</v>
      </c>
      <c r="T269" s="3" t="str">
        <f t="shared" si="41"/>
        <v>High Profit</v>
      </c>
      <c r="U269" s="3" t="str">
        <f t="shared" si="42"/>
        <v>High Discount</v>
      </c>
      <c r="V269" s="3" t="str">
        <f t="shared" si="43"/>
        <v>Priority C</v>
      </c>
      <c r="W269">
        <f t="shared" si="44"/>
        <v>52734.600000000006</v>
      </c>
      <c r="X269" t="s">
        <v>23</v>
      </c>
      <c r="Y269" t="s">
        <v>23</v>
      </c>
      <c r="Z269" t="s">
        <v>23</v>
      </c>
      <c r="AA269" t="s">
        <v>23</v>
      </c>
      <c r="AB269" t="s">
        <v>23</v>
      </c>
      <c r="AC269" t="s">
        <v>23</v>
      </c>
      <c r="AD269" t="s">
        <v>23</v>
      </c>
      <c r="AE269" t="s">
        <v>23</v>
      </c>
      <c r="AF269" t="s">
        <v>23</v>
      </c>
      <c r="AG269" t="s">
        <v>23</v>
      </c>
      <c r="AH269" t="s">
        <v>23</v>
      </c>
      <c r="AI269" t="s">
        <v>23</v>
      </c>
      <c r="AJ269" t="s">
        <v>23</v>
      </c>
    </row>
    <row r="270" spans="1:36" x14ac:dyDescent="0.35">
      <c r="A270" s="2">
        <v>1268</v>
      </c>
      <c r="B270" s="4">
        <v>45067</v>
      </c>
      <c r="C270" s="1" t="s">
        <v>30</v>
      </c>
      <c r="D270" s="1" t="s">
        <v>43</v>
      </c>
      <c r="E270">
        <v>99906</v>
      </c>
      <c r="F270">
        <v>12</v>
      </c>
      <c r="G270" s="1" t="s">
        <v>32</v>
      </c>
      <c r="H270">
        <v>40183</v>
      </c>
      <c r="I270">
        <v>42530</v>
      </c>
      <c r="J270" s="1" t="s">
        <v>27</v>
      </c>
      <c r="K270" s="3">
        <v>16</v>
      </c>
      <c r="L270" s="1" t="s">
        <v>28</v>
      </c>
      <c r="M270" s="1" t="s">
        <v>29</v>
      </c>
      <c r="N270" s="3">
        <v>2024010123</v>
      </c>
      <c r="O270" s="3">
        <f t="shared" si="36"/>
        <v>1.23</v>
      </c>
      <c r="P270" s="6">
        <f t="shared" si="37"/>
        <v>122884.38</v>
      </c>
      <c r="Q270" s="3" t="str">
        <f t="shared" si="38"/>
        <v>Excellent</v>
      </c>
      <c r="R270" s="3">
        <f t="shared" si="39"/>
        <v>2347</v>
      </c>
      <c r="S270" s="7">
        <f t="shared" si="40"/>
        <v>28164</v>
      </c>
      <c r="T270" s="3" t="str">
        <f t="shared" si="41"/>
        <v>High Profit</v>
      </c>
      <c r="U270" s="3" t="str">
        <f t="shared" si="42"/>
        <v>High Discount</v>
      </c>
      <c r="V270" s="3" t="str">
        <f t="shared" si="43"/>
        <v>Priority D</v>
      </c>
      <c r="W270">
        <f t="shared" si="44"/>
        <v>14985.9</v>
      </c>
      <c r="X270" t="s">
        <v>23</v>
      </c>
      <c r="Y270" t="s">
        <v>23</v>
      </c>
      <c r="Z270" t="s">
        <v>23</v>
      </c>
      <c r="AA270" t="s">
        <v>23</v>
      </c>
      <c r="AB270" t="s">
        <v>23</v>
      </c>
      <c r="AC270" t="s">
        <v>23</v>
      </c>
      <c r="AD270" t="s">
        <v>23</v>
      </c>
      <c r="AE270" t="s">
        <v>23</v>
      </c>
      <c r="AF270" t="s">
        <v>23</v>
      </c>
      <c r="AG270" t="s">
        <v>23</v>
      </c>
      <c r="AH270" t="s">
        <v>23</v>
      </c>
      <c r="AI270" t="s">
        <v>23</v>
      </c>
      <c r="AJ270" t="s">
        <v>23</v>
      </c>
    </row>
    <row r="271" spans="1:36" x14ac:dyDescent="0.35">
      <c r="A271" s="2">
        <v>1269</v>
      </c>
      <c r="B271" s="4">
        <v>45214</v>
      </c>
      <c r="C271" s="1" t="s">
        <v>30</v>
      </c>
      <c r="D271" s="1" t="s">
        <v>31</v>
      </c>
      <c r="E271">
        <v>849840</v>
      </c>
      <c r="F271">
        <v>6</v>
      </c>
      <c r="G271" s="1" t="s">
        <v>32</v>
      </c>
      <c r="H271">
        <v>54867</v>
      </c>
      <c r="I271">
        <v>59569</v>
      </c>
      <c r="J271" s="1" t="s">
        <v>33</v>
      </c>
      <c r="K271" s="3">
        <v>20</v>
      </c>
      <c r="L271" s="1" t="s">
        <v>40</v>
      </c>
      <c r="M271" s="1" t="s">
        <v>29</v>
      </c>
      <c r="N271" s="3">
        <v>2024010123</v>
      </c>
      <c r="O271" s="3">
        <f t="shared" si="36"/>
        <v>1.23</v>
      </c>
      <c r="P271" s="6">
        <f t="shared" si="37"/>
        <v>1045303.2</v>
      </c>
      <c r="Q271" s="3" t="str">
        <f t="shared" si="38"/>
        <v>Excellent</v>
      </c>
      <c r="R271" s="3">
        <f t="shared" si="39"/>
        <v>4702</v>
      </c>
      <c r="S271" s="7">
        <f t="shared" si="40"/>
        <v>28212</v>
      </c>
      <c r="T271" s="3" t="str">
        <f t="shared" si="41"/>
        <v>High Profit</v>
      </c>
      <c r="U271" s="3" t="str">
        <f t="shared" si="42"/>
        <v>High Discount</v>
      </c>
      <c r="V271" s="3" t="str">
        <f t="shared" si="43"/>
        <v>Priority D</v>
      </c>
      <c r="W271">
        <f t="shared" si="44"/>
        <v>84984</v>
      </c>
      <c r="X271" t="s">
        <v>23</v>
      </c>
      <c r="Y271" t="s">
        <v>23</v>
      </c>
      <c r="Z271" t="s">
        <v>23</v>
      </c>
      <c r="AA271" t="s">
        <v>23</v>
      </c>
      <c r="AB271" t="s">
        <v>23</v>
      </c>
      <c r="AC271" t="s">
        <v>23</v>
      </c>
      <c r="AD271" t="s">
        <v>23</v>
      </c>
      <c r="AE271" t="s">
        <v>23</v>
      </c>
      <c r="AF271" t="s">
        <v>23</v>
      </c>
      <c r="AG271" t="s">
        <v>23</v>
      </c>
      <c r="AH271" t="s">
        <v>23</v>
      </c>
      <c r="AI271" t="s">
        <v>23</v>
      </c>
      <c r="AJ271" t="s">
        <v>23</v>
      </c>
    </row>
    <row r="272" spans="1:36" x14ac:dyDescent="0.35">
      <c r="A272" s="2">
        <v>1270</v>
      </c>
      <c r="B272" s="4">
        <v>45082</v>
      </c>
      <c r="C272" s="1" t="s">
        <v>41</v>
      </c>
      <c r="D272" s="1" t="s">
        <v>31</v>
      </c>
      <c r="E272">
        <v>563193</v>
      </c>
      <c r="F272">
        <v>12</v>
      </c>
      <c r="G272" s="1" t="s">
        <v>32</v>
      </c>
      <c r="H272">
        <v>10225</v>
      </c>
      <c r="I272">
        <v>22272</v>
      </c>
      <c r="J272" s="1" t="s">
        <v>33</v>
      </c>
      <c r="K272" s="3">
        <v>0</v>
      </c>
      <c r="L272" s="1" t="s">
        <v>36</v>
      </c>
      <c r="M272" s="1" t="s">
        <v>37</v>
      </c>
      <c r="N272" s="3">
        <v>2024010123</v>
      </c>
      <c r="O272" s="3">
        <f t="shared" si="36"/>
        <v>1.23</v>
      </c>
      <c r="P272" s="6">
        <f t="shared" si="37"/>
        <v>692727.39</v>
      </c>
      <c r="Q272" s="3" t="str">
        <f t="shared" si="38"/>
        <v>Excellent</v>
      </c>
      <c r="R272" s="3">
        <f t="shared" si="39"/>
        <v>12047</v>
      </c>
      <c r="S272" s="7">
        <f t="shared" si="40"/>
        <v>144564</v>
      </c>
      <c r="T272" s="3" t="str">
        <f t="shared" si="41"/>
        <v>High Profit</v>
      </c>
      <c r="U272" s="3" t="str">
        <f t="shared" si="42"/>
        <v>No Discount</v>
      </c>
      <c r="V272" s="3" t="str">
        <f t="shared" si="43"/>
        <v>Priority C</v>
      </c>
      <c r="W272">
        <f t="shared" si="44"/>
        <v>56319.3</v>
      </c>
      <c r="X272" t="s">
        <v>23</v>
      </c>
      <c r="Y272" t="s">
        <v>23</v>
      </c>
      <c r="Z272" t="s">
        <v>23</v>
      </c>
      <c r="AA272" t="s">
        <v>23</v>
      </c>
      <c r="AB272" t="s">
        <v>23</v>
      </c>
      <c r="AC272" t="s">
        <v>23</v>
      </c>
      <c r="AD272" t="s">
        <v>23</v>
      </c>
      <c r="AE272" t="s">
        <v>23</v>
      </c>
      <c r="AF272" t="s">
        <v>23</v>
      </c>
      <c r="AG272" t="s">
        <v>23</v>
      </c>
      <c r="AH272" t="s">
        <v>23</v>
      </c>
      <c r="AI272" t="s">
        <v>23</v>
      </c>
      <c r="AJ272" t="s">
        <v>23</v>
      </c>
    </row>
    <row r="273" spans="1:36" x14ac:dyDescent="0.35">
      <c r="A273" s="2">
        <v>1271</v>
      </c>
      <c r="B273" s="4">
        <v>45000</v>
      </c>
      <c r="C273" s="1" t="s">
        <v>38</v>
      </c>
      <c r="D273" s="1" t="s">
        <v>42</v>
      </c>
      <c r="E273">
        <v>150995</v>
      </c>
      <c r="F273">
        <v>31</v>
      </c>
      <c r="G273" s="1" t="s">
        <v>32</v>
      </c>
      <c r="H273">
        <v>22802</v>
      </c>
      <c r="I273">
        <v>32640</v>
      </c>
      <c r="J273" s="1" t="s">
        <v>27</v>
      </c>
      <c r="K273" s="3">
        <v>3</v>
      </c>
      <c r="L273" s="1" t="s">
        <v>40</v>
      </c>
      <c r="M273" s="1" t="s">
        <v>29</v>
      </c>
      <c r="N273" s="3">
        <v>2024010123</v>
      </c>
      <c r="O273" s="3">
        <f t="shared" si="36"/>
        <v>1.23</v>
      </c>
      <c r="P273" s="6">
        <f t="shared" si="37"/>
        <v>185723.85</v>
      </c>
      <c r="Q273" s="3" t="str">
        <f t="shared" si="38"/>
        <v>Excellent</v>
      </c>
      <c r="R273" s="3">
        <f t="shared" si="39"/>
        <v>9838</v>
      </c>
      <c r="S273" s="7">
        <f t="shared" si="40"/>
        <v>304978</v>
      </c>
      <c r="T273" s="3" t="str">
        <f t="shared" si="41"/>
        <v>High Profit</v>
      </c>
      <c r="U273" s="3" t="str">
        <f t="shared" si="42"/>
        <v>Low Discount</v>
      </c>
      <c r="V273" s="3" t="str">
        <f t="shared" si="43"/>
        <v>Priority B</v>
      </c>
      <c r="W273">
        <f t="shared" si="44"/>
        <v>22649.25</v>
      </c>
      <c r="X273" t="s">
        <v>23</v>
      </c>
      <c r="Y273" t="s">
        <v>23</v>
      </c>
      <c r="Z273" t="s">
        <v>23</v>
      </c>
      <c r="AA273" t="s">
        <v>23</v>
      </c>
      <c r="AB273" t="s">
        <v>23</v>
      </c>
      <c r="AC273" t="s">
        <v>23</v>
      </c>
      <c r="AD273" t="s">
        <v>23</v>
      </c>
      <c r="AE273" t="s">
        <v>23</v>
      </c>
      <c r="AF273" t="s">
        <v>23</v>
      </c>
      <c r="AG273" t="s">
        <v>23</v>
      </c>
      <c r="AH273" t="s">
        <v>23</v>
      </c>
      <c r="AI273" t="s">
        <v>23</v>
      </c>
      <c r="AJ273" t="s">
        <v>23</v>
      </c>
    </row>
    <row r="274" spans="1:36" x14ac:dyDescent="0.35">
      <c r="A274" s="2">
        <v>1272</v>
      </c>
      <c r="B274" s="4">
        <v>45242</v>
      </c>
      <c r="C274" s="1" t="s">
        <v>38</v>
      </c>
      <c r="D274" s="1" t="s">
        <v>25</v>
      </c>
      <c r="E274">
        <v>555747</v>
      </c>
      <c r="F274">
        <v>29</v>
      </c>
      <c r="G274" s="1" t="s">
        <v>35</v>
      </c>
      <c r="H274">
        <v>29536</v>
      </c>
      <c r="I274">
        <v>36812</v>
      </c>
      <c r="J274" s="1" t="s">
        <v>33</v>
      </c>
      <c r="K274" s="3">
        <v>3</v>
      </c>
      <c r="L274" s="1" t="s">
        <v>28</v>
      </c>
      <c r="M274" s="1" t="s">
        <v>37</v>
      </c>
      <c r="N274" s="3">
        <v>2024010123</v>
      </c>
      <c r="O274" s="3">
        <f t="shared" si="36"/>
        <v>1.23</v>
      </c>
      <c r="P274" s="6">
        <f t="shared" si="37"/>
        <v>683568.80999999994</v>
      </c>
      <c r="Q274" s="3" t="str">
        <f t="shared" si="38"/>
        <v>Excellent</v>
      </c>
      <c r="R274" s="3">
        <f t="shared" si="39"/>
        <v>7276</v>
      </c>
      <c r="S274" s="7">
        <f t="shared" si="40"/>
        <v>211004</v>
      </c>
      <c r="T274" s="3" t="str">
        <f t="shared" si="41"/>
        <v>High Profit</v>
      </c>
      <c r="U274" s="3" t="str">
        <f t="shared" si="42"/>
        <v>Low Discount</v>
      </c>
      <c r="V274" s="3" t="str">
        <f t="shared" si="43"/>
        <v>Priority C</v>
      </c>
      <c r="W274">
        <f t="shared" si="44"/>
        <v>55574.700000000004</v>
      </c>
      <c r="X274" t="s">
        <v>23</v>
      </c>
      <c r="Y274" t="s">
        <v>23</v>
      </c>
      <c r="Z274" t="s">
        <v>23</v>
      </c>
      <c r="AA274" t="s">
        <v>23</v>
      </c>
      <c r="AB274" t="s">
        <v>23</v>
      </c>
      <c r="AC274" t="s">
        <v>23</v>
      </c>
      <c r="AD274" t="s">
        <v>23</v>
      </c>
      <c r="AE274" t="s">
        <v>23</v>
      </c>
      <c r="AF274" t="s">
        <v>23</v>
      </c>
      <c r="AG274" t="s">
        <v>23</v>
      </c>
      <c r="AH274" t="s">
        <v>23</v>
      </c>
      <c r="AI274" t="s">
        <v>23</v>
      </c>
      <c r="AJ274" t="s">
        <v>23</v>
      </c>
    </row>
    <row r="275" spans="1:36" x14ac:dyDescent="0.35">
      <c r="A275" s="2">
        <v>1273</v>
      </c>
      <c r="B275" s="4">
        <v>44936</v>
      </c>
      <c r="C275" s="1" t="s">
        <v>30</v>
      </c>
      <c r="D275" s="1" t="s">
        <v>31</v>
      </c>
      <c r="E275">
        <v>433724</v>
      </c>
      <c r="F275">
        <v>22</v>
      </c>
      <c r="G275" s="1" t="s">
        <v>35</v>
      </c>
      <c r="H275">
        <v>20664</v>
      </c>
      <c r="I275">
        <v>33740</v>
      </c>
      <c r="J275" s="1" t="s">
        <v>33</v>
      </c>
      <c r="K275" s="3">
        <v>12</v>
      </c>
      <c r="L275" s="1" t="s">
        <v>40</v>
      </c>
      <c r="M275" s="1" t="s">
        <v>29</v>
      </c>
      <c r="N275" s="3">
        <v>2024010123</v>
      </c>
      <c r="O275" s="3">
        <f t="shared" si="36"/>
        <v>1.23</v>
      </c>
      <c r="P275" s="6">
        <f t="shared" si="37"/>
        <v>533480.52</v>
      </c>
      <c r="Q275" s="3" t="str">
        <f t="shared" si="38"/>
        <v>Excellent</v>
      </c>
      <c r="R275" s="3">
        <f t="shared" si="39"/>
        <v>13076</v>
      </c>
      <c r="S275" s="7">
        <f t="shared" si="40"/>
        <v>287672</v>
      </c>
      <c r="T275" s="3" t="str">
        <f t="shared" si="41"/>
        <v>High Profit</v>
      </c>
      <c r="U275" s="3" t="str">
        <f t="shared" si="42"/>
        <v>Medium Discount</v>
      </c>
      <c r="V275" s="3" t="str">
        <f t="shared" si="43"/>
        <v>Priority C</v>
      </c>
      <c r="W275">
        <f t="shared" si="44"/>
        <v>43372.4</v>
      </c>
      <c r="X275" t="s">
        <v>23</v>
      </c>
      <c r="Y275" t="s">
        <v>23</v>
      </c>
      <c r="Z275" t="s">
        <v>23</v>
      </c>
      <c r="AA275" t="s">
        <v>23</v>
      </c>
      <c r="AB275" t="s">
        <v>23</v>
      </c>
      <c r="AC275" t="s">
        <v>23</v>
      </c>
      <c r="AD275" t="s">
        <v>23</v>
      </c>
      <c r="AE275" t="s">
        <v>23</v>
      </c>
      <c r="AF275" t="s">
        <v>23</v>
      </c>
      <c r="AG275" t="s">
        <v>23</v>
      </c>
      <c r="AH275" t="s">
        <v>23</v>
      </c>
      <c r="AI275" t="s">
        <v>23</v>
      </c>
      <c r="AJ275" t="s">
        <v>23</v>
      </c>
    </row>
    <row r="276" spans="1:36" x14ac:dyDescent="0.35">
      <c r="A276" s="2">
        <v>1274</v>
      </c>
      <c r="B276" s="4">
        <v>45287</v>
      </c>
      <c r="C276" s="1" t="s">
        <v>34</v>
      </c>
      <c r="D276" s="1" t="s">
        <v>42</v>
      </c>
      <c r="E276">
        <v>848688</v>
      </c>
      <c r="F276">
        <v>12</v>
      </c>
      <c r="G276" s="1" t="s">
        <v>32</v>
      </c>
      <c r="H276">
        <v>24092</v>
      </c>
      <c r="I276">
        <v>31653</v>
      </c>
      <c r="J276" s="1" t="s">
        <v>27</v>
      </c>
      <c r="K276" s="3">
        <v>12</v>
      </c>
      <c r="L276" s="1" t="s">
        <v>36</v>
      </c>
      <c r="M276" s="1" t="s">
        <v>29</v>
      </c>
      <c r="N276" s="3">
        <v>2024010123</v>
      </c>
      <c r="O276" s="3">
        <f t="shared" si="36"/>
        <v>1.23</v>
      </c>
      <c r="P276" s="6">
        <f t="shared" si="37"/>
        <v>1043886.24</v>
      </c>
      <c r="Q276" s="3" t="str">
        <f t="shared" si="38"/>
        <v>Excellent</v>
      </c>
      <c r="R276" s="3">
        <f t="shared" si="39"/>
        <v>7561</v>
      </c>
      <c r="S276" s="7">
        <f t="shared" si="40"/>
        <v>90732</v>
      </c>
      <c r="T276" s="3" t="str">
        <f t="shared" si="41"/>
        <v>High Profit</v>
      </c>
      <c r="U276" s="3" t="str">
        <f t="shared" si="42"/>
        <v>Medium Discount</v>
      </c>
      <c r="V276" s="3" t="str">
        <f t="shared" si="43"/>
        <v>Priority D</v>
      </c>
      <c r="W276">
        <f t="shared" si="44"/>
        <v>127303.2</v>
      </c>
      <c r="X276" t="s">
        <v>23</v>
      </c>
      <c r="Y276" t="s">
        <v>23</v>
      </c>
      <c r="Z276" t="s">
        <v>23</v>
      </c>
      <c r="AA276" t="s">
        <v>23</v>
      </c>
      <c r="AB276" t="s">
        <v>23</v>
      </c>
      <c r="AC276" t="s">
        <v>23</v>
      </c>
      <c r="AD276" t="s">
        <v>23</v>
      </c>
      <c r="AE276" t="s">
        <v>23</v>
      </c>
      <c r="AF276" t="s">
        <v>23</v>
      </c>
      <c r="AG276" t="s">
        <v>23</v>
      </c>
      <c r="AH276" t="s">
        <v>23</v>
      </c>
      <c r="AI276" t="s">
        <v>23</v>
      </c>
      <c r="AJ276" t="s">
        <v>23</v>
      </c>
    </row>
    <row r="277" spans="1:36" x14ac:dyDescent="0.35">
      <c r="A277" s="2">
        <v>1275</v>
      </c>
      <c r="B277" s="4">
        <v>45210</v>
      </c>
      <c r="C277" s="1" t="s">
        <v>24</v>
      </c>
      <c r="D277" s="1" t="s">
        <v>31</v>
      </c>
      <c r="E277">
        <v>487832</v>
      </c>
      <c r="F277">
        <v>12</v>
      </c>
      <c r="G277" s="1" t="s">
        <v>35</v>
      </c>
      <c r="H277">
        <v>10000</v>
      </c>
      <c r="I277">
        <v>20000</v>
      </c>
      <c r="J277" s="1" t="s">
        <v>27</v>
      </c>
      <c r="K277" s="3">
        <v>11</v>
      </c>
      <c r="L277" s="1" t="s">
        <v>36</v>
      </c>
      <c r="M277" s="1" t="s">
        <v>37</v>
      </c>
      <c r="N277" s="3">
        <v>2024010123</v>
      </c>
      <c r="O277" s="3">
        <f t="shared" si="36"/>
        <v>1.23</v>
      </c>
      <c r="P277" s="6">
        <f t="shared" si="37"/>
        <v>600033.36</v>
      </c>
      <c r="Q277" s="3" t="str">
        <f t="shared" si="38"/>
        <v>Excellent</v>
      </c>
      <c r="R277" s="3">
        <f t="shared" si="39"/>
        <v>10000</v>
      </c>
      <c r="S277" s="7">
        <f t="shared" si="40"/>
        <v>120000</v>
      </c>
      <c r="T277" s="3" t="str">
        <f t="shared" si="41"/>
        <v>High Profit</v>
      </c>
      <c r="U277" s="3" t="str">
        <f t="shared" si="42"/>
        <v>Medium Discount</v>
      </c>
      <c r="V277" s="3" t="str">
        <f t="shared" si="43"/>
        <v>Priority C</v>
      </c>
      <c r="W277">
        <f t="shared" si="44"/>
        <v>73174.8</v>
      </c>
      <c r="X277" t="s">
        <v>23</v>
      </c>
      <c r="Y277" t="s">
        <v>23</v>
      </c>
      <c r="Z277" t="s">
        <v>23</v>
      </c>
      <c r="AA277" t="s">
        <v>23</v>
      </c>
      <c r="AB277" t="s">
        <v>23</v>
      </c>
      <c r="AC277" t="s">
        <v>23</v>
      </c>
      <c r="AD277" t="s">
        <v>23</v>
      </c>
      <c r="AE277" t="s">
        <v>23</v>
      </c>
      <c r="AF277" t="s">
        <v>23</v>
      </c>
      <c r="AG277" t="s">
        <v>23</v>
      </c>
      <c r="AH277" t="s">
        <v>23</v>
      </c>
      <c r="AI277" t="s">
        <v>23</v>
      </c>
      <c r="AJ277" t="s">
        <v>23</v>
      </c>
    </row>
    <row r="278" spans="1:36" x14ac:dyDescent="0.35">
      <c r="A278" s="2">
        <v>1276</v>
      </c>
      <c r="B278" s="4">
        <v>45040</v>
      </c>
      <c r="C278" s="1" t="s">
        <v>24</v>
      </c>
      <c r="D278" s="1" t="s">
        <v>43</v>
      </c>
      <c r="E278">
        <v>812014</v>
      </c>
      <c r="F278">
        <v>30</v>
      </c>
      <c r="G278" s="1" t="s">
        <v>32</v>
      </c>
      <c r="H278">
        <v>18196</v>
      </c>
      <c r="I278">
        <v>32087</v>
      </c>
      <c r="J278" s="1" t="s">
        <v>27</v>
      </c>
      <c r="K278" s="3">
        <v>27</v>
      </c>
      <c r="L278" s="1" t="s">
        <v>28</v>
      </c>
      <c r="M278" s="1" t="s">
        <v>29</v>
      </c>
      <c r="N278" s="3">
        <v>2024010123</v>
      </c>
      <c r="O278" s="3">
        <f t="shared" si="36"/>
        <v>1.23</v>
      </c>
      <c r="P278" s="6">
        <f t="shared" si="37"/>
        <v>998777.22</v>
      </c>
      <c r="Q278" s="3" t="str">
        <f t="shared" si="38"/>
        <v>Excellent</v>
      </c>
      <c r="R278" s="3">
        <f t="shared" si="39"/>
        <v>13891</v>
      </c>
      <c r="S278" s="7">
        <f t="shared" si="40"/>
        <v>416730</v>
      </c>
      <c r="T278" s="3" t="str">
        <f t="shared" si="41"/>
        <v>High Profit</v>
      </c>
      <c r="U278" s="3" t="str">
        <f t="shared" si="42"/>
        <v>High Discount</v>
      </c>
      <c r="V278" s="3" t="str">
        <f t="shared" si="43"/>
        <v>Priority B</v>
      </c>
      <c r="W278">
        <f t="shared" si="44"/>
        <v>121802.09999999999</v>
      </c>
      <c r="X278" t="s">
        <v>23</v>
      </c>
      <c r="Y278" t="s">
        <v>23</v>
      </c>
      <c r="Z278" t="s">
        <v>23</v>
      </c>
      <c r="AA278" t="s">
        <v>23</v>
      </c>
      <c r="AB278" t="s">
        <v>23</v>
      </c>
      <c r="AC278" t="s">
        <v>23</v>
      </c>
      <c r="AD278" t="s">
        <v>23</v>
      </c>
      <c r="AE278" t="s">
        <v>23</v>
      </c>
      <c r="AF278" t="s">
        <v>23</v>
      </c>
      <c r="AG278" t="s">
        <v>23</v>
      </c>
      <c r="AH278" t="s">
        <v>23</v>
      </c>
      <c r="AI278" t="s">
        <v>23</v>
      </c>
      <c r="AJ278" t="s">
        <v>23</v>
      </c>
    </row>
    <row r="279" spans="1:36" x14ac:dyDescent="0.35">
      <c r="A279" s="2">
        <v>1277</v>
      </c>
      <c r="B279" s="4">
        <v>45232</v>
      </c>
      <c r="C279" s="1" t="s">
        <v>30</v>
      </c>
      <c r="D279" s="1" t="s">
        <v>42</v>
      </c>
      <c r="E279">
        <v>988524</v>
      </c>
      <c r="F279">
        <v>12</v>
      </c>
      <c r="G279" s="1" t="s">
        <v>35</v>
      </c>
      <c r="H279">
        <v>29830</v>
      </c>
      <c r="I279">
        <v>38584</v>
      </c>
      <c r="J279" s="1" t="s">
        <v>27</v>
      </c>
      <c r="K279" s="3">
        <v>15</v>
      </c>
      <c r="L279" s="1" t="s">
        <v>40</v>
      </c>
      <c r="M279" s="1" t="s">
        <v>37</v>
      </c>
      <c r="N279" s="3">
        <v>2024010123</v>
      </c>
      <c r="O279" s="3">
        <f t="shared" si="36"/>
        <v>1.23</v>
      </c>
      <c r="P279" s="6">
        <f t="shared" si="37"/>
        <v>1215884.52</v>
      </c>
      <c r="Q279" s="3" t="str">
        <f t="shared" si="38"/>
        <v>Excellent</v>
      </c>
      <c r="R279" s="3">
        <f t="shared" si="39"/>
        <v>8754</v>
      </c>
      <c r="S279" s="7">
        <f t="shared" si="40"/>
        <v>105048</v>
      </c>
      <c r="T279" s="3" t="str">
        <f t="shared" si="41"/>
        <v>High Profit</v>
      </c>
      <c r="U279" s="3" t="str">
        <f t="shared" si="42"/>
        <v>High Discount</v>
      </c>
      <c r="V279" s="3" t="str">
        <f t="shared" si="43"/>
        <v>Priority C</v>
      </c>
      <c r="W279">
        <f t="shared" si="44"/>
        <v>148278.6</v>
      </c>
      <c r="X279" t="s">
        <v>23</v>
      </c>
      <c r="Y279" t="s">
        <v>23</v>
      </c>
      <c r="Z279" t="s">
        <v>23</v>
      </c>
      <c r="AA279" t="s">
        <v>23</v>
      </c>
      <c r="AB279" t="s">
        <v>23</v>
      </c>
      <c r="AC279" t="s">
        <v>23</v>
      </c>
      <c r="AD279" t="s">
        <v>23</v>
      </c>
      <c r="AE279" t="s">
        <v>23</v>
      </c>
      <c r="AF279" t="s">
        <v>23</v>
      </c>
      <c r="AG279" t="s">
        <v>23</v>
      </c>
      <c r="AH279" t="s">
        <v>23</v>
      </c>
      <c r="AI279" t="s">
        <v>23</v>
      </c>
      <c r="AJ279" t="s">
        <v>23</v>
      </c>
    </row>
    <row r="280" spans="1:36" x14ac:dyDescent="0.35">
      <c r="A280" s="2">
        <v>1278</v>
      </c>
      <c r="B280" s="4">
        <v>45174</v>
      </c>
      <c r="C280" s="1" t="s">
        <v>41</v>
      </c>
      <c r="D280" s="1" t="s">
        <v>31</v>
      </c>
      <c r="E280">
        <v>144709</v>
      </c>
      <c r="F280">
        <v>12</v>
      </c>
      <c r="G280" s="1" t="s">
        <v>26</v>
      </c>
      <c r="H280">
        <v>10211</v>
      </c>
      <c r="I280">
        <v>22049</v>
      </c>
      <c r="J280" s="1" t="s">
        <v>27</v>
      </c>
      <c r="K280" s="3">
        <v>21</v>
      </c>
      <c r="L280" s="1" t="s">
        <v>40</v>
      </c>
      <c r="M280" s="1" t="s">
        <v>37</v>
      </c>
      <c r="N280" s="3">
        <v>2024010123</v>
      </c>
      <c r="O280" s="3">
        <f t="shared" si="36"/>
        <v>1.23</v>
      </c>
      <c r="P280" s="6">
        <f t="shared" si="37"/>
        <v>177992.07</v>
      </c>
      <c r="Q280" s="3" t="str">
        <f t="shared" si="38"/>
        <v>Excellent</v>
      </c>
      <c r="R280" s="3">
        <f t="shared" si="39"/>
        <v>11838</v>
      </c>
      <c r="S280" s="7">
        <f t="shared" si="40"/>
        <v>142056</v>
      </c>
      <c r="T280" s="3" t="str">
        <f t="shared" si="41"/>
        <v>High Profit</v>
      </c>
      <c r="U280" s="3" t="str">
        <f t="shared" si="42"/>
        <v>High Discount</v>
      </c>
      <c r="V280" s="3" t="str">
        <f t="shared" si="43"/>
        <v>Priority C</v>
      </c>
      <c r="W280">
        <f t="shared" si="44"/>
        <v>21706.35</v>
      </c>
      <c r="X280" t="s">
        <v>23</v>
      </c>
      <c r="Y280" t="s">
        <v>23</v>
      </c>
      <c r="Z280" t="s">
        <v>23</v>
      </c>
      <c r="AA280" t="s">
        <v>23</v>
      </c>
      <c r="AB280" t="s">
        <v>23</v>
      </c>
      <c r="AC280" t="s">
        <v>23</v>
      </c>
      <c r="AD280" t="s">
        <v>23</v>
      </c>
      <c r="AE280" t="s">
        <v>23</v>
      </c>
      <c r="AF280" t="s">
        <v>23</v>
      </c>
      <c r="AG280" t="s">
        <v>23</v>
      </c>
      <c r="AH280" t="s">
        <v>23</v>
      </c>
      <c r="AI280" t="s">
        <v>23</v>
      </c>
      <c r="AJ280" t="s">
        <v>23</v>
      </c>
    </row>
    <row r="281" spans="1:36" x14ac:dyDescent="0.35">
      <c r="A281" s="2">
        <v>1279</v>
      </c>
      <c r="B281" s="4">
        <v>45065</v>
      </c>
      <c r="C281" s="1" t="s">
        <v>38</v>
      </c>
      <c r="D281" s="1" t="s">
        <v>43</v>
      </c>
      <c r="E281">
        <v>450240</v>
      </c>
      <c r="F281">
        <v>12</v>
      </c>
      <c r="G281" s="1" t="s">
        <v>39</v>
      </c>
      <c r="H281">
        <v>24254</v>
      </c>
      <c r="I281">
        <v>34064</v>
      </c>
      <c r="J281" s="1" t="s">
        <v>27</v>
      </c>
      <c r="K281" s="3">
        <v>24</v>
      </c>
      <c r="L281" s="1" t="s">
        <v>36</v>
      </c>
      <c r="M281" s="1" t="s">
        <v>37</v>
      </c>
      <c r="N281" s="3">
        <v>2024010123</v>
      </c>
      <c r="O281" s="3">
        <f t="shared" si="36"/>
        <v>1.23</v>
      </c>
      <c r="P281" s="6">
        <f t="shared" si="37"/>
        <v>553795.19999999995</v>
      </c>
      <c r="Q281" s="3" t="str">
        <f t="shared" si="38"/>
        <v>Excellent</v>
      </c>
      <c r="R281" s="3">
        <f t="shared" si="39"/>
        <v>9810</v>
      </c>
      <c r="S281" s="7">
        <f t="shared" si="40"/>
        <v>117720</v>
      </c>
      <c r="T281" s="3" t="str">
        <f t="shared" si="41"/>
        <v>High Profit</v>
      </c>
      <c r="U281" s="3" t="str">
        <f t="shared" si="42"/>
        <v>High Discount</v>
      </c>
      <c r="V281" s="3" t="str">
        <f t="shared" si="43"/>
        <v>Priority C</v>
      </c>
      <c r="W281">
        <f t="shared" si="44"/>
        <v>67536</v>
      </c>
      <c r="X281" t="s">
        <v>23</v>
      </c>
      <c r="Y281" t="s">
        <v>23</v>
      </c>
      <c r="Z281" t="s">
        <v>23</v>
      </c>
      <c r="AA281" t="s">
        <v>23</v>
      </c>
      <c r="AB281" t="s">
        <v>23</v>
      </c>
      <c r="AC281" t="s">
        <v>23</v>
      </c>
      <c r="AD281" t="s">
        <v>23</v>
      </c>
      <c r="AE281" t="s">
        <v>23</v>
      </c>
      <c r="AF281" t="s">
        <v>23</v>
      </c>
      <c r="AG281" t="s">
        <v>23</v>
      </c>
      <c r="AH281" t="s">
        <v>23</v>
      </c>
      <c r="AI281" t="s">
        <v>23</v>
      </c>
      <c r="AJ281" t="s">
        <v>23</v>
      </c>
    </row>
    <row r="282" spans="1:36" x14ac:dyDescent="0.35">
      <c r="A282" s="2">
        <v>1280</v>
      </c>
      <c r="B282" s="4">
        <v>45141</v>
      </c>
      <c r="C282" s="1" t="s">
        <v>34</v>
      </c>
      <c r="D282" s="1" t="s">
        <v>42</v>
      </c>
      <c r="E282">
        <v>231695</v>
      </c>
      <c r="F282">
        <v>18</v>
      </c>
      <c r="G282" s="1" t="s">
        <v>26</v>
      </c>
      <c r="H282">
        <v>31305</v>
      </c>
      <c r="I282">
        <v>36707</v>
      </c>
      <c r="J282" s="1" t="s">
        <v>33</v>
      </c>
      <c r="K282" s="3">
        <v>0</v>
      </c>
      <c r="L282" s="1" t="s">
        <v>36</v>
      </c>
      <c r="M282" s="1" t="s">
        <v>37</v>
      </c>
      <c r="N282" s="3">
        <v>2024010123</v>
      </c>
      <c r="O282" s="3">
        <f t="shared" si="36"/>
        <v>1.23</v>
      </c>
      <c r="P282" s="6">
        <f t="shared" si="37"/>
        <v>284984.84999999998</v>
      </c>
      <c r="Q282" s="3" t="str">
        <f t="shared" si="38"/>
        <v>Excellent</v>
      </c>
      <c r="R282" s="3">
        <f t="shared" si="39"/>
        <v>5402</v>
      </c>
      <c r="S282" s="7">
        <f t="shared" si="40"/>
        <v>97236</v>
      </c>
      <c r="T282" s="3" t="str">
        <f t="shared" si="41"/>
        <v>High Profit</v>
      </c>
      <c r="U282" s="3" t="str">
        <f t="shared" si="42"/>
        <v>No Discount</v>
      </c>
      <c r="V282" s="3" t="str">
        <f t="shared" si="43"/>
        <v>Priority C</v>
      </c>
      <c r="W282">
        <f t="shared" si="44"/>
        <v>23169.5</v>
      </c>
      <c r="X282" t="s">
        <v>23</v>
      </c>
      <c r="Y282" t="s">
        <v>23</v>
      </c>
      <c r="Z282" t="s">
        <v>23</v>
      </c>
      <c r="AA282" t="s">
        <v>23</v>
      </c>
      <c r="AB282" t="s">
        <v>23</v>
      </c>
      <c r="AC282" t="s">
        <v>23</v>
      </c>
      <c r="AD282" t="s">
        <v>23</v>
      </c>
      <c r="AE282" t="s">
        <v>23</v>
      </c>
      <c r="AF282" t="s">
        <v>23</v>
      </c>
      <c r="AG282" t="s">
        <v>23</v>
      </c>
      <c r="AH282" t="s">
        <v>23</v>
      </c>
      <c r="AI282" t="s">
        <v>23</v>
      </c>
      <c r="AJ282" t="s">
        <v>23</v>
      </c>
    </row>
    <row r="283" spans="1:36" x14ac:dyDescent="0.35">
      <c r="A283" s="2">
        <v>1281</v>
      </c>
      <c r="B283" s="4">
        <v>45097</v>
      </c>
      <c r="C283" s="1" t="s">
        <v>41</v>
      </c>
      <c r="D283" s="1" t="s">
        <v>43</v>
      </c>
      <c r="E283">
        <v>594371</v>
      </c>
      <c r="F283">
        <v>11</v>
      </c>
      <c r="G283" s="1" t="s">
        <v>26</v>
      </c>
      <c r="H283">
        <v>34221</v>
      </c>
      <c r="I283">
        <v>38262</v>
      </c>
      <c r="J283" s="1" t="s">
        <v>27</v>
      </c>
      <c r="K283" s="3">
        <v>4</v>
      </c>
      <c r="L283" s="1" t="s">
        <v>36</v>
      </c>
      <c r="M283" s="1" t="s">
        <v>37</v>
      </c>
      <c r="N283" s="3">
        <v>2024010123</v>
      </c>
      <c r="O283" s="3">
        <f t="shared" si="36"/>
        <v>1.23</v>
      </c>
      <c r="P283" s="6">
        <f t="shared" si="37"/>
        <v>731076.33</v>
      </c>
      <c r="Q283" s="3" t="str">
        <f t="shared" si="38"/>
        <v>Excellent</v>
      </c>
      <c r="R283" s="3">
        <f t="shared" si="39"/>
        <v>4041</v>
      </c>
      <c r="S283" s="7">
        <f t="shared" si="40"/>
        <v>44451</v>
      </c>
      <c r="T283" s="3" t="str">
        <f t="shared" si="41"/>
        <v>High Profit</v>
      </c>
      <c r="U283" s="3" t="str">
        <f t="shared" si="42"/>
        <v>Low Discount</v>
      </c>
      <c r="V283" s="3" t="str">
        <f t="shared" si="43"/>
        <v>Priority C</v>
      </c>
      <c r="W283">
        <f t="shared" si="44"/>
        <v>89155.65</v>
      </c>
      <c r="X283" t="s">
        <v>23</v>
      </c>
      <c r="Y283" t="s">
        <v>23</v>
      </c>
      <c r="Z283" t="s">
        <v>23</v>
      </c>
      <c r="AA283" t="s">
        <v>23</v>
      </c>
      <c r="AB283" t="s">
        <v>23</v>
      </c>
      <c r="AC283" t="s">
        <v>23</v>
      </c>
      <c r="AD283" t="s">
        <v>23</v>
      </c>
      <c r="AE283" t="s">
        <v>23</v>
      </c>
      <c r="AF283" t="s">
        <v>23</v>
      </c>
      <c r="AG283" t="s">
        <v>23</v>
      </c>
      <c r="AH283" t="s">
        <v>23</v>
      </c>
      <c r="AI283" t="s">
        <v>23</v>
      </c>
      <c r="AJ283" t="s">
        <v>23</v>
      </c>
    </row>
    <row r="284" spans="1:36" x14ac:dyDescent="0.35">
      <c r="A284" s="2">
        <v>1282</v>
      </c>
      <c r="B284" s="4">
        <v>45282</v>
      </c>
      <c r="C284" s="1" t="s">
        <v>24</v>
      </c>
      <c r="D284" s="1" t="s">
        <v>25</v>
      </c>
      <c r="E284">
        <v>138629</v>
      </c>
      <c r="F284">
        <v>18</v>
      </c>
      <c r="G284" s="1" t="s">
        <v>39</v>
      </c>
      <c r="H284">
        <v>27732</v>
      </c>
      <c r="I284">
        <v>32695</v>
      </c>
      <c r="J284" s="1" t="s">
        <v>27</v>
      </c>
      <c r="K284" s="3">
        <v>1</v>
      </c>
      <c r="L284" s="1" t="s">
        <v>28</v>
      </c>
      <c r="M284" s="1" t="s">
        <v>37</v>
      </c>
      <c r="N284" s="3">
        <v>2024010123</v>
      </c>
      <c r="O284" s="3">
        <f t="shared" si="36"/>
        <v>1.23</v>
      </c>
      <c r="P284" s="6">
        <f t="shared" si="37"/>
        <v>170513.66999999998</v>
      </c>
      <c r="Q284" s="3" t="str">
        <f t="shared" si="38"/>
        <v>Excellent</v>
      </c>
      <c r="R284" s="3">
        <f t="shared" si="39"/>
        <v>4963</v>
      </c>
      <c r="S284" s="7">
        <f t="shared" si="40"/>
        <v>89334</v>
      </c>
      <c r="T284" s="3" t="str">
        <f t="shared" si="41"/>
        <v>High Profit</v>
      </c>
      <c r="U284" s="3" t="str">
        <f t="shared" si="42"/>
        <v>Low Discount</v>
      </c>
      <c r="V284" s="3" t="str">
        <f t="shared" si="43"/>
        <v>Priority C</v>
      </c>
      <c r="W284">
        <f t="shared" si="44"/>
        <v>20794.349999999999</v>
      </c>
      <c r="X284" t="s">
        <v>23</v>
      </c>
      <c r="Y284" t="s">
        <v>23</v>
      </c>
      <c r="Z284" t="s">
        <v>23</v>
      </c>
      <c r="AA284" t="s">
        <v>23</v>
      </c>
      <c r="AB284" t="s">
        <v>23</v>
      </c>
      <c r="AC284" t="s">
        <v>23</v>
      </c>
      <c r="AD284" t="s">
        <v>23</v>
      </c>
      <c r="AE284" t="s">
        <v>23</v>
      </c>
      <c r="AF284" t="s">
        <v>23</v>
      </c>
      <c r="AG284" t="s">
        <v>23</v>
      </c>
      <c r="AH284" t="s">
        <v>23</v>
      </c>
      <c r="AI284" t="s">
        <v>23</v>
      </c>
      <c r="AJ284" t="s">
        <v>23</v>
      </c>
    </row>
    <row r="285" spans="1:36" x14ac:dyDescent="0.35">
      <c r="A285" s="2">
        <v>1283</v>
      </c>
      <c r="B285" s="4">
        <v>44995</v>
      </c>
      <c r="C285" s="1" t="s">
        <v>30</v>
      </c>
      <c r="D285" s="1" t="s">
        <v>42</v>
      </c>
      <c r="E285">
        <v>742375</v>
      </c>
      <c r="F285">
        <v>18</v>
      </c>
      <c r="G285" s="1" t="s">
        <v>26</v>
      </c>
      <c r="H285">
        <v>24062</v>
      </c>
      <c r="I285">
        <v>28131</v>
      </c>
      <c r="J285" s="1" t="s">
        <v>33</v>
      </c>
      <c r="K285" s="3">
        <v>8</v>
      </c>
      <c r="L285" s="1" t="s">
        <v>36</v>
      </c>
      <c r="M285" s="1" t="s">
        <v>29</v>
      </c>
      <c r="N285" s="3">
        <v>2024010123</v>
      </c>
      <c r="O285" s="3">
        <f t="shared" si="36"/>
        <v>1.23</v>
      </c>
      <c r="P285" s="6">
        <f t="shared" si="37"/>
        <v>913121.25</v>
      </c>
      <c r="Q285" s="3" t="str">
        <f t="shared" si="38"/>
        <v>Excellent</v>
      </c>
      <c r="R285" s="3">
        <f t="shared" si="39"/>
        <v>4069</v>
      </c>
      <c r="S285" s="7">
        <f t="shared" si="40"/>
        <v>73242</v>
      </c>
      <c r="T285" s="3" t="str">
        <f t="shared" si="41"/>
        <v>High Profit</v>
      </c>
      <c r="U285" s="3" t="str">
        <f t="shared" si="42"/>
        <v>Medium Discount</v>
      </c>
      <c r="V285" s="3" t="str">
        <f t="shared" si="43"/>
        <v>Priority C</v>
      </c>
      <c r="W285">
        <f t="shared" si="44"/>
        <v>74237.5</v>
      </c>
      <c r="X285" t="s">
        <v>23</v>
      </c>
      <c r="Y285" t="s">
        <v>23</v>
      </c>
      <c r="Z285" t="s">
        <v>23</v>
      </c>
      <c r="AA285" t="s">
        <v>23</v>
      </c>
      <c r="AB285" t="s">
        <v>23</v>
      </c>
      <c r="AC285" t="s">
        <v>23</v>
      </c>
      <c r="AD285" t="s">
        <v>23</v>
      </c>
      <c r="AE285" t="s">
        <v>23</v>
      </c>
      <c r="AF285" t="s">
        <v>23</v>
      </c>
      <c r="AG285" t="s">
        <v>23</v>
      </c>
      <c r="AH285" t="s">
        <v>23</v>
      </c>
      <c r="AI285" t="s">
        <v>23</v>
      </c>
      <c r="AJ285" t="s">
        <v>23</v>
      </c>
    </row>
    <row r="286" spans="1:36" x14ac:dyDescent="0.35">
      <c r="A286" s="2">
        <v>1284</v>
      </c>
      <c r="B286" s="4">
        <v>45235</v>
      </c>
      <c r="C286" s="1" t="s">
        <v>34</v>
      </c>
      <c r="D286" s="1" t="s">
        <v>43</v>
      </c>
      <c r="E286">
        <v>255524</v>
      </c>
      <c r="F286">
        <v>10</v>
      </c>
      <c r="G286" s="1" t="s">
        <v>26</v>
      </c>
      <c r="H286">
        <v>23110</v>
      </c>
      <c r="I286">
        <v>30011</v>
      </c>
      <c r="J286" s="1" t="s">
        <v>27</v>
      </c>
      <c r="K286" s="3">
        <v>8</v>
      </c>
      <c r="L286" s="1" t="s">
        <v>28</v>
      </c>
      <c r="M286" s="1" t="s">
        <v>29</v>
      </c>
      <c r="N286" s="3">
        <v>2024010123</v>
      </c>
      <c r="O286" s="3">
        <f t="shared" si="36"/>
        <v>1.23</v>
      </c>
      <c r="P286" s="6">
        <f t="shared" si="37"/>
        <v>314294.52</v>
      </c>
      <c r="Q286" s="3" t="str">
        <f t="shared" si="38"/>
        <v>Excellent</v>
      </c>
      <c r="R286" s="3">
        <f t="shared" si="39"/>
        <v>6901</v>
      </c>
      <c r="S286" s="7">
        <f t="shared" si="40"/>
        <v>69010</v>
      </c>
      <c r="T286" s="3" t="str">
        <f t="shared" si="41"/>
        <v>High Profit</v>
      </c>
      <c r="U286" s="3" t="str">
        <f t="shared" si="42"/>
        <v>Medium Discount</v>
      </c>
      <c r="V286" s="3" t="str">
        <f t="shared" si="43"/>
        <v>Priority D</v>
      </c>
      <c r="W286">
        <f t="shared" si="44"/>
        <v>38328.6</v>
      </c>
      <c r="X286" t="s">
        <v>23</v>
      </c>
      <c r="Y286" t="s">
        <v>23</v>
      </c>
      <c r="Z286" t="s">
        <v>23</v>
      </c>
      <c r="AA286" t="s">
        <v>23</v>
      </c>
      <c r="AB286" t="s">
        <v>23</v>
      </c>
      <c r="AC286" t="s">
        <v>23</v>
      </c>
      <c r="AD286" t="s">
        <v>23</v>
      </c>
      <c r="AE286" t="s">
        <v>23</v>
      </c>
      <c r="AF286" t="s">
        <v>23</v>
      </c>
      <c r="AG286" t="s">
        <v>23</v>
      </c>
      <c r="AH286" t="s">
        <v>23</v>
      </c>
      <c r="AI286" t="s">
        <v>23</v>
      </c>
      <c r="AJ286" t="s">
        <v>23</v>
      </c>
    </row>
    <row r="287" spans="1:36" x14ac:dyDescent="0.35">
      <c r="A287" s="2">
        <v>1285</v>
      </c>
      <c r="B287" s="4">
        <v>45085</v>
      </c>
      <c r="C287" s="1" t="s">
        <v>24</v>
      </c>
      <c r="D287" s="1" t="s">
        <v>43</v>
      </c>
      <c r="E287">
        <v>475845</v>
      </c>
      <c r="F287">
        <v>18</v>
      </c>
      <c r="G287" s="1" t="s">
        <v>26</v>
      </c>
      <c r="H287">
        <v>42564</v>
      </c>
      <c r="I287">
        <v>47923</v>
      </c>
      <c r="J287" s="1" t="s">
        <v>33</v>
      </c>
      <c r="K287" s="3">
        <v>9</v>
      </c>
      <c r="L287" s="1" t="s">
        <v>36</v>
      </c>
      <c r="M287" s="1" t="s">
        <v>29</v>
      </c>
      <c r="N287" s="3">
        <v>2024010123</v>
      </c>
      <c r="O287" s="3">
        <f t="shared" si="36"/>
        <v>1.23</v>
      </c>
      <c r="P287" s="6">
        <f t="shared" si="37"/>
        <v>585289.35</v>
      </c>
      <c r="Q287" s="3" t="str">
        <f t="shared" si="38"/>
        <v>Excellent</v>
      </c>
      <c r="R287" s="3">
        <f t="shared" si="39"/>
        <v>5359</v>
      </c>
      <c r="S287" s="7">
        <f t="shared" si="40"/>
        <v>96462</v>
      </c>
      <c r="T287" s="3" t="str">
        <f t="shared" si="41"/>
        <v>High Profit</v>
      </c>
      <c r="U287" s="3" t="str">
        <f t="shared" si="42"/>
        <v>Medium Discount</v>
      </c>
      <c r="V287" s="3" t="str">
        <f t="shared" si="43"/>
        <v>Priority C</v>
      </c>
      <c r="W287">
        <f t="shared" si="44"/>
        <v>47584.5</v>
      </c>
      <c r="X287" t="s">
        <v>23</v>
      </c>
      <c r="Y287" t="s">
        <v>23</v>
      </c>
      <c r="Z287" t="s">
        <v>23</v>
      </c>
      <c r="AA287" t="s">
        <v>23</v>
      </c>
      <c r="AB287" t="s">
        <v>23</v>
      </c>
      <c r="AC287" t="s">
        <v>23</v>
      </c>
      <c r="AD287" t="s">
        <v>23</v>
      </c>
      <c r="AE287" t="s">
        <v>23</v>
      </c>
      <c r="AF287" t="s">
        <v>23</v>
      </c>
      <c r="AG287" t="s">
        <v>23</v>
      </c>
      <c r="AH287" t="s">
        <v>23</v>
      </c>
      <c r="AI287" t="s">
        <v>23</v>
      </c>
      <c r="AJ287" t="s">
        <v>23</v>
      </c>
    </row>
    <row r="288" spans="1:36" x14ac:dyDescent="0.35">
      <c r="A288" s="2">
        <v>1286</v>
      </c>
      <c r="B288" s="4">
        <v>45216</v>
      </c>
      <c r="C288" s="1" t="s">
        <v>38</v>
      </c>
      <c r="D288" s="1" t="s">
        <v>42</v>
      </c>
      <c r="E288">
        <v>608659</v>
      </c>
      <c r="F288">
        <v>11</v>
      </c>
      <c r="G288" s="1" t="s">
        <v>35</v>
      </c>
      <c r="H288">
        <v>40227</v>
      </c>
      <c r="I288">
        <v>44015</v>
      </c>
      <c r="J288" s="1" t="s">
        <v>33</v>
      </c>
      <c r="K288" s="3">
        <v>22</v>
      </c>
      <c r="L288" s="1" t="s">
        <v>28</v>
      </c>
      <c r="M288" s="1" t="s">
        <v>37</v>
      </c>
      <c r="N288" s="3">
        <v>2024010123</v>
      </c>
      <c r="O288" s="3">
        <f t="shared" si="36"/>
        <v>1.23</v>
      </c>
      <c r="P288" s="6">
        <f t="shared" si="37"/>
        <v>748650.57</v>
      </c>
      <c r="Q288" s="3" t="str">
        <f t="shared" si="38"/>
        <v>Excellent</v>
      </c>
      <c r="R288" s="3">
        <f t="shared" si="39"/>
        <v>3788</v>
      </c>
      <c r="S288" s="7">
        <f t="shared" si="40"/>
        <v>41668</v>
      </c>
      <c r="T288" s="3" t="str">
        <f t="shared" si="41"/>
        <v>High Profit</v>
      </c>
      <c r="U288" s="3" t="str">
        <f t="shared" si="42"/>
        <v>High Discount</v>
      </c>
      <c r="V288" s="3" t="str">
        <f t="shared" si="43"/>
        <v>Priority C</v>
      </c>
      <c r="W288">
        <f t="shared" si="44"/>
        <v>60865.9</v>
      </c>
      <c r="X288" t="s">
        <v>23</v>
      </c>
      <c r="Y288" t="s">
        <v>23</v>
      </c>
      <c r="Z288" t="s">
        <v>23</v>
      </c>
      <c r="AA288" t="s">
        <v>23</v>
      </c>
      <c r="AB288" t="s">
        <v>23</v>
      </c>
      <c r="AC288" t="s">
        <v>23</v>
      </c>
      <c r="AD288" t="s">
        <v>23</v>
      </c>
      <c r="AE288" t="s">
        <v>23</v>
      </c>
      <c r="AF288" t="s">
        <v>23</v>
      </c>
      <c r="AG288" t="s">
        <v>23</v>
      </c>
      <c r="AH288" t="s">
        <v>23</v>
      </c>
      <c r="AI288" t="s">
        <v>23</v>
      </c>
      <c r="AJ288" t="s">
        <v>23</v>
      </c>
    </row>
    <row r="289" spans="1:36" x14ac:dyDescent="0.35">
      <c r="A289" s="2">
        <v>1287</v>
      </c>
      <c r="B289" s="4">
        <v>45146</v>
      </c>
      <c r="C289" s="1" t="s">
        <v>41</v>
      </c>
      <c r="D289" s="1" t="s">
        <v>25</v>
      </c>
      <c r="E289">
        <v>840063</v>
      </c>
      <c r="F289">
        <v>18</v>
      </c>
      <c r="G289" s="1" t="s">
        <v>26</v>
      </c>
      <c r="H289">
        <v>27178</v>
      </c>
      <c r="I289">
        <v>34502</v>
      </c>
      <c r="J289" s="1" t="s">
        <v>27</v>
      </c>
      <c r="K289" s="3">
        <v>24</v>
      </c>
      <c r="L289" s="1" t="s">
        <v>36</v>
      </c>
      <c r="M289" s="1" t="s">
        <v>37</v>
      </c>
      <c r="N289" s="3">
        <v>2024010123</v>
      </c>
      <c r="O289" s="3">
        <f t="shared" si="36"/>
        <v>1.23</v>
      </c>
      <c r="P289" s="6">
        <f t="shared" si="37"/>
        <v>1033277.49</v>
      </c>
      <c r="Q289" s="3" t="str">
        <f t="shared" si="38"/>
        <v>Excellent</v>
      </c>
      <c r="R289" s="3">
        <f t="shared" si="39"/>
        <v>7324</v>
      </c>
      <c r="S289" s="7">
        <f t="shared" si="40"/>
        <v>131832</v>
      </c>
      <c r="T289" s="3" t="str">
        <f t="shared" si="41"/>
        <v>High Profit</v>
      </c>
      <c r="U289" s="3" t="str">
        <f t="shared" si="42"/>
        <v>High Discount</v>
      </c>
      <c r="V289" s="3" t="str">
        <f t="shared" si="43"/>
        <v>Priority C</v>
      </c>
      <c r="W289">
        <f t="shared" si="44"/>
        <v>126009.45</v>
      </c>
      <c r="X289" t="s">
        <v>23</v>
      </c>
      <c r="Y289" t="s">
        <v>23</v>
      </c>
      <c r="Z289" t="s">
        <v>23</v>
      </c>
      <c r="AA289" t="s">
        <v>23</v>
      </c>
      <c r="AB289" t="s">
        <v>23</v>
      </c>
      <c r="AC289" t="s">
        <v>23</v>
      </c>
      <c r="AD289" t="s">
        <v>23</v>
      </c>
      <c r="AE289" t="s">
        <v>23</v>
      </c>
      <c r="AF289" t="s">
        <v>23</v>
      </c>
      <c r="AG289" t="s">
        <v>23</v>
      </c>
      <c r="AH289" t="s">
        <v>23</v>
      </c>
      <c r="AI289" t="s">
        <v>23</v>
      </c>
      <c r="AJ289" t="s">
        <v>23</v>
      </c>
    </row>
    <row r="290" spans="1:36" x14ac:dyDescent="0.35">
      <c r="A290" s="2">
        <v>1288</v>
      </c>
      <c r="B290" s="4">
        <v>45163</v>
      </c>
      <c r="C290" s="1" t="s">
        <v>41</v>
      </c>
      <c r="D290" s="1" t="s">
        <v>43</v>
      </c>
      <c r="E290">
        <v>387641</v>
      </c>
      <c r="F290">
        <v>11</v>
      </c>
      <c r="G290" s="1" t="s">
        <v>26</v>
      </c>
      <c r="H290">
        <v>41303</v>
      </c>
      <c r="I290">
        <v>48728</v>
      </c>
      <c r="J290" s="1" t="s">
        <v>27</v>
      </c>
      <c r="K290" s="3">
        <v>22</v>
      </c>
      <c r="L290" s="1" t="s">
        <v>28</v>
      </c>
      <c r="M290" s="1" t="s">
        <v>29</v>
      </c>
      <c r="N290" s="3">
        <v>2024010123</v>
      </c>
      <c r="O290" s="3">
        <f t="shared" si="36"/>
        <v>1.23</v>
      </c>
      <c r="P290" s="6">
        <f t="shared" si="37"/>
        <v>476798.43</v>
      </c>
      <c r="Q290" s="3" t="str">
        <f t="shared" si="38"/>
        <v>Excellent</v>
      </c>
      <c r="R290" s="3">
        <f t="shared" si="39"/>
        <v>7425</v>
      </c>
      <c r="S290" s="7">
        <f t="shared" si="40"/>
        <v>81675</v>
      </c>
      <c r="T290" s="3" t="str">
        <f t="shared" si="41"/>
        <v>High Profit</v>
      </c>
      <c r="U290" s="3" t="str">
        <f t="shared" si="42"/>
        <v>High Discount</v>
      </c>
      <c r="V290" s="3" t="str">
        <f t="shared" si="43"/>
        <v>Priority D</v>
      </c>
      <c r="W290">
        <f t="shared" si="44"/>
        <v>58146.15</v>
      </c>
      <c r="X290" t="s">
        <v>23</v>
      </c>
      <c r="Y290" t="s">
        <v>23</v>
      </c>
      <c r="Z290" t="s">
        <v>23</v>
      </c>
      <c r="AA290" t="s">
        <v>23</v>
      </c>
      <c r="AB290" t="s">
        <v>23</v>
      </c>
      <c r="AC290" t="s">
        <v>23</v>
      </c>
      <c r="AD290" t="s">
        <v>23</v>
      </c>
      <c r="AE290" t="s">
        <v>23</v>
      </c>
      <c r="AF290" t="s">
        <v>23</v>
      </c>
      <c r="AG290" t="s">
        <v>23</v>
      </c>
      <c r="AH290" t="s">
        <v>23</v>
      </c>
      <c r="AI290" t="s">
        <v>23</v>
      </c>
      <c r="AJ290" t="s">
        <v>23</v>
      </c>
    </row>
    <row r="291" spans="1:36" x14ac:dyDescent="0.35">
      <c r="A291" s="2">
        <v>1289</v>
      </c>
      <c r="B291" s="4">
        <v>44980</v>
      </c>
      <c r="C291" s="1" t="s">
        <v>38</v>
      </c>
      <c r="D291" s="1" t="s">
        <v>31</v>
      </c>
      <c r="E291">
        <v>808522</v>
      </c>
      <c r="F291">
        <v>8</v>
      </c>
      <c r="G291" s="1" t="s">
        <v>35</v>
      </c>
      <c r="H291">
        <v>21570</v>
      </c>
      <c r="I291">
        <v>26153</v>
      </c>
      <c r="J291" s="1" t="s">
        <v>33</v>
      </c>
      <c r="K291" s="3">
        <v>25</v>
      </c>
      <c r="L291" s="1" t="s">
        <v>36</v>
      </c>
      <c r="M291" s="1" t="s">
        <v>37</v>
      </c>
      <c r="N291" s="3">
        <v>2024010123</v>
      </c>
      <c r="O291" s="3">
        <f t="shared" si="36"/>
        <v>1.23</v>
      </c>
      <c r="P291" s="6">
        <f t="shared" si="37"/>
        <v>994482.05999999994</v>
      </c>
      <c r="Q291" s="3" t="str">
        <f t="shared" si="38"/>
        <v>Excellent</v>
      </c>
      <c r="R291" s="3">
        <f t="shared" si="39"/>
        <v>4583</v>
      </c>
      <c r="S291" s="7">
        <f t="shared" si="40"/>
        <v>36664</v>
      </c>
      <c r="T291" s="3" t="str">
        <f t="shared" si="41"/>
        <v>High Profit</v>
      </c>
      <c r="U291" s="3" t="str">
        <f t="shared" si="42"/>
        <v>High Discount</v>
      </c>
      <c r="V291" s="3" t="str">
        <f t="shared" si="43"/>
        <v>Priority C</v>
      </c>
      <c r="W291">
        <f t="shared" si="44"/>
        <v>80852.200000000012</v>
      </c>
      <c r="X291" t="s">
        <v>23</v>
      </c>
      <c r="Y291" t="s">
        <v>23</v>
      </c>
      <c r="Z291" t="s">
        <v>23</v>
      </c>
      <c r="AA291" t="s">
        <v>23</v>
      </c>
      <c r="AB291" t="s">
        <v>23</v>
      </c>
      <c r="AC291" t="s">
        <v>23</v>
      </c>
      <c r="AD291" t="s">
        <v>23</v>
      </c>
      <c r="AE291" t="s">
        <v>23</v>
      </c>
      <c r="AF291" t="s">
        <v>23</v>
      </c>
      <c r="AG291" t="s">
        <v>23</v>
      </c>
      <c r="AH291" t="s">
        <v>23</v>
      </c>
      <c r="AI291" t="s">
        <v>23</v>
      </c>
      <c r="AJ291" t="s">
        <v>23</v>
      </c>
    </row>
    <row r="292" spans="1:36" x14ac:dyDescent="0.35">
      <c r="A292" s="2">
        <v>1290</v>
      </c>
      <c r="B292" s="4">
        <v>44931</v>
      </c>
      <c r="C292" s="1" t="s">
        <v>34</v>
      </c>
      <c r="D292" s="1" t="s">
        <v>31</v>
      </c>
      <c r="E292">
        <v>148035</v>
      </c>
      <c r="F292">
        <v>10</v>
      </c>
      <c r="G292" s="1" t="s">
        <v>35</v>
      </c>
      <c r="H292">
        <v>39033</v>
      </c>
      <c r="I292">
        <v>43528</v>
      </c>
      <c r="J292" s="1" t="s">
        <v>33</v>
      </c>
      <c r="K292" s="3">
        <v>0</v>
      </c>
      <c r="L292" s="1" t="s">
        <v>36</v>
      </c>
      <c r="M292" s="1" t="s">
        <v>29</v>
      </c>
      <c r="N292" s="3">
        <v>2024010123</v>
      </c>
      <c r="O292" s="3">
        <f t="shared" si="36"/>
        <v>1.23</v>
      </c>
      <c r="P292" s="6">
        <f t="shared" si="37"/>
        <v>182083.05</v>
      </c>
      <c r="Q292" s="3" t="str">
        <f t="shared" si="38"/>
        <v>Excellent</v>
      </c>
      <c r="R292" s="3">
        <f t="shared" si="39"/>
        <v>4495</v>
      </c>
      <c r="S292" s="7">
        <f t="shared" si="40"/>
        <v>44950</v>
      </c>
      <c r="T292" s="3" t="str">
        <f t="shared" si="41"/>
        <v>High Profit</v>
      </c>
      <c r="U292" s="3" t="str">
        <f t="shared" si="42"/>
        <v>No Discount</v>
      </c>
      <c r="V292" s="3" t="str">
        <f t="shared" si="43"/>
        <v>Priority D</v>
      </c>
      <c r="W292">
        <f t="shared" si="44"/>
        <v>14803.5</v>
      </c>
      <c r="X292" t="s">
        <v>23</v>
      </c>
      <c r="Y292" t="s">
        <v>23</v>
      </c>
      <c r="Z292" t="s">
        <v>23</v>
      </c>
      <c r="AA292" t="s">
        <v>23</v>
      </c>
      <c r="AB292" t="s">
        <v>23</v>
      </c>
      <c r="AC292" t="s">
        <v>23</v>
      </c>
      <c r="AD292" t="s">
        <v>23</v>
      </c>
      <c r="AE292" t="s">
        <v>23</v>
      </c>
      <c r="AF292" t="s">
        <v>23</v>
      </c>
      <c r="AG292" t="s">
        <v>23</v>
      </c>
      <c r="AH292" t="s">
        <v>23</v>
      </c>
      <c r="AI292" t="s">
        <v>23</v>
      </c>
      <c r="AJ292" t="s">
        <v>23</v>
      </c>
    </row>
    <row r="293" spans="1:36" x14ac:dyDescent="0.35">
      <c r="A293" s="2">
        <v>1291</v>
      </c>
      <c r="B293" s="4">
        <v>45010</v>
      </c>
      <c r="C293" s="1" t="s">
        <v>24</v>
      </c>
      <c r="D293" s="1" t="s">
        <v>42</v>
      </c>
      <c r="E293">
        <v>218990</v>
      </c>
      <c r="F293">
        <v>12</v>
      </c>
      <c r="G293" s="1" t="s">
        <v>39</v>
      </c>
      <c r="H293">
        <v>46144</v>
      </c>
      <c r="I293">
        <v>50618</v>
      </c>
      <c r="J293" s="1" t="s">
        <v>33</v>
      </c>
      <c r="K293" s="3">
        <v>2</v>
      </c>
      <c r="L293" s="1" t="s">
        <v>28</v>
      </c>
      <c r="M293" s="1" t="s">
        <v>37</v>
      </c>
      <c r="N293" s="3">
        <v>2024010123</v>
      </c>
      <c r="O293" s="3">
        <f t="shared" si="36"/>
        <v>1.23</v>
      </c>
      <c r="P293" s="6">
        <f t="shared" si="37"/>
        <v>269357.7</v>
      </c>
      <c r="Q293" s="3" t="str">
        <f t="shared" si="38"/>
        <v>Excellent</v>
      </c>
      <c r="R293" s="3">
        <f t="shared" si="39"/>
        <v>4474</v>
      </c>
      <c r="S293" s="7">
        <f t="shared" si="40"/>
        <v>53688</v>
      </c>
      <c r="T293" s="3" t="str">
        <f t="shared" si="41"/>
        <v>High Profit</v>
      </c>
      <c r="U293" s="3" t="str">
        <f t="shared" si="42"/>
        <v>Low Discount</v>
      </c>
      <c r="V293" s="3" t="str">
        <f t="shared" si="43"/>
        <v>Priority C</v>
      </c>
      <c r="W293">
        <f t="shared" si="44"/>
        <v>21899</v>
      </c>
      <c r="X293" t="s">
        <v>23</v>
      </c>
      <c r="Y293" t="s">
        <v>23</v>
      </c>
      <c r="Z293" t="s">
        <v>23</v>
      </c>
      <c r="AA293" t="s">
        <v>23</v>
      </c>
      <c r="AB293" t="s">
        <v>23</v>
      </c>
      <c r="AC293" t="s">
        <v>23</v>
      </c>
      <c r="AD293" t="s">
        <v>23</v>
      </c>
      <c r="AE293" t="s">
        <v>23</v>
      </c>
      <c r="AF293" t="s">
        <v>23</v>
      </c>
      <c r="AG293" t="s">
        <v>23</v>
      </c>
      <c r="AH293" t="s">
        <v>23</v>
      </c>
      <c r="AI293" t="s">
        <v>23</v>
      </c>
      <c r="AJ293" t="s">
        <v>23</v>
      </c>
    </row>
    <row r="294" spans="1:36" x14ac:dyDescent="0.35">
      <c r="A294" s="2">
        <v>1292</v>
      </c>
      <c r="B294" s="4">
        <v>44969</v>
      </c>
      <c r="C294" s="1" t="s">
        <v>24</v>
      </c>
      <c r="D294" s="1" t="s">
        <v>42</v>
      </c>
      <c r="E294">
        <v>478953</v>
      </c>
      <c r="F294">
        <v>12</v>
      </c>
      <c r="G294" s="1" t="s">
        <v>26</v>
      </c>
      <c r="H294">
        <v>56648</v>
      </c>
      <c r="I294">
        <v>58953</v>
      </c>
      <c r="J294" s="1" t="s">
        <v>33</v>
      </c>
      <c r="K294" s="3">
        <v>2</v>
      </c>
      <c r="L294" s="1" t="s">
        <v>40</v>
      </c>
      <c r="M294" s="1" t="s">
        <v>29</v>
      </c>
      <c r="N294" s="3">
        <v>2024010123</v>
      </c>
      <c r="O294" s="3">
        <f t="shared" si="36"/>
        <v>1.23</v>
      </c>
      <c r="P294" s="6">
        <f t="shared" si="37"/>
        <v>589112.18999999994</v>
      </c>
      <c r="Q294" s="3" t="str">
        <f t="shared" si="38"/>
        <v>Excellent</v>
      </c>
      <c r="R294" s="3">
        <f t="shared" si="39"/>
        <v>2305</v>
      </c>
      <c r="S294" s="7">
        <f t="shared" si="40"/>
        <v>27660</v>
      </c>
      <c r="T294" s="3" t="str">
        <f t="shared" si="41"/>
        <v>High Profit</v>
      </c>
      <c r="U294" s="3" t="str">
        <f t="shared" si="42"/>
        <v>Low Discount</v>
      </c>
      <c r="V294" s="3" t="str">
        <f t="shared" si="43"/>
        <v>Priority D</v>
      </c>
      <c r="W294">
        <f t="shared" si="44"/>
        <v>47895.3</v>
      </c>
      <c r="X294" t="s">
        <v>23</v>
      </c>
      <c r="Y294" t="s">
        <v>23</v>
      </c>
      <c r="Z294" t="s">
        <v>23</v>
      </c>
      <c r="AA294" t="s">
        <v>23</v>
      </c>
      <c r="AB294" t="s">
        <v>23</v>
      </c>
      <c r="AC294" t="s">
        <v>23</v>
      </c>
      <c r="AD294" t="s">
        <v>23</v>
      </c>
      <c r="AE294" t="s">
        <v>23</v>
      </c>
      <c r="AF294" t="s">
        <v>23</v>
      </c>
      <c r="AG294" t="s">
        <v>23</v>
      </c>
      <c r="AH294" t="s">
        <v>23</v>
      </c>
      <c r="AI294" t="s">
        <v>23</v>
      </c>
      <c r="AJ294" t="s">
        <v>23</v>
      </c>
    </row>
    <row r="295" spans="1:36" x14ac:dyDescent="0.35">
      <c r="A295" s="2">
        <v>1293</v>
      </c>
      <c r="B295" s="4">
        <v>44953</v>
      </c>
      <c r="C295" s="1" t="s">
        <v>30</v>
      </c>
      <c r="D295" s="1" t="s">
        <v>42</v>
      </c>
      <c r="E295">
        <v>190785</v>
      </c>
      <c r="F295">
        <v>11</v>
      </c>
      <c r="G295" s="1" t="s">
        <v>35</v>
      </c>
      <c r="H295">
        <v>35045</v>
      </c>
      <c r="I295">
        <v>37129</v>
      </c>
      <c r="J295" s="1" t="s">
        <v>27</v>
      </c>
      <c r="K295" s="3">
        <v>6</v>
      </c>
      <c r="L295" s="1" t="s">
        <v>28</v>
      </c>
      <c r="M295" s="1" t="s">
        <v>29</v>
      </c>
      <c r="N295" s="3">
        <v>2024010123</v>
      </c>
      <c r="O295" s="3">
        <f t="shared" si="36"/>
        <v>1.23</v>
      </c>
      <c r="P295" s="6">
        <f t="shared" si="37"/>
        <v>234665.55</v>
      </c>
      <c r="Q295" s="3" t="str">
        <f t="shared" si="38"/>
        <v>Excellent</v>
      </c>
      <c r="R295" s="3">
        <f t="shared" si="39"/>
        <v>2084</v>
      </c>
      <c r="S295" s="7">
        <f t="shared" si="40"/>
        <v>22924</v>
      </c>
      <c r="T295" s="3" t="str">
        <f t="shared" si="41"/>
        <v>High Profit</v>
      </c>
      <c r="U295" s="3" t="str">
        <f t="shared" si="42"/>
        <v>Medium Discount</v>
      </c>
      <c r="V295" s="3" t="str">
        <f t="shared" si="43"/>
        <v>Priority D</v>
      </c>
      <c r="W295">
        <f t="shared" si="44"/>
        <v>28617.75</v>
      </c>
      <c r="X295" t="s">
        <v>23</v>
      </c>
      <c r="Y295" t="s">
        <v>23</v>
      </c>
      <c r="Z295" t="s">
        <v>23</v>
      </c>
      <c r="AA295" t="s">
        <v>23</v>
      </c>
      <c r="AB295" t="s">
        <v>23</v>
      </c>
      <c r="AC295" t="s">
        <v>23</v>
      </c>
      <c r="AD295" t="s">
        <v>23</v>
      </c>
      <c r="AE295" t="s">
        <v>23</v>
      </c>
      <c r="AF295" t="s">
        <v>23</v>
      </c>
      <c r="AG295" t="s">
        <v>23</v>
      </c>
      <c r="AH295" t="s">
        <v>23</v>
      </c>
      <c r="AI295" t="s">
        <v>23</v>
      </c>
      <c r="AJ295" t="s">
        <v>23</v>
      </c>
    </row>
    <row r="296" spans="1:36" x14ac:dyDescent="0.35">
      <c r="A296" s="2">
        <v>1294</v>
      </c>
      <c r="B296" s="4">
        <v>44997</v>
      </c>
      <c r="C296" s="1" t="s">
        <v>41</v>
      </c>
      <c r="D296" s="1" t="s">
        <v>31</v>
      </c>
      <c r="E296">
        <v>943257</v>
      </c>
      <c r="F296">
        <v>12</v>
      </c>
      <c r="G296" s="1" t="s">
        <v>39</v>
      </c>
      <c r="H296">
        <v>34537</v>
      </c>
      <c r="I296">
        <v>37986</v>
      </c>
      <c r="J296" s="1" t="s">
        <v>27</v>
      </c>
      <c r="K296" s="3">
        <v>13</v>
      </c>
      <c r="L296" s="1" t="s">
        <v>40</v>
      </c>
      <c r="M296" s="1" t="s">
        <v>37</v>
      </c>
      <c r="N296" s="3">
        <v>2024010123</v>
      </c>
      <c r="O296" s="3">
        <f t="shared" si="36"/>
        <v>1.23</v>
      </c>
      <c r="P296" s="6">
        <f t="shared" si="37"/>
        <v>1160206.1099999999</v>
      </c>
      <c r="Q296" s="3" t="str">
        <f t="shared" si="38"/>
        <v>Excellent</v>
      </c>
      <c r="R296" s="3">
        <f t="shared" si="39"/>
        <v>3449</v>
      </c>
      <c r="S296" s="7">
        <f t="shared" si="40"/>
        <v>41388</v>
      </c>
      <c r="T296" s="3" t="str">
        <f t="shared" si="41"/>
        <v>High Profit</v>
      </c>
      <c r="U296" s="3" t="str">
        <f t="shared" si="42"/>
        <v>Medium Discount</v>
      </c>
      <c r="V296" s="3" t="str">
        <f t="shared" si="43"/>
        <v>Priority C</v>
      </c>
      <c r="W296">
        <f t="shared" si="44"/>
        <v>141488.54999999999</v>
      </c>
      <c r="X296" t="s">
        <v>23</v>
      </c>
      <c r="Y296" t="s">
        <v>23</v>
      </c>
      <c r="Z296" t="s">
        <v>23</v>
      </c>
      <c r="AA296" t="s">
        <v>23</v>
      </c>
      <c r="AB296" t="s">
        <v>23</v>
      </c>
      <c r="AC296" t="s">
        <v>23</v>
      </c>
      <c r="AD296" t="s">
        <v>23</v>
      </c>
      <c r="AE296" t="s">
        <v>23</v>
      </c>
      <c r="AF296" t="s">
        <v>23</v>
      </c>
      <c r="AG296" t="s">
        <v>23</v>
      </c>
      <c r="AH296" t="s">
        <v>23</v>
      </c>
      <c r="AI296" t="s">
        <v>23</v>
      </c>
      <c r="AJ296" t="s">
        <v>23</v>
      </c>
    </row>
    <row r="297" spans="1:36" x14ac:dyDescent="0.35">
      <c r="A297" s="2">
        <v>1295</v>
      </c>
      <c r="B297" s="4">
        <v>45196</v>
      </c>
      <c r="C297" s="1" t="s">
        <v>24</v>
      </c>
      <c r="D297" s="1" t="s">
        <v>25</v>
      </c>
      <c r="E297">
        <v>297519</v>
      </c>
      <c r="F297">
        <v>10</v>
      </c>
      <c r="G297" s="1" t="s">
        <v>39</v>
      </c>
      <c r="H297">
        <v>37705</v>
      </c>
      <c r="I297">
        <v>39642</v>
      </c>
      <c r="J297" s="1" t="s">
        <v>33</v>
      </c>
      <c r="K297" s="3">
        <v>6</v>
      </c>
      <c r="L297" s="1" t="s">
        <v>28</v>
      </c>
      <c r="M297" s="1" t="s">
        <v>29</v>
      </c>
      <c r="N297" s="3">
        <v>2024010123</v>
      </c>
      <c r="O297" s="3">
        <f t="shared" si="36"/>
        <v>1.23</v>
      </c>
      <c r="P297" s="6">
        <f t="shared" si="37"/>
        <v>365948.37</v>
      </c>
      <c r="Q297" s="3" t="str">
        <f t="shared" si="38"/>
        <v>Excellent</v>
      </c>
      <c r="R297" s="3">
        <f t="shared" si="39"/>
        <v>1937</v>
      </c>
      <c r="S297" s="7">
        <f t="shared" si="40"/>
        <v>19370</v>
      </c>
      <c r="T297" s="3" t="str">
        <f t="shared" si="41"/>
        <v>High Profit</v>
      </c>
      <c r="U297" s="3" t="str">
        <f t="shared" si="42"/>
        <v>Medium Discount</v>
      </c>
      <c r="V297" s="3" t="str">
        <f t="shared" si="43"/>
        <v>Priority D</v>
      </c>
      <c r="W297">
        <f t="shared" si="44"/>
        <v>29751.9</v>
      </c>
      <c r="X297" t="s">
        <v>23</v>
      </c>
      <c r="Y297" t="s">
        <v>23</v>
      </c>
      <c r="Z297" t="s">
        <v>23</v>
      </c>
      <c r="AA297" t="s">
        <v>23</v>
      </c>
      <c r="AB297" t="s">
        <v>23</v>
      </c>
      <c r="AC297" t="s">
        <v>23</v>
      </c>
      <c r="AD297" t="s">
        <v>23</v>
      </c>
      <c r="AE297" t="s">
        <v>23</v>
      </c>
      <c r="AF297" t="s">
        <v>23</v>
      </c>
      <c r="AG297" t="s">
        <v>23</v>
      </c>
      <c r="AH297" t="s">
        <v>23</v>
      </c>
      <c r="AI297" t="s">
        <v>23</v>
      </c>
      <c r="AJ297" t="s">
        <v>23</v>
      </c>
    </row>
    <row r="298" spans="1:36" x14ac:dyDescent="0.35">
      <c r="A298" s="2">
        <v>1296</v>
      </c>
      <c r="B298" s="4">
        <v>44934</v>
      </c>
      <c r="C298" s="1" t="s">
        <v>38</v>
      </c>
      <c r="D298" s="1" t="s">
        <v>42</v>
      </c>
      <c r="E298">
        <v>148442</v>
      </c>
      <c r="F298">
        <v>9</v>
      </c>
      <c r="G298" s="1" t="s">
        <v>32</v>
      </c>
      <c r="H298">
        <v>20883</v>
      </c>
      <c r="I298">
        <v>25296</v>
      </c>
      <c r="J298" s="1" t="s">
        <v>33</v>
      </c>
      <c r="K298" s="3">
        <v>23</v>
      </c>
      <c r="L298" s="1" t="s">
        <v>40</v>
      </c>
      <c r="M298" s="1" t="s">
        <v>29</v>
      </c>
      <c r="N298" s="3">
        <v>2024010123</v>
      </c>
      <c r="O298" s="3">
        <f t="shared" si="36"/>
        <v>1.23</v>
      </c>
      <c r="P298" s="6">
        <f t="shared" si="37"/>
        <v>182583.66</v>
      </c>
      <c r="Q298" s="3" t="str">
        <f t="shared" si="38"/>
        <v>Excellent</v>
      </c>
      <c r="R298" s="3">
        <f t="shared" si="39"/>
        <v>4413</v>
      </c>
      <c r="S298" s="7">
        <f t="shared" si="40"/>
        <v>39717</v>
      </c>
      <c r="T298" s="3" t="str">
        <f t="shared" si="41"/>
        <v>High Profit</v>
      </c>
      <c r="U298" s="3" t="str">
        <f t="shared" si="42"/>
        <v>High Discount</v>
      </c>
      <c r="V298" s="3" t="str">
        <f t="shared" si="43"/>
        <v>Priority D</v>
      </c>
      <c r="W298">
        <f t="shared" si="44"/>
        <v>14844.2</v>
      </c>
      <c r="X298" t="s">
        <v>23</v>
      </c>
      <c r="Y298" t="s">
        <v>23</v>
      </c>
      <c r="Z298" t="s">
        <v>23</v>
      </c>
      <c r="AA298" t="s">
        <v>23</v>
      </c>
      <c r="AB298" t="s">
        <v>23</v>
      </c>
      <c r="AC298" t="s">
        <v>23</v>
      </c>
      <c r="AD298" t="s">
        <v>23</v>
      </c>
      <c r="AE298" t="s">
        <v>23</v>
      </c>
      <c r="AF298" t="s">
        <v>23</v>
      </c>
      <c r="AG298" t="s">
        <v>23</v>
      </c>
      <c r="AH298" t="s">
        <v>23</v>
      </c>
      <c r="AI298" t="s">
        <v>23</v>
      </c>
      <c r="AJ298" t="s">
        <v>23</v>
      </c>
    </row>
    <row r="299" spans="1:36" x14ac:dyDescent="0.35">
      <c r="A299" s="2">
        <v>1297</v>
      </c>
      <c r="B299" s="4">
        <v>45284</v>
      </c>
      <c r="C299" s="1" t="s">
        <v>38</v>
      </c>
      <c r="D299" s="1" t="s">
        <v>42</v>
      </c>
      <c r="E299">
        <v>570898</v>
      </c>
      <c r="F299">
        <v>4</v>
      </c>
      <c r="G299" s="1" t="s">
        <v>32</v>
      </c>
      <c r="H299">
        <v>50684</v>
      </c>
      <c r="I299">
        <v>54856</v>
      </c>
      <c r="J299" s="1" t="s">
        <v>33</v>
      </c>
      <c r="K299" s="3">
        <v>19</v>
      </c>
      <c r="L299" s="1" t="s">
        <v>40</v>
      </c>
      <c r="M299" s="1" t="s">
        <v>37</v>
      </c>
      <c r="N299" s="3">
        <v>2024010123</v>
      </c>
      <c r="O299" s="3">
        <f t="shared" si="36"/>
        <v>1.23</v>
      </c>
      <c r="P299" s="6">
        <f t="shared" si="37"/>
        <v>702204.54</v>
      </c>
      <c r="Q299" s="3" t="str">
        <f t="shared" si="38"/>
        <v>Excellent</v>
      </c>
      <c r="R299" s="3">
        <f t="shared" si="39"/>
        <v>4172</v>
      </c>
      <c r="S299" s="7">
        <f t="shared" si="40"/>
        <v>16688</v>
      </c>
      <c r="T299" s="3" t="str">
        <f t="shared" si="41"/>
        <v>High Profit</v>
      </c>
      <c r="U299" s="3" t="str">
        <f t="shared" si="42"/>
        <v>High Discount</v>
      </c>
      <c r="V299" s="3" t="str">
        <f t="shared" si="43"/>
        <v>Priority C</v>
      </c>
      <c r="W299">
        <f t="shared" si="44"/>
        <v>57089.8</v>
      </c>
      <c r="X299" t="s">
        <v>23</v>
      </c>
      <c r="Y299" t="s">
        <v>23</v>
      </c>
      <c r="Z299" t="s">
        <v>23</v>
      </c>
      <c r="AA299" t="s">
        <v>23</v>
      </c>
      <c r="AB299" t="s">
        <v>23</v>
      </c>
      <c r="AC299" t="s">
        <v>23</v>
      </c>
      <c r="AD299" t="s">
        <v>23</v>
      </c>
      <c r="AE299" t="s">
        <v>23</v>
      </c>
      <c r="AF299" t="s">
        <v>23</v>
      </c>
      <c r="AG299" t="s">
        <v>23</v>
      </c>
      <c r="AH299" t="s">
        <v>23</v>
      </c>
      <c r="AI299" t="s">
        <v>23</v>
      </c>
      <c r="AJ299" t="s">
        <v>23</v>
      </c>
    </row>
    <row r="300" spans="1:36" x14ac:dyDescent="0.35">
      <c r="A300" s="2">
        <v>1298</v>
      </c>
      <c r="B300" s="4">
        <v>44997</v>
      </c>
      <c r="C300" s="1" t="s">
        <v>41</v>
      </c>
      <c r="D300" s="1" t="s">
        <v>42</v>
      </c>
      <c r="E300">
        <v>757439</v>
      </c>
      <c r="F300">
        <v>12</v>
      </c>
      <c r="G300" s="1" t="s">
        <v>35</v>
      </c>
      <c r="H300">
        <v>55097</v>
      </c>
      <c r="I300">
        <v>58203</v>
      </c>
      <c r="J300" s="1" t="s">
        <v>27</v>
      </c>
      <c r="K300" s="3">
        <v>16</v>
      </c>
      <c r="L300" s="1" t="s">
        <v>40</v>
      </c>
      <c r="M300" s="1" t="s">
        <v>29</v>
      </c>
      <c r="N300" s="3">
        <v>2024010123</v>
      </c>
      <c r="O300" s="3">
        <f t="shared" si="36"/>
        <v>1.23</v>
      </c>
      <c r="P300" s="6">
        <f t="shared" si="37"/>
        <v>931649.97</v>
      </c>
      <c r="Q300" s="3" t="str">
        <f t="shared" si="38"/>
        <v>Excellent</v>
      </c>
      <c r="R300" s="3">
        <f t="shared" si="39"/>
        <v>3106</v>
      </c>
      <c r="S300" s="7">
        <f t="shared" si="40"/>
        <v>37272</v>
      </c>
      <c r="T300" s="3" t="str">
        <f t="shared" si="41"/>
        <v>High Profit</v>
      </c>
      <c r="U300" s="3" t="str">
        <f t="shared" si="42"/>
        <v>High Discount</v>
      </c>
      <c r="V300" s="3" t="str">
        <f t="shared" si="43"/>
        <v>Priority D</v>
      </c>
      <c r="W300">
        <f t="shared" si="44"/>
        <v>113615.84999999999</v>
      </c>
      <c r="X300" t="s">
        <v>23</v>
      </c>
      <c r="Y300" t="s">
        <v>23</v>
      </c>
      <c r="Z300" t="s">
        <v>23</v>
      </c>
      <c r="AA300" t="s">
        <v>23</v>
      </c>
      <c r="AB300" t="s">
        <v>23</v>
      </c>
      <c r="AC300" t="s">
        <v>23</v>
      </c>
      <c r="AD300" t="s">
        <v>23</v>
      </c>
      <c r="AE300" t="s">
        <v>23</v>
      </c>
      <c r="AF300" t="s">
        <v>23</v>
      </c>
      <c r="AG300" t="s">
        <v>23</v>
      </c>
      <c r="AH300" t="s">
        <v>23</v>
      </c>
      <c r="AI300" t="s">
        <v>23</v>
      </c>
      <c r="AJ300" t="s">
        <v>23</v>
      </c>
    </row>
    <row r="301" spans="1:36" x14ac:dyDescent="0.35">
      <c r="A301" s="2">
        <v>1299</v>
      </c>
      <c r="B301" s="4">
        <v>44991</v>
      </c>
      <c r="C301" s="1" t="s">
        <v>34</v>
      </c>
      <c r="D301" s="1" t="s">
        <v>25</v>
      </c>
      <c r="E301">
        <v>280449</v>
      </c>
      <c r="F301">
        <v>12</v>
      </c>
      <c r="G301" s="1" t="s">
        <v>35</v>
      </c>
      <c r="H301">
        <v>22154</v>
      </c>
      <c r="I301">
        <v>26120</v>
      </c>
      <c r="J301" s="1" t="s">
        <v>33</v>
      </c>
      <c r="K301" s="3">
        <v>26</v>
      </c>
      <c r="L301" s="1" t="s">
        <v>40</v>
      </c>
      <c r="M301" s="1" t="s">
        <v>37</v>
      </c>
      <c r="N301" s="3">
        <v>2024010123</v>
      </c>
      <c r="O301" s="3">
        <f t="shared" si="36"/>
        <v>1.23</v>
      </c>
      <c r="P301" s="6">
        <f t="shared" si="37"/>
        <v>344952.27</v>
      </c>
      <c r="Q301" s="3" t="str">
        <f t="shared" si="38"/>
        <v>Excellent</v>
      </c>
      <c r="R301" s="3">
        <f t="shared" si="39"/>
        <v>3966</v>
      </c>
      <c r="S301" s="7">
        <f t="shared" si="40"/>
        <v>47592</v>
      </c>
      <c r="T301" s="3" t="str">
        <f t="shared" si="41"/>
        <v>High Profit</v>
      </c>
      <c r="U301" s="3" t="str">
        <f t="shared" si="42"/>
        <v>High Discount</v>
      </c>
      <c r="V301" s="3" t="str">
        <f t="shared" si="43"/>
        <v>Priority C</v>
      </c>
      <c r="W301">
        <f t="shared" si="44"/>
        <v>28044.9</v>
      </c>
      <c r="X301" t="s">
        <v>23</v>
      </c>
      <c r="Y301" t="s">
        <v>23</v>
      </c>
      <c r="Z301" t="s">
        <v>23</v>
      </c>
      <c r="AA301" t="s">
        <v>23</v>
      </c>
      <c r="AB301" t="s">
        <v>23</v>
      </c>
      <c r="AC301" t="s">
        <v>23</v>
      </c>
      <c r="AD301" t="s">
        <v>23</v>
      </c>
      <c r="AE301" t="s">
        <v>23</v>
      </c>
      <c r="AF301" t="s">
        <v>23</v>
      </c>
      <c r="AG301" t="s">
        <v>23</v>
      </c>
      <c r="AH301" t="s">
        <v>23</v>
      </c>
      <c r="AI301" t="s">
        <v>23</v>
      </c>
      <c r="AJ301" t="s">
        <v>23</v>
      </c>
    </row>
    <row r="302" spans="1:36" x14ac:dyDescent="0.35">
      <c r="A302" s="2">
        <v>1300</v>
      </c>
      <c r="B302" s="4">
        <v>45126</v>
      </c>
      <c r="C302" s="1" t="s">
        <v>34</v>
      </c>
      <c r="D302" s="1" t="s">
        <v>42</v>
      </c>
      <c r="E302">
        <v>784546</v>
      </c>
      <c r="F302">
        <v>12</v>
      </c>
      <c r="G302" s="1" t="s">
        <v>39</v>
      </c>
      <c r="H302">
        <v>12000</v>
      </c>
      <c r="I302">
        <v>23000</v>
      </c>
      <c r="J302" s="1" t="s">
        <v>27</v>
      </c>
      <c r="K302" s="3">
        <v>0</v>
      </c>
      <c r="L302" s="1" t="s">
        <v>40</v>
      </c>
      <c r="M302" s="1" t="s">
        <v>37</v>
      </c>
      <c r="N302" s="3">
        <v>2024010123</v>
      </c>
      <c r="O302" s="3">
        <f t="shared" si="36"/>
        <v>1.23</v>
      </c>
      <c r="P302" s="6">
        <f t="shared" si="37"/>
        <v>964991.58</v>
      </c>
      <c r="Q302" s="3" t="str">
        <f t="shared" si="38"/>
        <v>Excellent</v>
      </c>
      <c r="R302" s="3">
        <f t="shared" si="39"/>
        <v>11000</v>
      </c>
      <c r="S302" s="7">
        <f t="shared" si="40"/>
        <v>132000</v>
      </c>
      <c r="T302" s="3" t="str">
        <f t="shared" si="41"/>
        <v>High Profit</v>
      </c>
      <c r="U302" s="3" t="str">
        <f t="shared" si="42"/>
        <v>No Discount</v>
      </c>
      <c r="V302" s="3" t="str">
        <f t="shared" si="43"/>
        <v>Priority C</v>
      </c>
      <c r="W302">
        <f t="shared" si="44"/>
        <v>117681.9</v>
      </c>
      <c r="X302" t="s">
        <v>23</v>
      </c>
      <c r="Y302" t="s">
        <v>23</v>
      </c>
      <c r="Z302" t="s">
        <v>23</v>
      </c>
      <c r="AA302" t="s">
        <v>23</v>
      </c>
      <c r="AB302" t="s">
        <v>23</v>
      </c>
      <c r="AC302" t="s">
        <v>23</v>
      </c>
      <c r="AD302" t="s">
        <v>23</v>
      </c>
      <c r="AE302" t="s">
        <v>23</v>
      </c>
      <c r="AF302" t="s">
        <v>23</v>
      </c>
      <c r="AG302" t="s">
        <v>23</v>
      </c>
      <c r="AH302" t="s">
        <v>23</v>
      </c>
      <c r="AI302" t="s">
        <v>23</v>
      </c>
      <c r="AJ302" t="s">
        <v>23</v>
      </c>
    </row>
    <row r="303" spans="1:36" x14ac:dyDescent="0.35">
      <c r="A303" s="2">
        <v>1301</v>
      </c>
      <c r="B303" s="4">
        <v>44962</v>
      </c>
      <c r="C303" s="1" t="s">
        <v>41</v>
      </c>
      <c r="D303" s="1" t="s">
        <v>43</v>
      </c>
      <c r="E303">
        <v>872647</v>
      </c>
      <c r="F303">
        <v>19</v>
      </c>
      <c r="G303" s="1" t="s">
        <v>35</v>
      </c>
      <c r="H303">
        <v>13796</v>
      </c>
      <c r="I303">
        <v>22576</v>
      </c>
      <c r="J303" s="1" t="s">
        <v>27</v>
      </c>
      <c r="K303" s="3">
        <v>1</v>
      </c>
      <c r="L303" s="1" t="s">
        <v>40</v>
      </c>
      <c r="M303" s="1" t="s">
        <v>29</v>
      </c>
      <c r="N303" s="3">
        <v>2024010123</v>
      </c>
      <c r="O303" s="3">
        <f t="shared" si="36"/>
        <v>1.23</v>
      </c>
      <c r="P303" s="6">
        <f t="shared" si="37"/>
        <v>1073355.81</v>
      </c>
      <c r="Q303" s="3" t="str">
        <f t="shared" si="38"/>
        <v>Excellent</v>
      </c>
      <c r="R303" s="3">
        <f t="shared" si="39"/>
        <v>8780</v>
      </c>
      <c r="S303" s="7">
        <f t="shared" si="40"/>
        <v>166820</v>
      </c>
      <c r="T303" s="3" t="str">
        <f t="shared" si="41"/>
        <v>High Profit</v>
      </c>
      <c r="U303" s="3" t="str">
        <f t="shared" si="42"/>
        <v>Low Discount</v>
      </c>
      <c r="V303" s="3" t="str">
        <f t="shared" si="43"/>
        <v>Priority C</v>
      </c>
      <c r="W303">
        <f t="shared" si="44"/>
        <v>130897.04999999999</v>
      </c>
      <c r="X303" t="s">
        <v>23</v>
      </c>
      <c r="Y303" t="s">
        <v>23</v>
      </c>
      <c r="Z303" t="s">
        <v>23</v>
      </c>
      <c r="AA303" t="s">
        <v>23</v>
      </c>
      <c r="AB303" t="s">
        <v>23</v>
      </c>
      <c r="AC303" t="s">
        <v>23</v>
      </c>
      <c r="AD303" t="s">
        <v>23</v>
      </c>
      <c r="AE303" t="s">
        <v>23</v>
      </c>
      <c r="AF303" t="s">
        <v>23</v>
      </c>
      <c r="AG303" t="s">
        <v>23</v>
      </c>
      <c r="AH303" t="s">
        <v>23</v>
      </c>
      <c r="AI303" t="s">
        <v>23</v>
      </c>
      <c r="AJ303" t="s">
        <v>23</v>
      </c>
    </row>
    <row r="304" spans="1:36" x14ac:dyDescent="0.35">
      <c r="A304" s="2">
        <v>1302</v>
      </c>
      <c r="B304" s="4">
        <v>45031</v>
      </c>
      <c r="C304" s="1" t="s">
        <v>41</v>
      </c>
      <c r="D304" s="1" t="s">
        <v>31</v>
      </c>
      <c r="E304">
        <v>172389</v>
      </c>
      <c r="F304">
        <v>31</v>
      </c>
      <c r="G304" s="1" t="s">
        <v>39</v>
      </c>
      <c r="H304">
        <v>21055</v>
      </c>
      <c r="I304">
        <v>27494</v>
      </c>
      <c r="J304" s="1" t="s">
        <v>27</v>
      </c>
      <c r="K304" s="3">
        <v>2</v>
      </c>
      <c r="L304" s="1" t="s">
        <v>28</v>
      </c>
      <c r="M304" s="1" t="s">
        <v>37</v>
      </c>
      <c r="N304" s="3">
        <v>2024010123</v>
      </c>
      <c r="O304" s="3">
        <f t="shared" si="36"/>
        <v>1.23</v>
      </c>
      <c r="P304" s="6">
        <f t="shared" si="37"/>
        <v>212038.47</v>
      </c>
      <c r="Q304" s="3" t="str">
        <f t="shared" si="38"/>
        <v>Excellent</v>
      </c>
      <c r="R304" s="3">
        <f t="shared" si="39"/>
        <v>6439</v>
      </c>
      <c r="S304" s="7">
        <f t="shared" si="40"/>
        <v>199609</v>
      </c>
      <c r="T304" s="3" t="str">
        <f t="shared" si="41"/>
        <v>High Profit</v>
      </c>
      <c r="U304" s="3" t="str">
        <f t="shared" si="42"/>
        <v>Low Discount</v>
      </c>
      <c r="V304" s="3" t="str">
        <f t="shared" si="43"/>
        <v>Priority A</v>
      </c>
      <c r="W304">
        <f t="shared" si="44"/>
        <v>25858.35</v>
      </c>
      <c r="X304" t="s">
        <v>23</v>
      </c>
      <c r="Y304" t="s">
        <v>23</v>
      </c>
      <c r="Z304" t="s">
        <v>23</v>
      </c>
      <c r="AA304" t="s">
        <v>23</v>
      </c>
      <c r="AB304" t="s">
        <v>23</v>
      </c>
      <c r="AC304" t="s">
        <v>23</v>
      </c>
      <c r="AD304" t="s">
        <v>23</v>
      </c>
      <c r="AE304" t="s">
        <v>23</v>
      </c>
      <c r="AF304" t="s">
        <v>23</v>
      </c>
      <c r="AG304" t="s">
        <v>23</v>
      </c>
      <c r="AH304" t="s">
        <v>23</v>
      </c>
      <c r="AI304" t="s">
        <v>23</v>
      </c>
      <c r="AJ304" t="s">
        <v>23</v>
      </c>
    </row>
    <row r="305" spans="1:36" x14ac:dyDescent="0.35">
      <c r="A305" s="2">
        <v>1303</v>
      </c>
      <c r="B305" s="4">
        <v>45223</v>
      </c>
      <c r="C305" s="1" t="s">
        <v>38</v>
      </c>
      <c r="D305" s="1" t="s">
        <v>25</v>
      </c>
      <c r="E305">
        <v>777081</v>
      </c>
      <c r="F305">
        <v>23</v>
      </c>
      <c r="G305" s="1" t="s">
        <v>32</v>
      </c>
      <c r="H305">
        <v>14326</v>
      </c>
      <c r="I305">
        <v>22796</v>
      </c>
      <c r="J305" s="1" t="s">
        <v>27</v>
      </c>
      <c r="K305" s="3">
        <v>9</v>
      </c>
      <c r="L305" s="1" t="s">
        <v>40</v>
      </c>
      <c r="M305" s="1" t="s">
        <v>37</v>
      </c>
      <c r="N305" s="3">
        <v>2024010123</v>
      </c>
      <c r="O305" s="3">
        <f t="shared" si="36"/>
        <v>1.23</v>
      </c>
      <c r="P305" s="6">
        <f t="shared" si="37"/>
        <v>955809.63</v>
      </c>
      <c r="Q305" s="3" t="str">
        <f t="shared" si="38"/>
        <v>Excellent</v>
      </c>
      <c r="R305" s="3">
        <f t="shared" si="39"/>
        <v>8470</v>
      </c>
      <c r="S305" s="7">
        <f t="shared" si="40"/>
        <v>194810</v>
      </c>
      <c r="T305" s="3" t="str">
        <f t="shared" si="41"/>
        <v>High Profit</v>
      </c>
      <c r="U305" s="3" t="str">
        <f t="shared" si="42"/>
        <v>Medium Discount</v>
      </c>
      <c r="V305" s="3" t="str">
        <f t="shared" si="43"/>
        <v>Priority B</v>
      </c>
      <c r="W305">
        <f t="shared" si="44"/>
        <v>116562.15</v>
      </c>
      <c r="X305" t="s">
        <v>23</v>
      </c>
      <c r="Y305" t="s">
        <v>23</v>
      </c>
      <c r="Z305" t="s">
        <v>23</v>
      </c>
      <c r="AA305" t="s">
        <v>23</v>
      </c>
      <c r="AB305" t="s">
        <v>23</v>
      </c>
      <c r="AC305" t="s">
        <v>23</v>
      </c>
      <c r="AD305" t="s">
        <v>23</v>
      </c>
      <c r="AE305" t="s">
        <v>23</v>
      </c>
      <c r="AF305" t="s">
        <v>23</v>
      </c>
      <c r="AG305" t="s">
        <v>23</v>
      </c>
      <c r="AH305" t="s">
        <v>23</v>
      </c>
      <c r="AI305" t="s">
        <v>23</v>
      </c>
      <c r="AJ305" t="s">
        <v>23</v>
      </c>
    </row>
    <row r="306" spans="1:36" x14ac:dyDescent="0.35">
      <c r="A306" s="2">
        <v>1304</v>
      </c>
      <c r="B306" s="4">
        <v>45265</v>
      </c>
      <c r="C306" s="1" t="s">
        <v>30</v>
      </c>
      <c r="D306" s="1" t="s">
        <v>25</v>
      </c>
      <c r="E306">
        <v>27730</v>
      </c>
      <c r="F306">
        <v>23</v>
      </c>
      <c r="G306" s="1" t="s">
        <v>35</v>
      </c>
      <c r="H306">
        <v>24144</v>
      </c>
      <c r="I306">
        <v>32154</v>
      </c>
      <c r="J306" s="1" t="s">
        <v>27</v>
      </c>
      <c r="K306" s="3">
        <v>7</v>
      </c>
      <c r="L306" s="1" t="s">
        <v>40</v>
      </c>
      <c r="M306" s="1" t="s">
        <v>37</v>
      </c>
      <c r="N306" s="3">
        <v>2024010123</v>
      </c>
      <c r="O306" s="3">
        <f t="shared" si="36"/>
        <v>1.23</v>
      </c>
      <c r="P306" s="6">
        <f t="shared" si="37"/>
        <v>34107.9</v>
      </c>
      <c r="Q306" s="3" t="str">
        <f t="shared" si="38"/>
        <v>Excellent</v>
      </c>
      <c r="R306" s="3">
        <f t="shared" si="39"/>
        <v>8010</v>
      </c>
      <c r="S306" s="7">
        <f t="shared" si="40"/>
        <v>184230</v>
      </c>
      <c r="T306" s="3" t="str">
        <f t="shared" si="41"/>
        <v>High Profit</v>
      </c>
      <c r="U306" s="3" t="str">
        <f t="shared" si="42"/>
        <v>Medium Discount</v>
      </c>
      <c r="V306" s="3" t="str">
        <f t="shared" si="43"/>
        <v>Priority C</v>
      </c>
      <c r="W306">
        <f t="shared" si="44"/>
        <v>4159.5</v>
      </c>
      <c r="X306" t="s">
        <v>23</v>
      </c>
      <c r="Y306" t="s">
        <v>23</v>
      </c>
      <c r="Z306" t="s">
        <v>23</v>
      </c>
      <c r="AA306" t="s">
        <v>23</v>
      </c>
      <c r="AB306" t="s">
        <v>23</v>
      </c>
      <c r="AC306" t="s">
        <v>23</v>
      </c>
      <c r="AD306" t="s">
        <v>23</v>
      </c>
      <c r="AE306" t="s">
        <v>23</v>
      </c>
      <c r="AF306" t="s">
        <v>23</v>
      </c>
      <c r="AG306" t="s">
        <v>23</v>
      </c>
      <c r="AH306" t="s">
        <v>23</v>
      </c>
      <c r="AI306" t="s">
        <v>23</v>
      </c>
      <c r="AJ306" t="s">
        <v>23</v>
      </c>
    </row>
    <row r="307" spans="1:36" x14ac:dyDescent="0.35">
      <c r="A307" s="2">
        <v>1305</v>
      </c>
      <c r="B307" s="4">
        <v>45198</v>
      </c>
      <c r="C307" s="1" t="s">
        <v>34</v>
      </c>
      <c r="D307" s="1" t="s">
        <v>31</v>
      </c>
      <c r="E307">
        <v>459360</v>
      </c>
      <c r="F307">
        <v>42</v>
      </c>
      <c r="G307" s="1" t="s">
        <v>35</v>
      </c>
      <c r="H307">
        <v>21288</v>
      </c>
      <c r="I307">
        <v>30726</v>
      </c>
      <c r="J307" s="1" t="s">
        <v>33</v>
      </c>
      <c r="K307" s="3">
        <v>13</v>
      </c>
      <c r="L307" s="1" t="s">
        <v>28</v>
      </c>
      <c r="M307" s="1" t="s">
        <v>29</v>
      </c>
      <c r="N307" s="3">
        <v>2024010123</v>
      </c>
      <c r="O307" s="3">
        <f t="shared" si="36"/>
        <v>1.23</v>
      </c>
      <c r="P307" s="6">
        <f t="shared" si="37"/>
        <v>565012.80000000005</v>
      </c>
      <c r="Q307" s="3" t="str">
        <f t="shared" si="38"/>
        <v>Excellent</v>
      </c>
      <c r="R307" s="3">
        <f t="shared" si="39"/>
        <v>9438</v>
      </c>
      <c r="S307" s="7">
        <f t="shared" si="40"/>
        <v>396396</v>
      </c>
      <c r="T307" s="3" t="str">
        <f t="shared" si="41"/>
        <v>High Profit</v>
      </c>
      <c r="U307" s="3" t="str">
        <f t="shared" si="42"/>
        <v>Medium Discount</v>
      </c>
      <c r="V307" s="3" t="str">
        <f t="shared" si="43"/>
        <v>Priority C</v>
      </c>
      <c r="W307">
        <f t="shared" si="44"/>
        <v>45936</v>
      </c>
      <c r="X307" t="s">
        <v>23</v>
      </c>
      <c r="Y307" t="s">
        <v>23</v>
      </c>
      <c r="Z307" t="s">
        <v>23</v>
      </c>
      <c r="AA307" t="s">
        <v>23</v>
      </c>
      <c r="AB307" t="s">
        <v>23</v>
      </c>
      <c r="AC307" t="s">
        <v>23</v>
      </c>
      <c r="AD307" t="s">
        <v>23</v>
      </c>
      <c r="AE307" t="s">
        <v>23</v>
      </c>
      <c r="AF307" t="s">
        <v>23</v>
      </c>
      <c r="AG307" t="s">
        <v>23</v>
      </c>
      <c r="AH307" t="s">
        <v>23</v>
      </c>
      <c r="AI307" t="s">
        <v>23</v>
      </c>
      <c r="AJ307" t="s">
        <v>23</v>
      </c>
    </row>
    <row r="308" spans="1:36" x14ac:dyDescent="0.35">
      <c r="A308" s="2">
        <v>1306</v>
      </c>
      <c r="B308" s="4">
        <v>45262</v>
      </c>
      <c r="C308" s="1" t="s">
        <v>38</v>
      </c>
      <c r="D308" s="1" t="s">
        <v>43</v>
      </c>
      <c r="E308">
        <v>328587</v>
      </c>
      <c r="F308">
        <v>22</v>
      </c>
      <c r="G308" s="1" t="s">
        <v>26</v>
      </c>
      <c r="H308">
        <v>21288</v>
      </c>
      <c r="I308">
        <v>29468</v>
      </c>
      <c r="J308" s="1" t="s">
        <v>33</v>
      </c>
      <c r="K308" s="3">
        <v>24</v>
      </c>
      <c r="L308" s="1" t="s">
        <v>36</v>
      </c>
      <c r="M308" s="1" t="s">
        <v>37</v>
      </c>
      <c r="N308" s="3">
        <v>2024010123</v>
      </c>
      <c r="O308" s="3">
        <f t="shared" si="36"/>
        <v>1.23</v>
      </c>
      <c r="P308" s="6">
        <f t="shared" si="37"/>
        <v>404162.01</v>
      </c>
      <c r="Q308" s="3" t="str">
        <f t="shared" si="38"/>
        <v>Excellent</v>
      </c>
      <c r="R308" s="3">
        <f t="shared" si="39"/>
        <v>8180</v>
      </c>
      <c r="S308" s="7">
        <f t="shared" si="40"/>
        <v>179960</v>
      </c>
      <c r="T308" s="3" t="str">
        <f t="shared" si="41"/>
        <v>High Profit</v>
      </c>
      <c r="U308" s="3" t="str">
        <f t="shared" si="42"/>
        <v>High Discount</v>
      </c>
      <c r="V308" s="3" t="str">
        <f t="shared" si="43"/>
        <v>Priority C</v>
      </c>
      <c r="W308">
        <f t="shared" si="44"/>
        <v>32858.700000000004</v>
      </c>
      <c r="X308" t="s">
        <v>23</v>
      </c>
      <c r="Y308" t="s">
        <v>23</v>
      </c>
      <c r="Z308" t="s">
        <v>23</v>
      </c>
      <c r="AA308" t="s">
        <v>23</v>
      </c>
      <c r="AB308" t="s">
        <v>23</v>
      </c>
      <c r="AC308" t="s">
        <v>23</v>
      </c>
      <c r="AD308" t="s">
        <v>23</v>
      </c>
      <c r="AE308" t="s">
        <v>23</v>
      </c>
      <c r="AF308" t="s">
        <v>23</v>
      </c>
      <c r="AG308" t="s">
        <v>23</v>
      </c>
      <c r="AH308" t="s">
        <v>23</v>
      </c>
      <c r="AI308" t="s">
        <v>23</v>
      </c>
      <c r="AJ308" t="s">
        <v>23</v>
      </c>
    </row>
    <row r="309" spans="1:36" x14ac:dyDescent="0.35">
      <c r="A309" s="2">
        <v>1307</v>
      </c>
      <c r="B309" s="4">
        <v>45158</v>
      </c>
      <c r="C309" s="1" t="s">
        <v>38</v>
      </c>
      <c r="D309" s="1" t="s">
        <v>43</v>
      </c>
      <c r="E309">
        <v>49077</v>
      </c>
      <c r="F309">
        <v>12</v>
      </c>
      <c r="G309" s="1" t="s">
        <v>26</v>
      </c>
      <c r="H309">
        <v>15706</v>
      </c>
      <c r="I309">
        <v>24912</v>
      </c>
      <c r="J309" s="1" t="s">
        <v>27</v>
      </c>
      <c r="K309" s="3">
        <v>28</v>
      </c>
      <c r="L309" s="1" t="s">
        <v>40</v>
      </c>
      <c r="M309" s="1" t="s">
        <v>29</v>
      </c>
      <c r="N309" s="3">
        <v>2024010123</v>
      </c>
      <c r="O309" s="3">
        <f t="shared" si="36"/>
        <v>1.23</v>
      </c>
      <c r="P309" s="6">
        <f t="shared" si="37"/>
        <v>60364.71</v>
      </c>
      <c r="Q309" s="3" t="str">
        <f t="shared" si="38"/>
        <v>Excellent</v>
      </c>
      <c r="R309" s="3">
        <f t="shared" si="39"/>
        <v>9206</v>
      </c>
      <c r="S309" s="7">
        <f t="shared" si="40"/>
        <v>110472</v>
      </c>
      <c r="T309" s="3" t="str">
        <f t="shared" si="41"/>
        <v>High Profit</v>
      </c>
      <c r="U309" s="3" t="str">
        <f t="shared" si="42"/>
        <v>High Discount</v>
      </c>
      <c r="V309" s="3" t="str">
        <f t="shared" si="43"/>
        <v>Priority D</v>
      </c>
      <c r="W309">
        <f t="shared" si="44"/>
        <v>7361.55</v>
      </c>
      <c r="X309" t="s">
        <v>23</v>
      </c>
      <c r="Y309" t="s">
        <v>23</v>
      </c>
      <c r="Z309" t="s">
        <v>23</v>
      </c>
      <c r="AA309" t="s">
        <v>23</v>
      </c>
      <c r="AB309" t="s">
        <v>23</v>
      </c>
      <c r="AC309" t="s">
        <v>23</v>
      </c>
      <c r="AD309" t="s">
        <v>23</v>
      </c>
      <c r="AE309" t="s">
        <v>23</v>
      </c>
      <c r="AF309" t="s">
        <v>23</v>
      </c>
      <c r="AG309" t="s">
        <v>23</v>
      </c>
      <c r="AH309" t="s">
        <v>23</v>
      </c>
      <c r="AI309" t="s">
        <v>23</v>
      </c>
      <c r="AJ309" t="s">
        <v>23</v>
      </c>
    </row>
    <row r="310" spans="1:36" x14ac:dyDescent="0.35">
      <c r="A310" s="2">
        <v>1308</v>
      </c>
      <c r="B310" s="4">
        <v>45189</v>
      </c>
      <c r="C310" s="1" t="s">
        <v>41</v>
      </c>
      <c r="D310" s="1" t="s">
        <v>31</v>
      </c>
      <c r="E310">
        <v>818503</v>
      </c>
      <c r="F310">
        <v>41</v>
      </c>
      <c r="G310" s="1" t="s">
        <v>32</v>
      </c>
      <c r="H310">
        <v>18031</v>
      </c>
      <c r="I310">
        <v>26347</v>
      </c>
      <c r="J310" s="1" t="s">
        <v>27</v>
      </c>
      <c r="K310" s="3">
        <v>27</v>
      </c>
      <c r="L310" s="1" t="s">
        <v>28</v>
      </c>
      <c r="M310" s="1" t="s">
        <v>29</v>
      </c>
      <c r="N310" s="3">
        <v>2024010123</v>
      </c>
      <c r="O310" s="3">
        <f t="shared" si="36"/>
        <v>1.23</v>
      </c>
      <c r="P310" s="6">
        <f t="shared" si="37"/>
        <v>1006758.69</v>
      </c>
      <c r="Q310" s="3" t="str">
        <f t="shared" si="38"/>
        <v>Excellent</v>
      </c>
      <c r="R310" s="3">
        <f t="shared" si="39"/>
        <v>8316</v>
      </c>
      <c r="S310" s="7">
        <f t="shared" si="40"/>
        <v>340956</v>
      </c>
      <c r="T310" s="3" t="str">
        <f t="shared" si="41"/>
        <v>High Profit</v>
      </c>
      <c r="U310" s="3" t="str">
        <f t="shared" si="42"/>
        <v>High Discount</v>
      </c>
      <c r="V310" s="3" t="str">
        <f t="shared" si="43"/>
        <v>Priority B</v>
      </c>
      <c r="W310">
        <f t="shared" si="44"/>
        <v>122775.45</v>
      </c>
      <c r="X310" t="s">
        <v>23</v>
      </c>
      <c r="Y310" t="s">
        <v>23</v>
      </c>
      <c r="Z310" t="s">
        <v>23</v>
      </c>
      <c r="AA310" t="s">
        <v>23</v>
      </c>
      <c r="AB310" t="s">
        <v>23</v>
      </c>
      <c r="AC310" t="s">
        <v>23</v>
      </c>
      <c r="AD310" t="s">
        <v>23</v>
      </c>
      <c r="AE310" t="s">
        <v>23</v>
      </c>
      <c r="AF310" t="s">
        <v>23</v>
      </c>
      <c r="AG310" t="s">
        <v>23</v>
      </c>
      <c r="AH310" t="s">
        <v>23</v>
      </c>
      <c r="AI310" t="s">
        <v>23</v>
      </c>
      <c r="AJ310" t="s">
        <v>23</v>
      </c>
    </row>
    <row r="311" spans="1:36" x14ac:dyDescent="0.35">
      <c r="A311" s="2">
        <v>1309</v>
      </c>
      <c r="B311" s="4">
        <v>45007</v>
      </c>
      <c r="C311" s="1" t="s">
        <v>38</v>
      </c>
      <c r="D311" s="1" t="s">
        <v>25</v>
      </c>
      <c r="E311">
        <v>954269</v>
      </c>
      <c r="F311">
        <v>15</v>
      </c>
      <c r="G311" s="1" t="s">
        <v>39</v>
      </c>
      <c r="H311">
        <v>21260</v>
      </c>
      <c r="I311">
        <v>29314</v>
      </c>
      <c r="J311" s="1" t="s">
        <v>33</v>
      </c>
      <c r="K311" s="3">
        <v>22</v>
      </c>
      <c r="L311" s="1" t="s">
        <v>28</v>
      </c>
      <c r="M311" s="1" t="s">
        <v>37</v>
      </c>
      <c r="N311" s="3">
        <v>2024010123</v>
      </c>
      <c r="O311" s="3">
        <f t="shared" si="36"/>
        <v>1.23</v>
      </c>
      <c r="P311" s="6">
        <f t="shared" si="37"/>
        <v>1173750.8699999999</v>
      </c>
      <c r="Q311" s="3" t="str">
        <f t="shared" si="38"/>
        <v>Excellent</v>
      </c>
      <c r="R311" s="3">
        <f t="shared" si="39"/>
        <v>8054</v>
      </c>
      <c r="S311" s="7">
        <f t="shared" si="40"/>
        <v>120810</v>
      </c>
      <c r="T311" s="3" t="str">
        <f t="shared" si="41"/>
        <v>High Profit</v>
      </c>
      <c r="U311" s="3" t="str">
        <f t="shared" si="42"/>
        <v>High Discount</v>
      </c>
      <c r="V311" s="3" t="str">
        <f t="shared" si="43"/>
        <v>Priority C</v>
      </c>
      <c r="W311">
        <f t="shared" si="44"/>
        <v>95426.900000000009</v>
      </c>
      <c r="X311" t="s">
        <v>23</v>
      </c>
      <c r="Y311" t="s">
        <v>23</v>
      </c>
      <c r="Z311" t="s">
        <v>23</v>
      </c>
      <c r="AA311" t="s">
        <v>23</v>
      </c>
      <c r="AB311" t="s">
        <v>23</v>
      </c>
      <c r="AC311" t="s">
        <v>23</v>
      </c>
      <c r="AD311" t="s">
        <v>23</v>
      </c>
      <c r="AE311" t="s">
        <v>23</v>
      </c>
      <c r="AF311" t="s">
        <v>23</v>
      </c>
      <c r="AG311" t="s">
        <v>23</v>
      </c>
      <c r="AH311" t="s">
        <v>23</v>
      </c>
      <c r="AI311" t="s">
        <v>23</v>
      </c>
      <c r="AJ311" t="s">
        <v>23</v>
      </c>
    </row>
    <row r="312" spans="1:36" x14ac:dyDescent="0.35">
      <c r="A312" s="2">
        <v>1310</v>
      </c>
      <c r="B312" s="4">
        <v>45158</v>
      </c>
      <c r="C312" s="1" t="s">
        <v>30</v>
      </c>
      <c r="D312" s="1" t="s">
        <v>43</v>
      </c>
      <c r="E312">
        <v>321488</v>
      </c>
      <c r="F312">
        <v>18</v>
      </c>
      <c r="G312" s="1" t="s">
        <v>32</v>
      </c>
      <c r="H312">
        <v>31689</v>
      </c>
      <c r="I312">
        <v>37827</v>
      </c>
      <c r="J312" s="1" t="s">
        <v>27</v>
      </c>
      <c r="K312" s="3">
        <v>0</v>
      </c>
      <c r="L312" s="1" t="s">
        <v>36</v>
      </c>
      <c r="M312" s="1" t="s">
        <v>29</v>
      </c>
      <c r="N312" s="3">
        <v>2024010123</v>
      </c>
      <c r="O312" s="3">
        <f t="shared" si="36"/>
        <v>1.23</v>
      </c>
      <c r="P312" s="6">
        <f t="shared" si="37"/>
        <v>395430.24</v>
      </c>
      <c r="Q312" s="3" t="str">
        <f t="shared" si="38"/>
        <v>Excellent</v>
      </c>
      <c r="R312" s="3">
        <f t="shared" si="39"/>
        <v>6138</v>
      </c>
      <c r="S312" s="7">
        <f t="shared" si="40"/>
        <v>110484</v>
      </c>
      <c r="T312" s="3" t="str">
        <f t="shared" si="41"/>
        <v>High Profit</v>
      </c>
      <c r="U312" s="3" t="str">
        <f t="shared" si="42"/>
        <v>No Discount</v>
      </c>
      <c r="V312" s="3" t="str">
        <f t="shared" si="43"/>
        <v>Priority C</v>
      </c>
      <c r="W312">
        <f t="shared" si="44"/>
        <v>48223.199999999997</v>
      </c>
      <c r="X312" t="s">
        <v>23</v>
      </c>
      <c r="Y312" t="s">
        <v>23</v>
      </c>
      <c r="Z312" t="s">
        <v>23</v>
      </c>
      <c r="AA312" t="s">
        <v>23</v>
      </c>
      <c r="AB312" t="s">
        <v>23</v>
      </c>
      <c r="AC312" t="s">
        <v>23</v>
      </c>
      <c r="AD312" t="s">
        <v>23</v>
      </c>
      <c r="AE312" t="s">
        <v>23</v>
      </c>
      <c r="AF312" t="s">
        <v>23</v>
      </c>
      <c r="AG312" t="s">
        <v>23</v>
      </c>
      <c r="AH312" t="s">
        <v>23</v>
      </c>
      <c r="AI312" t="s">
        <v>23</v>
      </c>
      <c r="AJ312" t="s">
        <v>23</v>
      </c>
    </row>
    <row r="313" spans="1:36" x14ac:dyDescent="0.35">
      <c r="A313" s="2">
        <v>1311</v>
      </c>
      <c r="B313" s="4">
        <v>45030</v>
      </c>
      <c r="C313" s="1" t="s">
        <v>34</v>
      </c>
      <c r="D313" s="1" t="s">
        <v>31</v>
      </c>
      <c r="E313">
        <v>418616</v>
      </c>
      <c r="F313">
        <v>18</v>
      </c>
      <c r="G313" s="1" t="s">
        <v>32</v>
      </c>
      <c r="H313">
        <v>30560</v>
      </c>
      <c r="I313">
        <v>37536</v>
      </c>
      <c r="J313" s="1" t="s">
        <v>27</v>
      </c>
      <c r="K313" s="3">
        <v>2</v>
      </c>
      <c r="L313" s="1" t="s">
        <v>28</v>
      </c>
      <c r="M313" s="1" t="s">
        <v>37</v>
      </c>
      <c r="N313" s="3">
        <v>2024010123</v>
      </c>
      <c r="O313" s="3">
        <f t="shared" si="36"/>
        <v>1.23</v>
      </c>
      <c r="P313" s="6">
        <f t="shared" si="37"/>
        <v>514897.68</v>
      </c>
      <c r="Q313" s="3" t="str">
        <f t="shared" si="38"/>
        <v>Excellent</v>
      </c>
      <c r="R313" s="3">
        <f t="shared" si="39"/>
        <v>6976</v>
      </c>
      <c r="S313" s="7">
        <f t="shared" si="40"/>
        <v>125568</v>
      </c>
      <c r="T313" s="3" t="str">
        <f t="shared" si="41"/>
        <v>High Profit</v>
      </c>
      <c r="U313" s="3" t="str">
        <f t="shared" si="42"/>
        <v>Low Discount</v>
      </c>
      <c r="V313" s="3" t="str">
        <f t="shared" si="43"/>
        <v>Priority C</v>
      </c>
      <c r="W313">
        <f t="shared" si="44"/>
        <v>62792.399999999994</v>
      </c>
      <c r="X313" t="s">
        <v>23</v>
      </c>
      <c r="Y313" t="s">
        <v>23</v>
      </c>
      <c r="Z313" t="s">
        <v>23</v>
      </c>
      <c r="AA313" t="s">
        <v>23</v>
      </c>
      <c r="AB313" t="s">
        <v>23</v>
      </c>
      <c r="AC313" t="s">
        <v>23</v>
      </c>
      <c r="AD313" t="s">
        <v>23</v>
      </c>
      <c r="AE313" t="s">
        <v>23</v>
      </c>
      <c r="AF313" t="s">
        <v>23</v>
      </c>
      <c r="AG313" t="s">
        <v>23</v>
      </c>
      <c r="AH313" t="s">
        <v>23</v>
      </c>
      <c r="AI313" t="s">
        <v>23</v>
      </c>
      <c r="AJ313" t="s">
        <v>23</v>
      </c>
    </row>
    <row r="314" spans="1:36" x14ac:dyDescent="0.35">
      <c r="A314" s="2">
        <v>1312</v>
      </c>
      <c r="B314" s="4">
        <v>45001</v>
      </c>
      <c r="C314" s="1" t="s">
        <v>41</v>
      </c>
      <c r="D314" s="1" t="s">
        <v>25</v>
      </c>
      <c r="E314">
        <v>882757</v>
      </c>
      <c r="F314">
        <v>18</v>
      </c>
      <c r="G314" s="1" t="s">
        <v>26</v>
      </c>
      <c r="H314">
        <v>36359</v>
      </c>
      <c r="I314">
        <v>43940</v>
      </c>
      <c r="J314" s="1" t="s">
        <v>33</v>
      </c>
      <c r="K314" s="3">
        <v>3</v>
      </c>
      <c r="L314" s="1" t="s">
        <v>36</v>
      </c>
      <c r="M314" s="1" t="s">
        <v>37</v>
      </c>
      <c r="N314" s="3">
        <v>2024010123</v>
      </c>
      <c r="O314" s="3">
        <f t="shared" si="36"/>
        <v>1.23</v>
      </c>
      <c r="P314" s="6">
        <f t="shared" si="37"/>
        <v>1085791.1099999999</v>
      </c>
      <c r="Q314" s="3" t="str">
        <f t="shared" si="38"/>
        <v>Excellent</v>
      </c>
      <c r="R314" s="3">
        <f t="shared" si="39"/>
        <v>7581</v>
      </c>
      <c r="S314" s="7">
        <f t="shared" si="40"/>
        <v>136458</v>
      </c>
      <c r="T314" s="3" t="str">
        <f t="shared" si="41"/>
        <v>High Profit</v>
      </c>
      <c r="U314" s="3" t="str">
        <f t="shared" si="42"/>
        <v>Low Discount</v>
      </c>
      <c r="V314" s="3" t="str">
        <f t="shared" si="43"/>
        <v>Priority C</v>
      </c>
      <c r="W314">
        <f t="shared" si="44"/>
        <v>88275.700000000012</v>
      </c>
      <c r="X314" t="s">
        <v>23</v>
      </c>
      <c r="Y314" t="s">
        <v>23</v>
      </c>
      <c r="Z314" t="s">
        <v>23</v>
      </c>
      <c r="AA314" t="s">
        <v>23</v>
      </c>
      <c r="AB314" t="s">
        <v>23</v>
      </c>
      <c r="AC314" t="s">
        <v>23</v>
      </c>
      <c r="AD314" t="s">
        <v>23</v>
      </c>
      <c r="AE314" t="s">
        <v>23</v>
      </c>
      <c r="AF314" t="s">
        <v>23</v>
      </c>
      <c r="AG314" t="s">
        <v>23</v>
      </c>
      <c r="AH314" t="s">
        <v>23</v>
      </c>
      <c r="AI314" t="s">
        <v>23</v>
      </c>
      <c r="AJ314" t="s">
        <v>23</v>
      </c>
    </row>
    <row r="315" spans="1:36" x14ac:dyDescent="0.35">
      <c r="A315" s="2">
        <v>1313</v>
      </c>
      <c r="B315" s="4">
        <v>45005</v>
      </c>
      <c r="C315" s="1" t="s">
        <v>30</v>
      </c>
      <c r="D315" s="1" t="s">
        <v>31</v>
      </c>
      <c r="E315">
        <v>610210</v>
      </c>
      <c r="F315">
        <v>8</v>
      </c>
      <c r="G315" s="1" t="s">
        <v>32</v>
      </c>
      <c r="H315">
        <v>33338</v>
      </c>
      <c r="I315">
        <v>38650</v>
      </c>
      <c r="J315" s="1" t="s">
        <v>33</v>
      </c>
      <c r="K315" s="3">
        <v>8</v>
      </c>
      <c r="L315" s="1" t="s">
        <v>36</v>
      </c>
      <c r="M315" s="1" t="s">
        <v>29</v>
      </c>
      <c r="N315" s="3">
        <v>2024010123</v>
      </c>
      <c r="O315" s="3">
        <f t="shared" si="36"/>
        <v>1.23</v>
      </c>
      <c r="P315" s="6">
        <f t="shared" si="37"/>
        <v>750558.3</v>
      </c>
      <c r="Q315" s="3" t="str">
        <f t="shared" si="38"/>
        <v>Excellent</v>
      </c>
      <c r="R315" s="3">
        <f t="shared" si="39"/>
        <v>5312</v>
      </c>
      <c r="S315" s="7">
        <f t="shared" si="40"/>
        <v>42496</v>
      </c>
      <c r="T315" s="3" t="str">
        <f t="shared" si="41"/>
        <v>High Profit</v>
      </c>
      <c r="U315" s="3" t="str">
        <f t="shared" si="42"/>
        <v>Medium Discount</v>
      </c>
      <c r="V315" s="3" t="str">
        <f t="shared" si="43"/>
        <v>Priority D</v>
      </c>
      <c r="W315">
        <f t="shared" si="44"/>
        <v>61021</v>
      </c>
      <c r="X315" t="s">
        <v>23</v>
      </c>
      <c r="Y315" t="s">
        <v>23</v>
      </c>
      <c r="Z315" t="s">
        <v>23</v>
      </c>
      <c r="AA315" t="s">
        <v>23</v>
      </c>
      <c r="AB315" t="s">
        <v>23</v>
      </c>
      <c r="AC315" t="s">
        <v>23</v>
      </c>
      <c r="AD315" t="s">
        <v>23</v>
      </c>
      <c r="AE315" t="s">
        <v>23</v>
      </c>
      <c r="AF315" t="s">
        <v>23</v>
      </c>
      <c r="AG315" t="s">
        <v>23</v>
      </c>
      <c r="AH315" t="s">
        <v>23</v>
      </c>
      <c r="AI315" t="s">
        <v>23</v>
      </c>
      <c r="AJ315" t="s">
        <v>23</v>
      </c>
    </row>
    <row r="316" spans="1:36" x14ac:dyDescent="0.35">
      <c r="A316" s="2">
        <v>1314</v>
      </c>
      <c r="B316" s="4">
        <v>45118</v>
      </c>
      <c r="C316" s="1" t="s">
        <v>34</v>
      </c>
      <c r="D316" s="1" t="s">
        <v>42</v>
      </c>
      <c r="E316">
        <v>14100</v>
      </c>
      <c r="F316">
        <v>9</v>
      </c>
      <c r="G316" s="1" t="s">
        <v>26</v>
      </c>
      <c r="H316">
        <v>22857</v>
      </c>
      <c r="I316">
        <v>26705</v>
      </c>
      <c r="J316" s="1" t="s">
        <v>27</v>
      </c>
      <c r="K316" s="3">
        <v>12</v>
      </c>
      <c r="L316" s="1" t="s">
        <v>28</v>
      </c>
      <c r="M316" s="1" t="s">
        <v>29</v>
      </c>
      <c r="N316" s="3">
        <v>2024010123</v>
      </c>
      <c r="O316" s="3">
        <f t="shared" si="36"/>
        <v>1.23</v>
      </c>
      <c r="P316" s="6">
        <f t="shared" si="37"/>
        <v>17343</v>
      </c>
      <c r="Q316" s="3" t="str">
        <f t="shared" si="38"/>
        <v>Excellent</v>
      </c>
      <c r="R316" s="3">
        <f t="shared" si="39"/>
        <v>3848</v>
      </c>
      <c r="S316" s="7">
        <f t="shared" si="40"/>
        <v>34632</v>
      </c>
      <c r="T316" s="3" t="str">
        <f t="shared" si="41"/>
        <v>High Profit</v>
      </c>
      <c r="U316" s="3" t="str">
        <f t="shared" si="42"/>
        <v>Medium Discount</v>
      </c>
      <c r="V316" s="3" t="str">
        <f t="shared" si="43"/>
        <v>Priority D</v>
      </c>
      <c r="W316">
        <f t="shared" si="44"/>
        <v>2115</v>
      </c>
      <c r="X316" t="s">
        <v>23</v>
      </c>
      <c r="Y316" t="s">
        <v>23</v>
      </c>
      <c r="Z316" t="s">
        <v>23</v>
      </c>
      <c r="AA316" t="s">
        <v>23</v>
      </c>
      <c r="AB316" t="s">
        <v>23</v>
      </c>
      <c r="AC316" t="s">
        <v>23</v>
      </c>
      <c r="AD316" t="s">
        <v>23</v>
      </c>
      <c r="AE316" t="s">
        <v>23</v>
      </c>
      <c r="AF316" t="s">
        <v>23</v>
      </c>
      <c r="AG316" t="s">
        <v>23</v>
      </c>
      <c r="AH316" t="s">
        <v>23</v>
      </c>
      <c r="AI316" t="s">
        <v>23</v>
      </c>
      <c r="AJ316" t="s">
        <v>23</v>
      </c>
    </row>
    <row r="317" spans="1:36" x14ac:dyDescent="0.35">
      <c r="A317" s="2">
        <v>1315</v>
      </c>
      <c r="B317" s="4">
        <v>45051</v>
      </c>
      <c r="C317" s="1" t="s">
        <v>41</v>
      </c>
      <c r="D317" s="1" t="s">
        <v>31</v>
      </c>
      <c r="E317">
        <v>963595</v>
      </c>
      <c r="F317">
        <v>8</v>
      </c>
      <c r="G317" s="1" t="s">
        <v>39</v>
      </c>
      <c r="H317">
        <v>17501</v>
      </c>
      <c r="I317">
        <v>25428</v>
      </c>
      <c r="J317" s="1" t="s">
        <v>27</v>
      </c>
      <c r="K317" s="3">
        <v>11</v>
      </c>
      <c r="L317" s="1" t="s">
        <v>28</v>
      </c>
      <c r="M317" s="1" t="s">
        <v>29</v>
      </c>
      <c r="N317" s="3">
        <v>2024010123</v>
      </c>
      <c r="O317" s="3">
        <f t="shared" si="36"/>
        <v>1.23</v>
      </c>
      <c r="P317" s="6">
        <f t="shared" si="37"/>
        <v>1185221.8500000001</v>
      </c>
      <c r="Q317" s="3" t="str">
        <f t="shared" si="38"/>
        <v>Excellent</v>
      </c>
      <c r="R317" s="3">
        <f t="shared" si="39"/>
        <v>7927</v>
      </c>
      <c r="S317" s="7">
        <f t="shared" si="40"/>
        <v>63416</v>
      </c>
      <c r="T317" s="3" t="str">
        <f t="shared" si="41"/>
        <v>High Profit</v>
      </c>
      <c r="U317" s="3" t="str">
        <f t="shared" si="42"/>
        <v>Medium Discount</v>
      </c>
      <c r="V317" s="3" t="str">
        <f t="shared" si="43"/>
        <v>Priority D</v>
      </c>
      <c r="W317">
        <f t="shared" si="44"/>
        <v>144539.25</v>
      </c>
      <c r="X317" t="s">
        <v>23</v>
      </c>
      <c r="Y317" t="s">
        <v>23</v>
      </c>
      <c r="Z317" t="s">
        <v>23</v>
      </c>
      <c r="AA317" t="s">
        <v>23</v>
      </c>
      <c r="AB317" t="s">
        <v>23</v>
      </c>
      <c r="AC317" t="s">
        <v>23</v>
      </c>
      <c r="AD317" t="s">
        <v>23</v>
      </c>
      <c r="AE317" t="s">
        <v>23</v>
      </c>
      <c r="AF317" t="s">
        <v>23</v>
      </c>
      <c r="AG317" t="s">
        <v>23</v>
      </c>
      <c r="AH317" t="s">
        <v>23</v>
      </c>
      <c r="AI317" t="s">
        <v>23</v>
      </c>
      <c r="AJ317" t="s">
        <v>23</v>
      </c>
    </row>
    <row r="318" spans="1:36" x14ac:dyDescent="0.35">
      <c r="A318" s="2">
        <v>1316</v>
      </c>
      <c r="B318" s="4">
        <v>44944</v>
      </c>
      <c r="C318" s="1" t="s">
        <v>41</v>
      </c>
      <c r="D318" s="1" t="s">
        <v>43</v>
      </c>
      <c r="E318">
        <v>57651</v>
      </c>
      <c r="F318">
        <v>18</v>
      </c>
      <c r="G318" s="1" t="s">
        <v>39</v>
      </c>
      <c r="H318">
        <v>33166</v>
      </c>
      <c r="I318">
        <v>39271</v>
      </c>
      <c r="J318" s="1" t="s">
        <v>33</v>
      </c>
      <c r="K318" s="3">
        <v>20</v>
      </c>
      <c r="L318" s="1" t="s">
        <v>36</v>
      </c>
      <c r="M318" s="1" t="s">
        <v>29</v>
      </c>
      <c r="N318" s="3">
        <v>2024010123</v>
      </c>
      <c r="O318" s="3">
        <f t="shared" si="36"/>
        <v>1.23</v>
      </c>
      <c r="P318" s="6">
        <f t="shared" si="37"/>
        <v>70910.73</v>
      </c>
      <c r="Q318" s="3" t="str">
        <f t="shared" si="38"/>
        <v>Excellent</v>
      </c>
      <c r="R318" s="3">
        <f t="shared" si="39"/>
        <v>6105</v>
      </c>
      <c r="S318" s="7">
        <f t="shared" si="40"/>
        <v>109890</v>
      </c>
      <c r="T318" s="3" t="str">
        <f t="shared" si="41"/>
        <v>High Profit</v>
      </c>
      <c r="U318" s="3" t="str">
        <f t="shared" si="42"/>
        <v>High Discount</v>
      </c>
      <c r="V318" s="3" t="str">
        <f t="shared" si="43"/>
        <v>Priority C</v>
      </c>
      <c r="W318">
        <f t="shared" si="44"/>
        <v>5765.1</v>
      </c>
      <c r="X318" t="s">
        <v>23</v>
      </c>
      <c r="Y318" t="s">
        <v>23</v>
      </c>
      <c r="Z318" t="s">
        <v>23</v>
      </c>
      <c r="AA318" t="s">
        <v>23</v>
      </c>
      <c r="AB318" t="s">
        <v>23</v>
      </c>
      <c r="AC318" t="s">
        <v>23</v>
      </c>
      <c r="AD318" t="s">
        <v>23</v>
      </c>
      <c r="AE318" t="s">
        <v>23</v>
      </c>
      <c r="AF318" t="s">
        <v>23</v>
      </c>
      <c r="AG318" t="s">
        <v>23</v>
      </c>
      <c r="AH318" t="s">
        <v>23</v>
      </c>
      <c r="AI318" t="s">
        <v>23</v>
      </c>
      <c r="AJ318" t="s">
        <v>23</v>
      </c>
    </row>
    <row r="319" spans="1:36" x14ac:dyDescent="0.35">
      <c r="A319" s="2">
        <v>1317</v>
      </c>
      <c r="B319" s="4">
        <v>45160</v>
      </c>
      <c r="C319" s="1" t="s">
        <v>24</v>
      </c>
      <c r="D319" s="1" t="s">
        <v>42</v>
      </c>
      <c r="E319">
        <v>288688</v>
      </c>
      <c r="F319">
        <v>18</v>
      </c>
      <c r="G319" s="1" t="s">
        <v>39</v>
      </c>
      <c r="H319">
        <v>18535</v>
      </c>
      <c r="I319">
        <v>22749</v>
      </c>
      <c r="J319" s="1" t="s">
        <v>33</v>
      </c>
      <c r="K319" s="3">
        <v>22</v>
      </c>
      <c r="L319" s="1" t="s">
        <v>40</v>
      </c>
      <c r="M319" s="1" t="s">
        <v>29</v>
      </c>
      <c r="N319" s="3">
        <v>2024010123</v>
      </c>
      <c r="O319" s="3">
        <f t="shared" si="36"/>
        <v>1.23</v>
      </c>
      <c r="P319" s="6">
        <f t="shared" si="37"/>
        <v>355086.24</v>
      </c>
      <c r="Q319" s="3" t="str">
        <f t="shared" si="38"/>
        <v>Excellent</v>
      </c>
      <c r="R319" s="3">
        <f t="shared" si="39"/>
        <v>4214</v>
      </c>
      <c r="S319" s="7">
        <f t="shared" si="40"/>
        <v>75852</v>
      </c>
      <c r="T319" s="3" t="str">
        <f t="shared" si="41"/>
        <v>High Profit</v>
      </c>
      <c r="U319" s="3" t="str">
        <f t="shared" si="42"/>
        <v>High Discount</v>
      </c>
      <c r="V319" s="3" t="str">
        <f t="shared" si="43"/>
        <v>Priority C</v>
      </c>
      <c r="W319">
        <f t="shared" si="44"/>
        <v>28868.800000000003</v>
      </c>
      <c r="X319" t="s">
        <v>23</v>
      </c>
      <c r="Y319" t="s">
        <v>23</v>
      </c>
      <c r="Z319" t="s">
        <v>23</v>
      </c>
      <c r="AA319" t="s">
        <v>23</v>
      </c>
      <c r="AB319" t="s">
        <v>23</v>
      </c>
      <c r="AC319" t="s">
        <v>23</v>
      </c>
      <c r="AD319" t="s">
        <v>23</v>
      </c>
      <c r="AE319" t="s">
        <v>23</v>
      </c>
      <c r="AF319" t="s">
        <v>23</v>
      </c>
      <c r="AG319" t="s">
        <v>23</v>
      </c>
      <c r="AH319" t="s">
        <v>23</v>
      </c>
      <c r="AI319" t="s">
        <v>23</v>
      </c>
      <c r="AJ319" t="s">
        <v>23</v>
      </c>
    </row>
    <row r="320" spans="1:36" x14ac:dyDescent="0.35">
      <c r="A320" s="2">
        <v>1318</v>
      </c>
      <c r="B320" s="4">
        <v>45272</v>
      </c>
      <c r="C320" s="1" t="s">
        <v>34</v>
      </c>
      <c r="D320" s="1" t="s">
        <v>43</v>
      </c>
      <c r="E320">
        <v>376478</v>
      </c>
      <c r="F320">
        <v>18</v>
      </c>
      <c r="G320" s="1" t="s">
        <v>32</v>
      </c>
      <c r="H320">
        <v>16343</v>
      </c>
      <c r="I320">
        <v>21506</v>
      </c>
      <c r="J320" s="1" t="s">
        <v>27</v>
      </c>
      <c r="K320" s="3">
        <v>16</v>
      </c>
      <c r="L320" s="1" t="s">
        <v>28</v>
      </c>
      <c r="M320" s="1" t="s">
        <v>37</v>
      </c>
      <c r="N320" s="3">
        <v>2024010123</v>
      </c>
      <c r="O320" s="3">
        <f t="shared" si="36"/>
        <v>1.23</v>
      </c>
      <c r="P320" s="6">
        <f t="shared" si="37"/>
        <v>463067.94</v>
      </c>
      <c r="Q320" s="3" t="str">
        <f t="shared" si="38"/>
        <v>Excellent</v>
      </c>
      <c r="R320" s="3">
        <f t="shared" si="39"/>
        <v>5163</v>
      </c>
      <c r="S320" s="7">
        <f t="shared" si="40"/>
        <v>92934</v>
      </c>
      <c r="T320" s="3" t="str">
        <f t="shared" si="41"/>
        <v>High Profit</v>
      </c>
      <c r="U320" s="3" t="str">
        <f t="shared" si="42"/>
        <v>High Discount</v>
      </c>
      <c r="V320" s="3" t="str">
        <f t="shared" si="43"/>
        <v>Priority C</v>
      </c>
      <c r="W320">
        <f t="shared" si="44"/>
        <v>56471.7</v>
      </c>
      <c r="X320" t="s">
        <v>23</v>
      </c>
      <c r="Y320" t="s">
        <v>23</v>
      </c>
      <c r="Z320" t="s">
        <v>23</v>
      </c>
      <c r="AA320" t="s">
        <v>23</v>
      </c>
      <c r="AB320" t="s">
        <v>23</v>
      </c>
      <c r="AC320" t="s">
        <v>23</v>
      </c>
      <c r="AD320" t="s">
        <v>23</v>
      </c>
      <c r="AE320" t="s">
        <v>23</v>
      </c>
      <c r="AF320" t="s">
        <v>23</v>
      </c>
      <c r="AG320" t="s">
        <v>23</v>
      </c>
      <c r="AH320" t="s">
        <v>23</v>
      </c>
      <c r="AI320" t="s">
        <v>23</v>
      </c>
      <c r="AJ320" t="s">
        <v>23</v>
      </c>
    </row>
    <row r="321" spans="1:36" x14ac:dyDescent="0.35">
      <c r="A321" s="2">
        <v>1319</v>
      </c>
      <c r="B321" s="4">
        <v>45187</v>
      </c>
      <c r="C321" s="1" t="s">
        <v>38</v>
      </c>
      <c r="D321" s="1" t="s">
        <v>43</v>
      </c>
      <c r="E321">
        <v>144577</v>
      </c>
      <c r="F321">
        <v>18</v>
      </c>
      <c r="G321" s="1" t="s">
        <v>39</v>
      </c>
      <c r="H321">
        <v>30070</v>
      </c>
      <c r="I321">
        <v>34377</v>
      </c>
      <c r="J321" s="1" t="s">
        <v>33</v>
      </c>
      <c r="K321" s="3">
        <v>24</v>
      </c>
      <c r="L321" s="1" t="s">
        <v>36</v>
      </c>
      <c r="M321" s="1" t="s">
        <v>37</v>
      </c>
      <c r="N321" s="3">
        <v>2024010123</v>
      </c>
      <c r="O321" s="3">
        <f t="shared" si="36"/>
        <v>1.23</v>
      </c>
      <c r="P321" s="6">
        <f t="shared" si="37"/>
        <v>177829.71</v>
      </c>
      <c r="Q321" s="3" t="str">
        <f t="shared" si="38"/>
        <v>Excellent</v>
      </c>
      <c r="R321" s="3">
        <f t="shared" si="39"/>
        <v>4307</v>
      </c>
      <c r="S321" s="7">
        <f t="shared" si="40"/>
        <v>77526</v>
      </c>
      <c r="T321" s="3" t="str">
        <f t="shared" si="41"/>
        <v>High Profit</v>
      </c>
      <c r="U321" s="3" t="str">
        <f t="shared" si="42"/>
        <v>High Discount</v>
      </c>
      <c r="V321" s="3" t="str">
        <f t="shared" si="43"/>
        <v>Priority C</v>
      </c>
      <c r="W321">
        <f t="shared" si="44"/>
        <v>14457.7</v>
      </c>
      <c r="X321" t="s">
        <v>23</v>
      </c>
      <c r="Y321" t="s">
        <v>23</v>
      </c>
      <c r="Z321" t="s">
        <v>23</v>
      </c>
      <c r="AA321" t="s">
        <v>23</v>
      </c>
      <c r="AB321" t="s">
        <v>23</v>
      </c>
      <c r="AC321" t="s">
        <v>23</v>
      </c>
      <c r="AD321" t="s">
        <v>23</v>
      </c>
      <c r="AE321" t="s">
        <v>23</v>
      </c>
      <c r="AF321" t="s">
        <v>23</v>
      </c>
      <c r="AG321" t="s">
        <v>23</v>
      </c>
      <c r="AH321" t="s">
        <v>23</v>
      </c>
      <c r="AI321" t="s">
        <v>23</v>
      </c>
      <c r="AJ321" t="s">
        <v>23</v>
      </c>
    </row>
    <row r="322" spans="1:36" x14ac:dyDescent="0.35">
      <c r="A322" s="2">
        <v>1320</v>
      </c>
      <c r="B322" s="4">
        <v>45215</v>
      </c>
      <c r="C322" s="1" t="s">
        <v>38</v>
      </c>
      <c r="D322" s="1" t="s">
        <v>43</v>
      </c>
      <c r="E322">
        <v>550820</v>
      </c>
      <c r="F322">
        <v>4</v>
      </c>
      <c r="G322" s="1" t="s">
        <v>26</v>
      </c>
      <c r="H322">
        <v>32817</v>
      </c>
      <c r="I322">
        <v>36025</v>
      </c>
      <c r="J322" s="1" t="s">
        <v>27</v>
      </c>
      <c r="K322" s="3">
        <v>0</v>
      </c>
      <c r="L322" s="1" t="s">
        <v>40</v>
      </c>
      <c r="M322" s="1" t="s">
        <v>37</v>
      </c>
      <c r="N322" s="3">
        <v>2024010123</v>
      </c>
      <c r="O322" s="3">
        <f t="shared" si="36"/>
        <v>1.23</v>
      </c>
      <c r="P322" s="6">
        <f t="shared" si="37"/>
        <v>677508.6</v>
      </c>
      <c r="Q322" s="3" t="str">
        <f t="shared" si="38"/>
        <v>Excellent</v>
      </c>
      <c r="R322" s="3">
        <f t="shared" si="39"/>
        <v>3208</v>
      </c>
      <c r="S322" s="7">
        <f t="shared" si="40"/>
        <v>12832</v>
      </c>
      <c r="T322" s="3" t="str">
        <f t="shared" si="41"/>
        <v>High Profit</v>
      </c>
      <c r="U322" s="3" t="str">
        <f t="shared" si="42"/>
        <v>No Discount</v>
      </c>
      <c r="V322" s="3" t="str">
        <f t="shared" si="43"/>
        <v>Priority C</v>
      </c>
      <c r="W322">
        <f t="shared" si="44"/>
        <v>82623</v>
      </c>
      <c r="X322" t="s">
        <v>23</v>
      </c>
      <c r="Y322" t="s">
        <v>23</v>
      </c>
      <c r="Z322" t="s">
        <v>23</v>
      </c>
      <c r="AA322" t="s">
        <v>23</v>
      </c>
      <c r="AB322" t="s">
        <v>23</v>
      </c>
      <c r="AC322" t="s">
        <v>23</v>
      </c>
      <c r="AD322" t="s">
        <v>23</v>
      </c>
      <c r="AE322" t="s">
        <v>23</v>
      </c>
      <c r="AF322" t="s">
        <v>23</v>
      </c>
      <c r="AG322" t="s">
        <v>23</v>
      </c>
      <c r="AH322" t="s">
        <v>23</v>
      </c>
      <c r="AI322" t="s">
        <v>23</v>
      </c>
      <c r="AJ322" t="s">
        <v>23</v>
      </c>
    </row>
    <row r="323" spans="1:36" x14ac:dyDescent="0.35">
      <c r="A323" s="2">
        <v>1321</v>
      </c>
      <c r="B323" s="4">
        <v>45034</v>
      </c>
      <c r="C323" s="1" t="s">
        <v>30</v>
      </c>
      <c r="D323" s="1" t="s">
        <v>25</v>
      </c>
      <c r="E323">
        <v>210055</v>
      </c>
      <c r="F323">
        <v>12</v>
      </c>
      <c r="G323" s="1" t="s">
        <v>26</v>
      </c>
      <c r="H323">
        <v>47360</v>
      </c>
      <c r="I323">
        <v>51915</v>
      </c>
      <c r="J323" s="1" t="s">
        <v>33</v>
      </c>
      <c r="K323" s="3">
        <v>2</v>
      </c>
      <c r="L323" s="1" t="s">
        <v>40</v>
      </c>
      <c r="M323" s="1" t="s">
        <v>29</v>
      </c>
      <c r="N323" s="3">
        <v>2024010123</v>
      </c>
      <c r="O323" s="3">
        <f t="shared" ref="O323:O386" si="45">VALUE(RIGHT($N$2,3))/100</f>
        <v>1.23</v>
      </c>
      <c r="P323" s="6">
        <f t="shared" ref="P323:P386" si="46">E323*$O323</f>
        <v>258367.65</v>
      </c>
      <c r="Q323" s="3" t="str">
        <f t="shared" ref="Q323:Q386" si="47">IF(P323&gt;=5000,"Excellent",
   IF(P323&gt;=3000,"Good",
      IF(P323&gt;=1500,"Average","Below Average")))</f>
        <v>Excellent</v>
      </c>
      <c r="R323" s="3">
        <f t="shared" ref="R323:R386" si="48">I323-H323</f>
        <v>4555</v>
      </c>
      <c r="S323" s="7">
        <f t="shared" ref="S323:S386" si="49">R323*F323</f>
        <v>54660</v>
      </c>
      <c r="T323" s="3" t="str">
        <f t="shared" ref="T323:T386" si="50">IF(S323&gt;=1000,"High Profit",
   IF(S323&gt;=500,"Medium Profit","Low Profit"))</f>
        <v>High Profit</v>
      </c>
      <c r="U323" s="3" t="str">
        <f t="shared" ref="U323:U386" si="51">_xlfn.LET(
  _xlpm.d0, K323,
  _xlpm.d, IF(_xlpm.d0&gt;=1, _xlpm.d0/100, _xlpm.d0),
  IF(_xlpm.d&gt;=0.15, "High Discount",
     IF(_xlpm.d&gt;=0.05, "Medium Discount",
        IF(_xlpm.d&gt;0, "Low Discount", "No Discount")))
)</f>
        <v>Low Discount</v>
      </c>
      <c r="V323" s="3" t="str">
        <f t="shared" ref="V323:V386" si="52">IF(AND(G323="Electronics",F323&gt;=30,M323="Online"),"Priority A",
   IF(AND(OR(G323="Furniture",G323="Electronics"),F323&gt;=20),"Priority B",
      IF(OR(M323="Online",F323&gt;=15),"Priority C","Priority D")))</f>
        <v>Priority D</v>
      </c>
      <c r="W323">
        <f t="shared" ref="W323:W386" si="53">IF(AND(Q323="Excellent",J323="Returning",T323="High Profit"),E323*0.15,
   IF(AND(Q323="Excellent",J323="New"),E323*0.1,
      IF(AND(OR(Q323="Good",Q323="Excellent"),L323="Cash"),E323*0.08,
         IF(AND(Q323="Good",T323="High Profit"),E323*0.06,
            IF(Q323="Average",E323*0.03,
               IF(Q323="Below Average",E323*0.01,0))))))</f>
        <v>21005.5</v>
      </c>
      <c r="X323" t="s">
        <v>23</v>
      </c>
      <c r="Y323" t="s">
        <v>23</v>
      </c>
      <c r="Z323" t="s">
        <v>23</v>
      </c>
      <c r="AA323" t="s">
        <v>23</v>
      </c>
      <c r="AB323" t="s">
        <v>23</v>
      </c>
      <c r="AC323" t="s">
        <v>23</v>
      </c>
      <c r="AD323" t="s">
        <v>23</v>
      </c>
      <c r="AE323" t="s">
        <v>23</v>
      </c>
      <c r="AF323" t="s">
        <v>23</v>
      </c>
      <c r="AG323" t="s">
        <v>23</v>
      </c>
      <c r="AH323" t="s">
        <v>23</v>
      </c>
      <c r="AI323" t="s">
        <v>23</v>
      </c>
      <c r="AJ323" t="s">
        <v>23</v>
      </c>
    </row>
    <row r="324" spans="1:36" x14ac:dyDescent="0.35">
      <c r="A324" s="2">
        <v>1322</v>
      </c>
      <c r="B324" s="4">
        <v>45056</v>
      </c>
      <c r="C324" s="1" t="s">
        <v>30</v>
      </c>
      <c r="D324" s="1" t="s">
        <v>31</v>
      </c>
      <c r="E324">
        <v>611703</v>
      </c>
      <c r="F324">
        <v>12</v>
      </c>
      <c r="G324" s="1" t="s">
        <v>32</v>
      </c>
      <c r="H324">
        <v>27315</v>
      </c>
      <c r="I324">
        <v>31210</v>
      </c>
      <c r="J324" s="1" t="s">
        <v>27</v>
      </c>
      <c r="K324" s="3">
        <v>2</v>
      </c>
      <c r="L324" s="1" t="s">
        <v>40</v>
      </c>
      <c r="M324" s="1" t="s">
        <v>29</v>
      </c>
      <c r="N324" s="3">
        <v>2024010123</v>
      </c>
      <c r="O324" s="3">
        <f t="shared" si="45"/>
        <v>1.23</v>
      </c>
      <c r="P324" s="6">
        <f t="shared" si="46"/>
        <v>752394.69</v>
      </c>
      <c r="Q324" s="3" t="str">
        <f t="shared" si="47"/>
        <v>Excellent</v>
      </c>
      <c r="R324" s="3">
        <f t="shared" si="48"/>
        <v>3895</v>
      </c>
      <c r="S324" s="7">
        <f t="shared" si="49"/>
        <v>46740</v>
      </c>
      <c r="T324" s="3" t="str">
        <f t="shared" si="50"/>
        <v>High Profit</v>
      </c>
      <c r="U324" s="3" t="str">
        <f t="shared" si="51"/>
        <v>Low Discount</v>
      </c>
      <c r="V324" s="3" t="str">
        <f t="shared" si="52"/>
        <v>Priority D</v>
      </c>
      <c r="W324">
        <f t="shared" si="53"/>
        <v>91755.45</v>
      </c>
      <c r="X324" t="s">
        <v>23</v>
      </c>
      <c r="Y324" t="s">
        <v>23</v>
      </c>
      <c r="Z324" t="s">
        <v>23</v>
      </c>
      <c r="AA324" t="s">
        <v>23</v>
      </c>
      <c r="AB324" t="s">
        <v>23</v>
      </c>
      <c r="AC324" t="s">
        <v>23</v>
      </c>
      <c r="AD324" t="s">
        <v>23</v>
      </c>
      <c r="AE324" t="s">
        <v>23</v>
      </c>
      <c r="AF324" t="s">
        <v>23</v>
      </c>
      <c r="AG324" t="s">
        <v>23</v>
      </c>
      <c r="AH324" t="s">
        <v>23</v>
      </c>
      <c r="AI324" t="s">
        <v>23</v>
      </c>
      <c r="AJ324" t="s">
        <v>23</v>
      </c>
    </row>
    <row r="325" spans="1:36" x14ac:dyDescent="0.35">
      <c r="A325" s="2">
        <v>1323</v>
      </c>
      <c r="B325" s="4">
        <v>45053</v>
      </c>
      <c r="C325" s="1" t="s">
        <v>38</v>
      </c>
      <c r="D325" s="1" t="s">
        <v>25</v>
      </c>
      <c r="E325">
        <v>984387</v>
      </c>
      <c r="F325">
        <v>12</v>
      </c>
      <c r="G325" s="1" t="s">
        <v>35</v>
      </c>
      <c r="H325">
        <v>35417</v>
      </c>
      <c r="I325">
        <v>37391</v>
      </c>
      <c r="J325" s="1" t="s">
        <v>27</v>
      </c>
      <c r="K325" s="3">
        <v>12</v>
      </c>
      <c r="L325" s="1" t="s">
        <v>28</v>
      </c>
      <c r="M325" s="1" t="s">
        <v>37</v>
      </c>
      <c r="N325" s="3">
        <v>2024010123</v>
      </c>
      <c r="O325" s="3">
        <f t="shared" si="45"/>
        <v>1.23</v>
      </c>
      <c r="P325" s="6">
        <f t="shared" si="46"/>
        <v>1210796.01</v>
      </c>
      <c r="Q325" s="3" t="str">
        <f t="shared" si="47"/>
        <v>Excellent</v>
      </c>
      <c r="R325" s="3">
        <f t="shared" si="48"/>
        <v>1974</v>
      </c>
      <c r="S325" s="7">
        <f t="shared" si="49"/>
        <v>23688</v>
      </c>
      <c r="T325" s="3" t="str">
        <f t="shared" si="50"/>
        <v>High Profit</v>
      </c>
      <c r="U325" s="3" t="str">
        <f t="shared" si="51"/>
        <v>Medium Discount</v>
      </c>
      <c r="V325" s="3" t="str">
        <f t="shared" si="52"/>
        <v>Priority C</v>
      </c>
      <c r="W325">
        <f t="shared" si="53"/>
        <v>147658.04999999999</v>
      </c>
      <c r="X325" t="s">
        <v>23</v>
      </c>
      <c r="Y325" t="s">
        <v>23</v>
      </c>
      <c r="Z325" t="s">
        <v>23</v>
      </c>
      <c r="AA325" t="s">
        <v>23</v>
      </c>
      <c r="AB325" t="s">
        <v>23</v>
      </c>
      <c r="AC325" t="s">
        <v>23</v>
      </c>
      <c r="AD325" t="s">
        <v>23</v>
      </c>
      <c r="AE325" t="s">
        <v>23</v>
      </c>
      <c r="AF325" t="s">
        <v>23</v>
      </c>
      <c r="AG325" t="s">
        <v>23</v>
      </c>
      <c r="AH325" t="s">
        <v>23</v>
      </c>
      <c r="AI325" t="s">
        <v>23</v>
      </c>
      <c r="AJ325" t="s">
        <v>23</v>
      </c>
    </row>
    <row r="326" spans="1:36" x14ac:dyDescent="0.35">
      <c r="A326" s="2">
        <v>1324</v>
      </c>
      <c r="B326" s="4">
        <v>44992</v>
      </c>
      <c r="C326" s="1" t="s">
        <v>30</v>
      </c>
      <c r="D326" s="1" t="s">
        <v>31</v>
      </c>
      <c r="E326">
        <v>33381</v>
      </c>
      <c r="F326">
        <v>12</v>
      </c>
      <c r="G326" s="1" t="s">
        <v>39</v>
      </c>
      <c r="H326">
        <v>37591</v>
      </c>
      <c r="I326">
        <v>41935</v>
      </c>
      <c r="J326" s="1" t="s">
        <v>33</v>
      </c>
      <c r="K326" s="3">
        <v>6</v>
      </c>
      <c r="L326" s="1" t="s">
        <v>36</v>
      </c>
      <c r="M326" s="1" t="s">
        <v>37</v>
      </c>
      <c r="N326" s="3">
        <v>2024010123</v>
      </c>
      <c r="O326" s="3">
        <f t="shared" si="45"/>
        <v>1.23</v>
      </c>
      <c r="P326" s="6">
        <f t="shared" si="46"/>
        <v>41058.629999999997</v>
      </c>
      <c r="Q326" s="3" t="str">
        <f t="shared" si="47"/>
        <v>Excellent</v>
      </c>
      <c r="R326" s="3">
        <f t="shared" si="48"/>
        <v>4344</v>
      </c>
      <c r="S326" s="7">
        <f t="shared" si="49"/>
        <v>52128</v>
      </c>
      <c r="T326" s="3" t="str">
        <f t="shared" si="50"/>
        <v>High Profit</v>
      </c>
      <c r="U326" s="3" t="str">
        <f t="shared" si="51"/>
        <v>Medium Discount</v>
      </c>
      <c r="V326" s="3" t="str">
        <f t="shared" si="52"/>
        <v>Priority C</v>
      </c>
      <c r="W326">
        <f t="shared" si="53"/>
        <v>3338.1000000000004</v>
      </c>
      <c r="X326" t="s">
        <v>23</v>
      </c>
      <c r="Y326" t="s">
        <v>23</v>
      </c>
      <c r="Z326" t="s">
        <v>23</v>
      </c>
      <c r="AA326" t="s">
        <v>23</v>
      </c>
      <c r="AB326" t="s">
        <v>23</v>
      </c>
      <c r="AC326" t="s">
        <v>23</v>
      </c>
      <c r="AD326" t="s">
        <v>23</v>
      </c>
      <c r="AE326" t="s">
        <v>23</v>
      </c>
      <c r="AF326" t="s">
        <v>23</v>
      </c>
      <c r="AG326" t="s">
        <v>23</v>
      </c>
      <c r="AH326" t="s">
        <v>23</v>
      </c>
      <c r="AI326" t="s">
        <v>23</v>
      </c>
      <c r="AJ326" t="s">
        <v>23</v>
      </c>
    </row>
    <row r="327" spans="1:36" x14ac:dyDescent="0.35">
      <c r="A327" s="2">
        <v>1325</v>
      </c>
      <c r="B327" s="4">
        <v>45246</v>
      </c>
      <c r="C327" s="1" t="s">
        <v>24</v>
      </c>
      <c r="D327" s="1" t="s">
        <v>31</v>
      </c>
      <c r="E327">
        <v>875347</v>
      </c>
      <c r="F327">
        <v>12</v>
      </c>
      <c r="G327" s="1" t="s">
        <v>39</v>
      </c>
      <c r="H327">
        <v>21098</v>
      </c>
      <c r="I327">
        <v>23157</v>
      </c>
      <c r="J327" s="1" t="s">
        <v>33</v>
      </c>
      <c r="K327" s="3">
        <v>6</v>
      </c>
      <c r="L327" s="1" t="s">
        <v>36</v>
      </c>
      <c r="M327" s="1" t="s">
        <v>29</v>
      </c>
      <c r="N327" s="3">
        <v>2024010123</v>
      </c>
      <c r="O327" s="3">
        <f t="shared" si="45"/>
        <v>1.23</v>
      </c>
      <c r="P327" s="6">
        <f t="shared" si="46"/>
        <v>1076676.81</v>
      </c>
      <c r="Q327" s="3" t="str">
        <f t="shared" si="47"/>
        <v>Excellent</v>
      </c>
      <c r="R327" s="3">
        <f t="shared" si="48"/>
        <v>2059</v>
      </c>
      <c r="S327" s="7">
        <f t="shared" si="49"/>
        <v>24708</v>
      </c>
      <c r="T327" s="3" t="str">
        <f t="shared" si="50"/>
        <v>High Profit</v>
      </c>
      <c r="U327" s="3" t="str">
        <f t="shared" si="51"/>
        <v>Medium Discount</v>
      </c>
      <c r="V327" s="3" t="str">
        <f t="shared" si="52"/>
        <v>Priority D</v>
      </c>
      <c r="W327">
        <f t="shared" si="53"/>
        <v>87534.700000000012</v>
      </c>
      <c r="X327" t="s">
        <v>23</v>
      </c>
      <c r="Y327" t="s">
        <v>23</v>
      </c>
      <c r="Z327" t="s">
        <v>23</v>
      </c>
      <c r="AA327" t="s">
        <v>23</v>
      </c>
      <c r="AB327" t="s">
        <v>23</v>
      </c>
      <c r="AC327" t="s">
        <v>23</v>
      </c>
      <c r="AD327" t="s">
        <v>23</v>
      </c>
      <c r="AE327" t="s">
        <v>23</v>
      </c>
      <c r="AF327" t="s">
        <v>23</v>
      </c>
      <c r="AG327" t="s">
        <v>23</v>
      </c>
      <c r="AH327" t="s">
        <v>23</v>
      </c>
      <c r="AI327" t="s">
        <v>23</v>
      </c>
      <c r="AJ327" t="s">
        <v>23</v>
      </c>
    </row>
    <row r="328" spans="1:36" x14ac:dyDescent="0.35">
      <c r="A328" s="2">
        <v>1326</v>
      </c>
      <c r="B328" s="4">
        <v>45020</v>
      </c>
      <c r="C328" s="1" t="s">
        <v>24</v>
      </c>
      <c r="D328" s="1" t="s">
        <v>43</v>
      </c>
      <c r="E328">
        <v>561978</v>
      </c>
      <c r="F328">
        <v>12</v>
      </c>
      <c r="G328" s="1" t="s">
        <v>26</v>
      </c>
      <c r="H328">
        <v>36487</v>
      </c>
      <c r="I328">
        <v>37992</v>
      </c>
      <c r="J328" s="1" t="s">
        <v>33</v>
      </c>
      <c r="K328" s="3">
        <v>23</v>
      </c>
      <c r="L328" s="1" t="s">
        <v>36</v>
      </c>
      <c r="M328" s="1" t="s">
        <v>37</v>
      </c>
      <c r="N328" s="3">
        <v>2024010123</v>
      </c>
      <c r="O328" s="3">
        <f t="shared" si="45"/>
        <v>1.23</v>
      </c>
      <c r="P328" s="6">
        <f t="shared" si="46"/>
        <v>691232.94</v>
      </c>
      <c r="Q328" s="3" t="str">
        <f t="shared" si="47"/>
        <v>Excellent</v>
      </c>
      <c r="R328" s="3">
        <f t="shared" si="48"/>
        <v>1505</v>
      </c>
      <c r="S328" s="7">
        <f t="shared" si="49"/>
        <v>18060</v>
      </c>
      <c r="T328" s="3" t="str">
        <f t="shared" si="50"/>
        <v>High Profit</v>
      </c>
      <c r="U328" s="3" t="str">
        <f t="shared" si="51"/>
        <v>High Discount</v>
      </c>
      <c r="V328" s="3" t="str">
        <f t="shared" si="52"/>
        <v>Priority C</v>
      </c>
      <c r="W328">
        <f t="shared" si="53"/>
        <v>56197.8</v>
      </c>
      <c r="X328" t="s">
        <v>23</v>
      </c>
      <c r="Y328" t="s">
        <v>23</v>
      </c>
      <c r="Z328" t="s">
        <v>23</v>
      </c>
      <c r="AA328" t="s">
        <v>23</v>
      </c>
      <c r="AB328" t="s">
        <v>23</v>
      </c>
      <c r="AC328" t="s">
        <v>23</v>
      </c>
      <c r="AD328" t="s">
        <v>23</v>
      </c>
      <c r="AE328" t="s">
        <v>23</v>
      </c>
      <c r="AF328" t="s">
        <v>23</v>
      </c>
      <c r="AG328" t="s">
        <v>23</v>
      </c>
      <c r="AH328" t="s">
        <v>23</v>
      </c>
      <c r="AI328" t="s">
        <v>23</v>
      </c>
      <c r="AJ328" t="s">
        <v>23</v>
      </c>
    </row>
    <row r="329" spans="1:36" x14ac:dyDescent="0.35">
      <c r="A329" s="2">
        <v>1327</v>
      </c>
      <c r="B329" s="4">
        <v>45166</v>
      </c>
      <c r="C329" s="1" t="s">
        <v>24</v>
      </c>
      <c r="D329" s="1" t="s">
        <v>25</v>
      </c>
      <c r="E329">
        <v>160240</v>
      </c>
      <c r="F329">
        <v>12</v>
      </c>
      <c r="G329" s="1" t="s">
        <v>32</v>
      </c>
      <c r="H329">
        <v>42001</v>
      </c>
      <c r="I329">
        <v>45118</v>
      </c>
      <c r="J329" s="1" t="s">
        <v>27</v>
      </c>
      <c r="K329" s="3">
        <v>19</v>
      </c>
      <c r="L329" s="1" t="s">
        <v>40</v>
      </c>
      <c r="M329" s="1" t="s">
        <v>29</v>
      </c>
      <c r="N329" s="3">
        <v>2024010123</v>
      </c>
      <c r="O329" s="3">
        <f t="shared" si="45"/>
        <v>1.23</v>
      </c>
      <c r="P329" s="6">
        <f t="shared" si="46"/>
        <v>197095.2</v>
      </c>
      <c r="Q329" s="3" t="str">
        <f t="shared" si="47"/>
        <v>Excellent</v>
      </c>
      <c r="R329" s="3">
        <f t="shared" si="48"/>
        <v>3117</v>
      </c>
      <c r="S329" s="7">
        <f t="shared" si="49"/>
        <v>37404</v>
      </c>
      <c r="T329" s="3" t="str">
        <f t="shared" si="50"/>
        <v>High Profit</v>
      </c>
      <c r="U329" s="3" t="str">
        <f t="shared" si="51"/>
        <v>High Discount</v>
      </c>
      <c r="V329" s="3" t="str">
        <f t="shared" si="52"/>
        <v>Priority D</v>
      </c>
      <c r="W329">
        <f t="shared" si="53"/>
        <v>24036</v>
      </c>
      <c r="X329" t="s">
        <v>23</v>
      </c>
      <c r="Y329" t="s">
        <v>23</v>
      </c>
      <c r="Z329" t="s">
        <v>23</v>
      </c>
      <c r="AA329" t="s">
        <v>23</v>
      </c>
      <c r="AB329" t="s">
        <v>23</v>
      </c>
      <c r="AC329" t="s">
        <v>23</v>
      </c>
      <c r="AD329" t="s">
        <v>23</v>
      </c>
      <c r="AE329" t="s">
        <v>23</v>
      </c>
      <c r="AF329" t="s">
        <v>23</v>
      </c>
      <c r="AG329" t="s">
        <v>23</v>
      </c>
      <c r="AH329" t="s">
        <v>23</v>
      </c>
      <c r="AI329" t="s">
        <v>23</v>
      </c>
      <c r="AJ329" t="s">
        <v>23</v>
      </c>
    </row>
    <row r="330" spans="1:36" x14ac:dyDescent="0.35">
      <c r="A330" s="2">
        <v>1328</v>
      </c>
      <c r="B330" s="4">
        <v>45061</v>
      </c>
      <c r="C330" s="1" t="s">
        <v>38</v>
      </c>
      <c r="D330" s="1" t="s">
        <v>43</v>
      </c>
      <c r="E330">
        <v>698772</v>
      </c>
      <c r="F330">
        <v>12</v>
      </c>
      <c r="G330" s="1" t="s">
        <v>32</v>
      </c>
      <c r="H330">
        <v>52150</v>
      </c>
      <c r="I330">
        <v>54811</v>
      </c>
      <c r="J330" s="1" t="s">
        <v>27</v>
      </c>
      <c r="K330" s="3">
        <v>19</v>
      </c>
      <c r="L330" s="1" t="s">
        <v>36</v>
      </c>
      <c r="M330" s="1" t="s">
        <v>37</v>
      </c>
      <c r="N330" s="3">
        <v>2024010123</v>
      </c>
      <c r="O330" s="3">
        <f t="shared" si="45"/>
        <v>1.23</v>
      </c>
      <c r="P330" s="6">
        <f t="shared" si="46"/>
        <v>859489.55999999994</v>
      </c>
      <c r="Q330" s="3" t="str">
        <f t="shared" si="47"/>
        <v>Excellent</v>
      </c>
      <c r="R330" s="3">
        <f t="shared" si="48"/>
        <v>2661</v>
      </c>
      <c r="S330" s="7">
        <f t="shared" si="49"/>
        <v>31932</v>
      </c>
      <c r="T330" s="3" t="str">
        <f t="shared" si="50"/>
        <v>High Profit</v>
      </c>
      <c r="U330" s="3" t="str">
        <f t="shared" si="51"/>
        <v>High Discount</v>
      </c>
      <c r="V330" s="3" t="str">
        <f t="shared" si="52"/>
        <v>Priority C</v>
      </c>
      <c r="W330">
        <f t="shared" si="53"/>
        <v>104815.8</v>
      </c>
      <c r="X330" t="s">
        <v>23</v>
      </c>
      <c r="Y330" t="s">
        <v>23</v>
      </c>
      <c r="Z330" t="s">
        <v>23</v>
      </c>
      <c r="AA330" t="s">
        <v>23</v>
      </c>
      <c r="AB330" t="s">
        <v>23</v>
      </c>
      <c r="AC330" t="s">
        <v>23</v>
      </c>
      <c r="AD330" t="s">
        <v>23</v>
      </c>
      <c r="AE330" t="s">
        <v>23</v>
      </c>
      <c r="AF330" t="s">
        <v>23</v>
      </c>
      <c r="AG330" t="s">
        <v>23</v>
      </c>
      <c r="AH330" t="s">
        <v>23</v>
      </c>
      <c r="AI330" t="s">
        <v>23</v>
      </c>
      <c r="AJ330" t="s">
        <v>23</v>
      </c>
    </row>
    <row r="331" spans="1:36" x14ac:dyDescent="0.35">
      <c r="A331" s="2">
        <v>1329</v>
      </c>
      <c r="B331" s="4">
        <v>45007</v>
      </c>
      <c r="C331" s="1" t="s">
        <v>38</v>
      </c>
      <c r="D331" s="1" t="s">
        <v>25</v>
      </c>
      <c r="E331">
        <v>730495</v>
      </c>
      <c r="F331">
        <v>12</v>
      </c>
      <c r="G331" s="1" t="s">
        <v>26</v>
      </c>
      <c r="H331">
        <v>53890</v>
      </c>
      <c r="I331">
        <v>55937</v>
      </c>
      <c r="J331" s="1" t="s">
        <v>33</v>
      </c>
      <c r="K331" s="3">
        <v>29</v>
      </c>
      <c r="L331" s="1" t="s">
        <v>40</v>
      </c>
      <c r="M331" s="1" t="s">
        <v>37</v>
      </c>
      <c r="N331" s="3">
        <v>2024010123</v>
      </c>
      <c r="O331" s="3">
        <f t="shared" si="45"/>
        <v>1.23</v>
      </c>
      <c r="P331" s="6">
        <f t="shared" si="46"/>
        <v>898508.85</v>
      </c>
      <c r="Q331" s="3" t="str">
        <f t="shared" si="47"/>
        <v>Excellent</v>
      </c>
      <c r="R331" s="3">
        <f t="shared" si="48"/>
        <v>2047</v>
      </c>
      <c r="S331" s="7">
        <f t="shared" si="49"/>
        <v>24564</v>
      </c>
      <c r="T331" s="3" t="str">
        <f t="shared" si="50"/>
        <v>High Profit</v>
      </c>
      <c r="U331" s="3" t="str">
        <f t="shared" si="51"/>
        <v>High Discount</v>
      </c>
      <c r="V331" s="3" t="str">
        <f t="shared" si="52"/>
        <v>Priority C</v>
      </c>
      <c r="W331">
        <f t="shared" si="53"/>
        <v>73049.5</v>
      </c>
      <c r="X331" t="s">
        <v>23</v>
      </c>
      <c r="Y331" t="s">
        <v>23</v>
      </c>
      <c r="Z331" t="s">
        <v>23</v>
      </c>
      <c r="AA331" t="s">
        <v>23</v>
      </c>
      <c r="AB331" t="s">
        <v>23</v>
      </c>
      <c r="AC331" t="s">
        <v>23</v>
      </c>
      <c r="AD331" t="s">
        <v>23</v>
      </c>
      <c r="AE331" t="s">
        <v>23</v>
      </c>
      <c r="AF331" t="s">
        <v>23</v>
      </c>
      <c r="AG331" t="s">
        <v>23</v>
      </c>
      <c r="AH331" t="s">
        <v>23</v>
      </c>
      <c r="AI331" t="s">
        <v>23</v>
      </c>
      <c r="AJ331" t="s">
        <v>23</v>
      </c>
    </row>
    <row r="332" spans="1:36" x14ac:dyDescent="0.35">
      <c r="A332" s="2">
        <v>1330</v>
      </c>
      <c r="B332" s="4">
        <v>45130</v>
      </c>
      <c r="C332" s="1" t="s">
        <v>24</v>
      </c>
      <c r="D332" s="1" t="s">
        <v>31</v>
      </c>
      <c r="E332">
        <v>30383</v>
      </c>
      <c r="F332">
        <v>36</v>
      </c>
      <c r="G332" s="1" t="s">
        <v>32</v>
      </c>
      <c r="H332">
        <v>22361</v>
      </c>
      <c r="I332">
        <v>35708</v>
      </c>
      <c r="J332" s="1" t="s">
        <v>27</v>
      </c>
      <c r="K332" s="3">
        <v>0</v>
      </c>
      <c r="L332" s="1" t="s">
        <v>36</v>
      </c>
      <c r="M332" s="1" t="s">
        <v>37</v>
      </c>
      <c r="N332" s="3">
        <v>2024010123</v>
      </c>
      <c r="O332" s="3">
        <f t="shared" si="45"/>
        <v>1.23</v>
      </c>
      <c r="P332" s="6">
        <f t="shared" si="46"/>
        <v>37371.089999999997</v>
      </c>
      <c r="Q332" s="3" t="str">
        <f t="shared" si="47"/>
        <v>Excellent</v>
      </c>
      <c r="R332" s="3">
        <f t="shared" si="48"/>
        <v>13347</v>
      </c>
      <c r="S332" s="7">
        <f t="shared" si="49"/>
        <v>480492</v>
      </c>
      <c r="T332" s="3" t="str">
        <f t="shared" si="50"/>
        <v>High Profit</v>
      </c>
      <c r="U332" s="3" t="str">
        <f t="shared" si="51"/>
        <v>No Discount</v>
      </c>
      <c r="V332" s="3" t="str">
        <f t="shared" si="52"/>
        <v>Priority B</v>
      </c>
      <c r="W332">
        <f t="shared" si="53"/>
        <v>4557.45</v>
      </c>
      <c r="X332" t="s">
        <v>23</v>
      </c>
      <c r="Y332" t="s">
        <v>23</v>
      </c>
      <c r="Z332" t="s">
        <v>23</v>
      </c>
      <c r="AA332" t="s">
        <v>23</v>
      </c>
      <c r="AB332" t="s">
        <v>23</v>
      </c>
      <c r="AC332" t="s">
        <v>23</v>
      </c>
      <c r="AD332" t="s">
        <v>23</v>
      </c>
      <c r="AE332" t="s">
        <v>23</v>
      </c>
      <c r="AF332" t="s">
        <v>23</v>
      </c>
      <c r="AG332" t="s">
        <v>23</v>
      </c>
      <c r="AH332" t="s">
        <v>23</v>
      </c>
      <c r="AI332" t="s">
        <v>23</v>
      </c>
      <c r="AJ332" t="s">
        <v>23</v>
      </c>
    </row>
    <row r="333" spans="1:36" x14ac:dyDescent="0.35">
      <c r="A333" s="2">
        <v>1331</v>
      </c>
      <c r="B333" s="4">
        <v>45083</v>
      </c>
      <c r="C333" s="1" t="s">
        <v>30</v>
      </c>
      <c r="D333" s="1" t="s">
        <v>42</v>
      </c>
      <c r="E333">
        <v>813831</v>
      </c>
      <c r="F333">
        <v>21</v>
      </c>
      <c r="G333" s="1" t="s">
        <v>32</v>
      </c>
      <c r="H333">
        <v>29986</v>
      </c>
      <c r="I333">
        <v>42384</v>
      </c>
      <c r="J333" s="1" t="s">
        <v>33</v>
      </c>
      <c r="K333" s="3">
        <v>2</v>
      </c>
      <c r="L333" s="1" t="s">
        <v>36</v>
      </c>
      <c r="M333" s="1" t="s">
        <v>37</v>
      </c>
      <c r="N333" s="3">
        <v>2024010123</v>
      </c>
      <c r="O333" s="3">
        <f t="shared" si="45"/>
        <v>1.23</v>
      </c>
      <c r="P333" s="6">
        <f t="shared" si="46"/>
        <v>1001012.13</v>
      </c>
      <c r="Q333" s="3" t="str">
        <f t="shared" si="47"/>
        <v>Excellent</v>
      </c>
      <c r="R333" s="3">
        <f t="shared" si="48"/>
        <v>12398</v>
      </c>
      <c r="S333" s="7">
        <f t="shared" si="49"/>
        <v>260358</v>
      </c>
      <c r="T333" s="3" t="str">
        <f t="shared" si="50"/>
        <v>High Profit</v>
      </c>
      <c r="U333" s="3" t="str">
        <f t="shared" si="51"/>
        <v>Low Discount</v>
      </c>
      <c r="V333" s="3" t="str">
        <f t="shared" si="52"/>
        <v>Priority B</v>
      </c>
      <c r="W333">
        <f t="shared" si="53"/>
        <v>81383.100000000006</v>
      </c>
      <c r="X333" t="s">
        <v>23</v>
      </c>
      <c r="Y333" t="s">
        <v>23</v>
      </c>
      <c r="Z333" t="s">
        <v>23</v>
      </c>
      <c r="AA333" t="s">
        <v>23</v>
      </c>
      <c r="AB333" t="s">
        <v>23</v>
      </c>
      <c r="AC333" t="s">
        <v>23</v>
      </c>
      <c r="AD333" t="s">
        <v>23</v>
      </c>
      <c r="AE333" t="s">
        <v>23</v>
      </c>
      <c r="AF333" t="s">
        <v>23</v>
      </c>
      <c r="AG333" t="s">
        <v>23</v>
      </c>
      <c r="AH333" t="s">
        <v>23</v>
      </c>
      <c r="AI333" t="s">
        <v>23</v>
      </c>
      <c r="AJ333" t="s">
        <v>23</v>
      </c>
    </row>
    <row r="334" spans="1:36" x14ac:dyDescent="0.35">
      <c r="A334" s="2">
        <v>1332</v>
      </c>
      <c r="B334" s="4">
        <v>45088</v>
      </c>
      <c r="C334" s="1" t="s">
        <v>41</v>
      </c>
      <c r="D334" s="1" t="s">
        <v>31</v>
      </c>
      <c r="E334">
        <v>826655</v>
      </c>
      <c r="F334">
        <v>45</v>
      </c>
      <c r="G334" s="1" t="s">
        <v>35</v>
      </c>
      <c r="H334">
        <v>16259</v>
      </c>
      <c r="I334">
        <v>26253</v>
      </c>
      <c r="J334" s="1" t="s">
        <v>33</v>
      </c>
      <c r="K334" s="3">
        <v>3</v>
      </c>
      <c r="L334" s="1" t="s">
        <v>36</v>
      </c>
      <c r="M334" s="1" t="s">
        <v>29</v>
      </c>
      <c r="N334" s="3">
        <v>2024010123</v>
      </c>
      <c r="O334" s="3">
        <f t="shared" si="45"/>
        <v>1.23</v>
      </c>
      <c r="P334" s="6">
        <f t="shared" si="46"/>
        <v>1016785.65</v>
      </c>
      <c r="Q334" s="3" t="str">
        <f t="shared" si="47"/>
        <v>Excellent</v>
      </c>
      <c r="R334" s="3">
        <f t="shared" si="48"/>
        <v>9994</v>
      </c>
      <c r="S334" s="7">
        <f t="shared" si="49"/>
        <v>449730</v>
      </c>
      <c r="T334" s="3" t="str">
        <f t="shared" si="50"/>
        <v>High Profit</v>
      </c>
      <c r="U334" s="3" t="str">
        <f t="shared" si="51"/>
        <v>Low Discount</v>
      </c>
      <c r="V334" s="3" t="str">
        <f t="shared" si="52"/>
        <v>Priority C</v>
      </c>
      <c r="W334">
        <f t="shared" si="53"/>
        <v>82665.5</v>
      </c>
      <c r="X334" t="s">
        <v>23</v>
      </c>
      <c r="Y334" t="s">
        <v>23</v>
      </c>
      <c r="Z334" t="s">
        <v>23</v>
      </c>
      <c r="AA334" t="s">
        <v>23</v>
      </c>
      <c r="AB334" t="s">
        <v>23</v>
      </c>
      <c r="AC334" t="s">
        <v>23</v>
      </c>
      <c r="AD334" t="s">
        <v>23</v>
      </c>
      <c r="AE334" t="s">
        <v>23</v>
      </c>
      <c r="AF334" t="s">
        <v>23</v>
      </c>
      <c r="AG334" t="s">
        <v>23</v>
      </c>
      <c r="AH334" t="s">
        <v>23</v>
      </c>
      <c r="AI334" t="s">
        <v>23</v>
      </c>
      <c r="AJ334" t="s">
        <v>23</v>
      </c>
    </row>
    <row r="335" spans="1:36" x14ac:dyDescent="0.35">
      <c r="A335" s="2">
        <v>1333</v>
      </c>
      <c r="B335" s="4">
        <v>45112</v>
      </c>
      <c r="C335" s="1" t="s">
        <v>38</v>
      </c>
      <c r="D335" s="1" t="s">
        <v>25</v>
      </c>
      <c r="E335">
        <v>857250</v>
      </c>
      <c r="F335">
        <v>19</v>
      </c>
      <c r="G335" s="1" t="s">
        <v>26</v>
      </c>
      <c r="H335">
        <v>25880</v>
      </c>
      <c r="I335">
        <v>36576</v>
      </c>
      <c r="J335" s="1" t="s">
        <v>27</v>
      </c>
      <c r="K335" s="3">
        <v>8</v>
      </c>
      <c r="L335" s="1" t="s">
        <v>36</v>
      </c>
      <c r="M335" s="1" t="s">
        <v>29</v>
      </c>
      <c r="N335" s="3">
        <v>2024010123</v>
      </c>
      <c r="O335" s="3">
        <f t="shared" si="45"/>
        <v>1.23</v>
      </c>
      <c r="P335" s="6">
        <f t="shared" si="46"/>
        <v>1054417.5</v>
      </c>
      <c r="Q335" s="3" t="str">
        <f t="shared" si="47"/>
        <v>Excellent</v>
      </c>
      <c r="R335" s="3">
        <f t="shared" si="48"/>
        <v>10696</v>
      </c>
      <c r="S335" s="7">
        <f t="shared" si="49"/>
        <v>203224</v>
      </c>
      <c r="T335" s="3" t="str">
        <f t="shared" si="50"/>
        <v>High Profit</v>
      </c>
      <c r="U335" s="3" t="str">
        <f t="shared" si="51"/>
        <v>Medium Discount</v>
      </c>
      <c r="V335" s="3" t="str">
        <f t="shared" si="52"/>
        <v>Priority C</v>
      </c>
      <c r="W335">
        <f t="shared" si="53"/>
        <v>128587.5</v>
      </c>
      <c r="X335" t="s">
        <v>23</v>
      </c>
      <c r="Y335" t="s">
        <v>23</v>
      </c>
      <c r="Z335" t="s">
        <v>23</v>
      </c>
      <c r="AA335" t="s">
        <v>23</v>
      </c>
      <c r="AB335" t="s">
        <v>23</v>
      </c>
      <c r="AC335" t="s">
        <v>23</v>
      </c>
      <c r="AD335" t="s">
        <v>23</v>
      </c>
      <c r="AE335" t="s">
        <v>23</v>
      </c>
      <c r="AF335" t="s">
        <v>23</v>
      </c>
      <c r="AG335" t="s">
        <v>23</v>
      </c>
      <c r="AH335" t="s">
        <v>23</v>
      </c>
      <c r="AI335" t="s">
        <v>23</v>
      </c>
      <c r="AJ335" t="s">
        <v>23</v>
      </c>
    </row>
    <row r="336" spans="1:36" x14ac:dyDescent="0.35">
      <c r="A336" s="2">
        <v>1334</v>
      </c>
      <c r="B336" s="4">
        <v>45090</v>
      </c>
      <c r="C336" s="1" t="s">
        <v>30</v>
      </c>
      <c r="D336" s="1" t="s">
        <v>42</v>
      </c>
      <c r="E336">
        <v>588196</v>
      </c>
      <c r="F336">
        <v>31</v>
      </c>
      <c r="G336" s="1" t="s">
        <v>26</v>
      </c>
      <c r="H336">
        <v>21695</v>
      </c>
      <c r="I336">
        <v>32114</v>
      </c>
      <c r="J336" s="1" t="s">
        <v>33</v>
      </c>
      <c r="K336" s="3">
        <v>8</v>
      </c>
      <c r="L336" s="1" t="s">
        <v>40</v>
      </c>
      <c r="M336" s="1" t="s">
        <v>29</v>
      </c>
      <c r="N336" s="3">
        <v>2024010123</v>
      </c>
      <c r="O336" s="3">
        <f t="shared" si="45"/>
        <v>1.23</v>
      </c>
      <c r="P336" s="6">
        <f t="shared" si="46"/>
        <v>723481.08</v>
      </c>
      <c r="Q336" s="3" t="str">
        <f t="shared" si="47"/>
        <v>Excellent</v>
      </c>
      <c r="R336" s="3">
        <f t="shared" si="48"/>
        <v>10419</v>
      </c>
      <c r="S336" s="7">
        <f t="shared" si="49"/>
        <v>322989</v>
      </c>
      <c r="T336" s="3" t="str">
        <f t="shared" si="50"/>
        <v>High Profit</v>
      </c>
      <c r="U336" s="3" t="str">
        <f t="shared" si="51"/>
        <v>Medium Discount</v>
      </c>
      <c r="V336" s="3" t="str">
        <f t="shared" si="52"/>
        <v>Priority C</v>
      </c>
      <c r="W336">
        <f t="shared" si="53"/>
        <v>58819.600000000006</v>
      </c>
      <c r="X336" t="s">
        <v>23</v>
      </c>
      <c r="Y336" t="s">
        <v>23</v>
      </c>
      <c r="Z336" t="s">
        <v>23</v>
      </c>
      <c r="AA336" t="s">
        <v>23</v>
      </c>
      <c r="AB336" t="s">
        <v>23</v>
      </c>
      <c r="AC336" t="s">
        <v>23</v>
      </c>
      <c r="AD336" t="s">
        <v>23</v>
      </c>
      <c r="AE336" t="s">
        <v>23</v>
      </c>
      <c r="AF336" t="s">
        <v>23</v>
      </c>
      <c r="AG336" t="s">
        <v>23</v>
      </c>
      <c r="AH336" t="s">
        <v>23</v>
      </c>
      <c r="AI336" t="s">
        <v>23</v>
      </c>
      <c r="AJ336" t="s">
        <v>23</v>
      </c>
    </row>
    <row r="337" spans="1:36" x14ac:dyDescent="0.35">
      <c r="A337" s="2">
        <v>1335</v>
      </c>
      <c r="B337" s="4">
        <v>45059</v>
      </c>
      <c r="C337" s="1" t="s">
        <v>38</v>
      </c>
      <c r="D337" s="1" t="s">
        <v>42</v>
      </c>
      <c r="E337">
        <v>567100</v>
      </c>
      <c r="F337">
        <v>18</v>
      </c>
      <c r="G337" s="1" t="s">
        <v>35</v>
      </c>
      <c r="H337">
        <v>21564</v>
      </c>
      <c r="I337">
        <v>32117</v>
      </c>
      <c r="J337" s="1" t="s">
        <v>27</v>
      </c>
      <c r="K337" s="3">
        <v>6</v>
      </c>
      <c r="L337" s="1" t="s">
        <v>28</v>
      </c>
      <c r="M337" s="1" t="s">
        <v>37</v>
      </c>
      <c r="N337" s="3">
        <v>2024010123</v>
      </c>
      <c r="O337" s="3">
        <f t="shared" si="45"/>
        <v>1.23</v>
      </c>
      <c r="P337" s="6">
        <f t="shared" si="46"/>
        <v>697533</v>
      </c>
      <c r="Q337" s="3" t="str">
        <f t="shared" si="47"/>
        <v>Excellent</v>
      </c>
      <c r="R337" s="3">
        <f t="shared" si="48"/>
        <v>10553</v>
      </c>
      <c r="S337" s="7">
        <f t="shared" si="49"/>
        <v>189954</v>
      </c>
      <c r="T337" s="3" t="str">
        <f t="shared" si="50"/>
        <v>High Profit</v>
      </c>
      <c r="U337" s="3" t="str">
        <f t="shared" si="51"/>
        <v>Medium Discount</v>
      </c>
      <c r="V337" s="3" t="str">
        <f t="shared" si="52"/>
        <v>Priority C</v>
      </c>
      <c r="W337">
        <f t="shared" si="53"/>
        <v>85065</v>
      </c>
      <c r="X337" t="s">
        <v>23</v>
      </c>
      <c r="Y337" t="s">
        <v>23</v>
      </c>
      <c r="Z337" t="s">
        <v>23</v>
      </c>
      <c r="AA337" t="s">
        <v>23</v>
      </c>
      <c r="AB337" t="s">
        <v>23</v>
      </c>
      <c r="AC337" t="s">
        <v>23</v>
      </c>
      <c r="AD337" t="s">
        <v>23</v>
      </c>
      <c r="AE337" t="s">
        <v>23</v>
      </c>
      <c r="AF337" t="s">
        <v>23</v>
      </c>
      <c r="AG337" t="s">
        <v>23</v>
      </c>
      <c r="AH337" t="s">
        <v>23</v>
      </c>
      <c r="AI337" t="s">
        <v>23</v>
      </c>
      <c r="AJ337" t="s">
        <v>23</v>
      </c>
    </row>
    <row r="338" spans="1:36" x14ac:dyDescent="0.35">
      <c r="A338" s="2">
        <v>1336</v>
      </c>
      <c r="B338" s="4">
        <v>45230</v>
      </c>
      <c r="C338" s="1" t="s">
        <v>30</v>
      </c>
      <c r="D338" s="1" t="s">
        <v>25</v>
      </c>
      <c r="E338">
        <v>866083</v>
      </c>
      <c r="F338">
        <v>38</v>
      </c>
      <c r="G338" s="1" t="s">
        <v>35</v>
      </c>
      <c r="H338">
        <v>24044</v>
      </c>
      <c r="I338">
        <v>32787</v>
      </c>
      <c r="J338" s="1" t="s">
        <v>27</v>
      </c>
      <c r="K338" s="3">
        <v>30</v>
      </c>
      <c r="L338" s="1" t="s">
        <v>40</v>
      </c>
      <c r="M338" s="1" t="s">
        <v>29</v>
      </c>
      <c r="N338" s="3">
        <v>2024010123</v>
      </c>
      <c r="O338" s="3">
        <f t="shared" si="45"/>
        <v>1.23</v>
      </c>
      <c r="P338" s="6">
        <f t="shared" si="46"/>
        <v>1065282.0900000001</v>
      </c>
      <c r="Q338" s="3" t="str">
        <f t="shared" si="47"/>
        <v>Excellent</v>
      </c>
      <c r="R338" s="3">
        <f t="shared" si="48"/>
        <v>8743</v>
      </c>
      <c r="S338" s="7">
        <f t="shared" si="49"/>
        <v>332234</v>
      </c>
      <c r="T338" s="3" t="str">
        <f t="shared" si="50"/>
        <v>High Profit</v>
      </c>
      <c r="U338" s="3" t="str">
        <f t="shared" si="51"/>
        <v>High Discount</v>
      </c>
      <c r="V338" s="3" t="str">
        <f t="shared" si="52"/>
        <v>Priority C</v>
      </c>
      <c r="W338">
        <f t="shared" si="53"/>
        <v>129912.45</v>
      </c>
      <c r="X338" t="s">
        <v>23</v>
      </c>
      <c r="Y338" t="s">
        <v>23</v>
      </c>
      <c r="Z338" t="s">
        <v>23</v>
      </c>
      <c r="AA338" t="s">
        <v>23</v>
      </c>
      <c r="AB338" t="s">
        <v>23</v>
      </c>
      <c r="AC338" t="s">
        <v>23</v>
      </c>
      <c r="AD338" t="s">
        <v>23</v>
      </c>
      <c r="AE338" t="s">
        <v>23</v>
      </c>
      <c r="AF338" t="s">
        <v>23</v>
      </c>
      <c r="AG338" t="s">
        <v>23</v>
      </c>
      <c r="AH338" t="s">
        <v>23</v>
      </c>
      <c r="AI338" t="s">
        <v>23</v>
      </c>
      <c r="AJ338" t="s">
        <v>23</v>
      </c>
    </row>
    <row r="339" spans="1:36" x14ac:dyDescent="0.35">
      <c r="A339" s="2">
        <v>1337</v>
      </c>
      <c r="B339" s="4">
        <v>45259</v>
      </c>
      <c r="C339" s="1" t="s">
        <v>30</v>
      </c>
      <c r="D339" s="1" t="s">
        <v>42</v>
      </c>
      <c r="E339">
        <v>936850</v>
      </c>
      <c r="F339">
        <v>14</v>
      </c>
      <c r="G339" s="1" t="s">
        <v>32</v>
      </c>
      <c r="H339">
        <v>19692</v>
      </c>
      <c r="I339">
        <v>30362</v>
      </c>
      <c r="J339" s="1" t="s">
        <v>27</v>
      </c>
      <c r="K339" s="3">
        <v>19</v>
      </c>
      <c r="L339" s="1" t="s">
        <v>28</v>
      </c>
      <c r="M339" s="1" t="s">
        <v>37</v>
      </c>
      <c r="N339" s="3">
        <v>2024010123</v>
      </c>
      <c r="O339" s="3">
        <f t="shared" si="45"/>
        <v>1.23</v>
      </c>
      <c r="P339" s="6">
        <f t="shared" si="46"/>
        <v>1152325.5</v>
      </c>
      <c r="Q339" s="3" t="str">
        <f t="shared" si="47"/>
        <v>Excellent</v>
      </c>
      <c r="R339" s="3">
        <f t="shared" si="48"/>
        <v>10670</v>
      </c>
      <c r="S339" s="7">
        <f t="shared" si="49"/>
        <v>149380</v>
      </c>
      <c r="T339" s="3" t="str">
        <f t="shared" si="50"/>
        <v>High Profit</v>
      </c>
      <c r="U339" s="3" t="str">
        <f t="shared" si="51"/>
        <v>High Discount</v>
      </c>
      <c r="V339" s="3" t="str">
        <f t="shared" si="52"/>
        <v>Priority C</v>
      </c>
      <c r="W339">
        <f t="shared" si="53"/>
        <v>140527.5</v>
      </c>
      <c r="X339" t="s">
        <v>23</v>
      </c>
      <c r="Y339" t="s">
        <v>23</v>
      </c>
      <c r="Z339" t="s">
        <v>23</v>
      </c>
      <c r="AA339" t="s">
        <v>23</v>
      </c>
      <c r="AB339" t="s">
        <v>23</v>
      </c>
      <c r="AC339" t="s">
        <v>23</v>
      </c>
      <c r="AD339" t="s">
        <v>23</v>
      </c>
      <c r="AE339" t="s">
        <v>23</v>
      </c>
      <c r="AF339" t="s">
        <v>23</v>
      </c>
      <c r="AG339" t="s">
        <v>23</v>
      </c>
      <c r="AH339" t="s">
        <v>23</v>
      </c>
      <c r="AI339" t="s">
        <v>23</v>
      </c>
      <c r="AJ339" t="s">
        <v>23</v>
      </c>
    </row>
    <row r="340" spans="1:36" x14ac:dyDescent="0.35">
      <c r="A340" s="2">
        <v>1338</v>
      </c>
      <c r="B340" s="4">
        <v>45095</v>
      </c>
      <c r="C340" s="1" t="s">
        <v>24</v>
      </c>
      <c r="D340" s="1" t="s">
        <v>43</v>
      </c>
      <c r="E340">
        <v>222225</v>
      </c>
      <c r="F340">
        <v>18</v>
      </c>
      <c r="G340" s="1" t="s">
        <v>32</v>
      </c>
      <c r="H340">
        <v>25389</v>
      </c>
      <c r="I340">
        <v>32145</v>
      </c>
      <c r="J340" s="1" t="s">
        <v>33</v>
      </c>
      <c r="K340" s="3">
        <v>17</v>
      </c>
      <c r="L340" s="1" t="s">
        <v>28</v>
      </c>
      <c r="M340" s="1" t="s">
        <v>29</v>
      </c>
      <c r="N340" s="3">
        <v>2024010123</v>
      </c>
      <c r="O340" s="3">
        <f t="shared" si="45"/>
        <v>1.23</v>
      </c>
      <c r="P340" s="6">
        <f t="shared" si="46"/>
        <v>273336.75</v>
      </c>
      <c r="Q340" s="3" t="str">
        <f t="shared" si="47"/>
        <v>Excellent</v>
      </c>
      <c r="R340" s="3">
        <f t="shared" si="48"/>
        <v>6756</v>
      </c>
      <c r="S340" s="7">
        <f t="shared" si="49"/>
        <v>121608</v>
      </c>
      <c r="T340" s="3" t="str">
        <f t="shared" si="50"/>
        <v>High Profit</v>
      </c>
      <c r="U340" s="3" t="str">
        <f t="shared" si="51"/>
        <v>High Discount</v>
      </c>
      <c r="V340" s="3" t="str">
        <f t="shared" si="52"/>
        <v>Priority C</v>
      </c>
      <c r="W340">
        <f t="shared" si="53"/>
        <v>22222.5</v>
      </c>
      <c r="X340" t="s">
        <v>23</v>
      </c>
      <c r="Y340" t="s">
        <v>23</v>
      </c>
      <c r="Z340" t="s">
        <v>23</v>
      </c>
      <c r="AA340" t="s">
        <v>23</v>
      </c>
      <c r="AB340" t="s">
        <v>23</v>
      </c>
      <c r="AC340" t="s">
        <v>23</v>
      </c>
      <c r="AD340" t="s">
        <v>23</v>
      </c>
      <c r="AE340" t="s">
        <v>23</v>
      </c>
      <c r="AF340" t="s">
        <v>23</v>
      </c>
      <c r="AG340" t="s">
        <v>23</v>
      </c>
      <c r="AH340" t="s">
        <v>23</v>
      </c>
      <c r="AI340" t="s">
        <v>23</v>
      </c>
      <c r="AJ340" t="s">
        <v>23</v>
      </c>
    </row>
    <row r="341" spans="1:36" x14ac:dyDescent="0.35">
      <c r="A341" s="2">
        <v>1339</v>
      </c>
      <c r="B341" s="4">
        <v>45250</v>
      </c>
      <c r="C341" s="1" t="s">
        <v>30</v>
      </c>
      <c r="D341" s="1" t="s">
        <v>43</v>
      </c>
      <c r="E341">
        <v>112620</v>
      </c>
      <c r="F341">
        <v>47</v>
      </c>
      <c r="G341" s="1" t="s">
        <v>26</v>
      </c>
      <c r="H341">
        <v>14202</v>
      </c>
      <c r="I341">
        <v>21645</v>
      </c>
      <c r="J341" s="1" t="s">
        <v>27</v>
      </c>
      <c r="K341" s="3">
        <v>30</v>
      </c>
      <c r="L341" s="1" t="s">
        <v>28</v>
      </c>
      <c r="M341" s="1" t="s">
        <v>37</v>
      </c>
      <c r="N341" s="3">
        <v>2024010123</v>
      </c>
      <c r="O341" s="3">
        <f t="shared" si="45"/>
        <v>1.23</v>
      </c>
      <c r="P341" s="6">
        <f t="shared" si="46"/>
        <v>138522.6</v>
      </c>
      <c r="Q341" s="3" t="str">
        <f t="shared" si="47"/>
        <v>Excellent</v>
      </c>
      <c r="R341" s="3">
        <f t="shared" si="48"/>
        <v>7443</v>
      </c>
      <c r="S341" s="7">
        <f t="shared" si="49"/>
        <v>349821</v>
      </c>
      <c r="T341" s="3" t="str">
        <f t="shared" si="50"/>
        <v>High Profit</v>
      </c>
      <c r="U341" s="3" t="str">
        <f t="shared" si="51"/>
        <v>High Discount</v>
      </c>
      <c r="V341" s="3" t="str">
        <f t="shared" si="52"/>
        <v>Priority C</v>
      </c>
      <c r="W341">
        <f t="shared" si="53"/>
        <v>16893</v>
      </c>
      <c r="X341" t="s">
        <v>23</v>
      </c>
      <c r="Y341" t="s">
        <v>23</v>
      </c>
      <c r="Z341" t="s">
        <v>23</v>
      </c>
      <c r="AA341" t="s">
        <v>23</v>
      </c>
      <c r="AB341" t="s">
        <v>23</v>
      </c>
      <c r="AC341" t="s">
        <v>23</v>
      </c>
      <c r="AD341" t="s">
        <v>23</v>
      </c>
      <c r="AE341" t="s">
        <v>23</v>
      </c>
      <c r="AF341" t="s">
        <v>23</v>
      </c>
      <c r="AG341" t="s">
        <v>23</v>
      </c>
      <c r="AH341" t="s">
        <v>23</v>
      </c>
      <c r="AI341" t="s">
        <v>23</v>
      </c>
      <c r="AJ341" t="s">
        <v>23</v>
      </c>
    </row>
    <row r="342" spans="1:36" x14ac:dyDescent="0.35">
      <c r="A342" s="2">
        <v>1340</v>
      </c>
      <c r="B342" s="4">
        <v>45017</v>
      </c>
      <c r="C342" s="1" t="s">
        <v>34</v>
      </c>
      <c r="D342" s="1" t="s">
        <v>43</v>
      </c>
      <c r="E342">
        <v>238962</v>
      </c>
      <c r="F342">
        <v>16</v>
      </c>
      <c r="G342" s="1" t="s">
        <v>35</v>
      </c>
      <c r="H342">
        <v>17707</v>
      </c>
      <c r="I342">
        <v>22817</v>
      </c>
      <c r="J342" s="1" t="s">
        <v>27</v>
      </c>
      <c r="K342" s="3">
        <v>0</v>
      </c>
      <c r="L342" s="1" t="s">
        <v>36</v>
      </c>
      <c r="M342" s="1" t="s">
        <v>29</v>
      </c>
      <c r="N342" s="3">
        <v>2024010123</v>
      </c>
      <c r="O342" s="3">
        <f t="shared" si="45"/>
        <v>1.23</v>
      </c>
      <c r="P342" s="6">
        <f t="shared" si="46"/>
        <v>293923.26</v>
      </c>
      <c r="Q342" s="3" t="str">
        <f t="shared" si="47"/>
        <v>Excellent</v>
      </c>
      <c r="R342" s="3">
        <f t="shared" si="48"/>
        <v>5110</v>
      </c>
      <c r="S342" s="7">
        <f t="shared" si="49"/>
        <v>81760</v>
      </c>
      <c r="T342" s="3" t="str">
        <f t="shared" si="50"/>
        <v>High Profit</v>
      </c>
      <c r="U342" s="3" t="str">
        <f t="shared" si="51"/>
        <v>No Discount</v>
      </c>
      <c r="V342" s="3" t="str">
        <f t="shared" si="52"/>
        <v>Priority C</v>
      </c>
      <c r="W342">
        <f t="shared" si="53"/>
        <v>35844.299999999996</v>
      </c>
      <c r="X342" t="s">
        <v>23</v>
      </c>
      <c r="Y342" t="s">
        <v>23</v>
      </c>
      <c r="Z342" t="s">
        <v>23</v>
      </c>
      <c r="AA342" t="s">
        <v>23</v>
      </c>
      <c r="AB342" t="s">
        <v>23</v>
      </c>
      <c r="AC342" t="s">
        <v>23</v>
      </c>
      <c r="AD342" t="s">
        <v>23</v>
      </c>
      <c r="AE342" t="s">
        <v>23</v>
      </c>
      <c r="AF342" t="s">
        <v>23</v>
      </c>
      <c r="AG342" t="s">
        <v>23</v>
      </c>
      <c r="AH342" t="s">
        <v>23</v>
      </c>
      <c r="AI342" t="s">
        <v>23</v>
      </c>
      <c r="AJ342" t="s">
        <v>23</v>
      </c>
    </row>
    <row r="343" spans="1:36" x14ac:dyDescent="0.35">
      <c r="A343" s="2">
        <v>1341</v>
      </c>
      <c r="B343" s="4">
        <v>45204</v>
      </c>
      <c r="C343" s="1" t="s">
        <v>34</v>
      </c>
      <c r="D343" s="1" t="s">
        <v>31</v>
      </c>
      <c r="E343">
        <v>335055</v>
      </c>
      <c r="F343">
        <v>18</v>
      </c>
      <c r="G343" s="1" t="s">
        <v>39</v>
      </c>
      <c r="H343">
        <v>36212</v>
      </c>
      <c r="I343">
        <v>42701</v>
      </c>
      <c r="J343" s="1" t="s">
        <v>27</v>
      </c>
      <c r="K343" s="3">
        <v>3</v>
      </c>
      <c r="L343" s="1" t="s">
        <v>36</v>
      </c>
      <c r="M343" s="1" t="s">
        <v>37</v>
      </c>
      <c r="N343" s="3">
        <v>2024010123</v>
      </c>
      <c r="O343" s="3">
        <f t="shared" si="45"/>
        <v>1.23</v>
      </c>
      <c r="P343" s="6">
        <f t="shared" si="46"/>
        <v>412117.64999999997</v>
      </c>
      <c r="Q343" s="3" t="str">
        <f t="shared" si="47"/>
        <v>Excellent</v>
      </c>
      <c r="R343" s="3">
        <f t="shared" si="48"/>
        <v>6489</v>
      </c>
      <c r="S343" s="7">
        <f t="shared" si="49"/>
        <v>116802</v>
      </c>
      <c r="T343" s="3" t="str">
        <f t="shared" si="50"/>
        <v>High Profit</v>
      </c>
      <c r="U343" s="3" t="str">
        <f t="shared" si="51"/>
        <v>Low Discount</v>
      </c>
      <c r="V343" s="3" t="str">
        <f t="shared" si="52"/>
        <v>Priority C</v>
      </c>
      <c r="W343">
        <f t="shared" si="53"/>
        <v>50258.25</v>
      </c>
      <c r="X343" t="s">
        <v>23</v>
      </c>
      <c r="Y343" t="s">
        <v>23</v>
      </c>
      <c r="Z343" t="s">
        <v>23</v>
      </c>
      <c r="AA343" t="s">
        <v>23</v>
      </c>
      <c r="AB343" t="s">
        <v>23</v>
      </c>
      <c r="AC343" t="s">
        <v>23</v>
      </c>
      <c r="AD343" t="s">
        <v>23</v>
      </c>
      <c r="AE343" t="s">
        <v>23</v>
      </c>
      <c r="AF343" t="s">
        <v>23</v>
      </c>
      <c r="AG343" t="s">
        <v>23</v>
      </c>
      <c r="AH343" t="s">
        <v>23</v>
      </c>
      <c r="AI343" t="s">
        <v>23</v>
      </c>
      <c r="AJ343" t="s">
        <v>23</v>
      </c>
    </row>
    <row r="344" spans="1:36" x14ac:dyDescent="0.35">
      <c r="A344" s="2">
        <v>1342</v>
      </c>
      <c r="B344" s="4">
        <v>45100</v>
      </c>
      <c r="C344" s="1" t="s">
        <v>41</v>
      </c>
      <c r="D344" s="1" t="s">
        <v>42</v>
      </c>
      <c r="E344">
        <v>963970</v>
      </c>
      <c r="F344">
        <v>18</v>
      </c>
      <c r="G344" s="1" t="s">
        <v>32</v>
      </c>
      <c r="H344">
        <v>28820</v>
      </c>
      <c r="I344">
        <v>34485</v>
      </c>
      <c r="J344" s="1" t="s">
        <v>27</v>
      </c>
      <c r="K344" s="3">
        <v>4</v>
      </c>
      <c r="L344" s="1" t="s">
        <v>36</v>
      </c>
      <c r="M344" s="1" t="s">
        <v>29</v>
      </c>
      <c r="N344" s="3">
        <v>2024010123</v>
      </c>
      <c r="O344" s="3">
        <f t="shared" si="45"/>
        <v>1.23</v>
      </c>
      <c r="P344" s="6">
        <f t="shared" si="46"/>
        <v>1185683.1000000001</v>
      </c>
      <c r="Q344" s="3" t="str">
        <f t="shared" si="47"/>
        <v>Excellent</v>
      </c>
      <c r="R344" s="3">
        <f t="shared" si="48"/>
        <v>5665</v>
      </c>
      <c r="S344" s="7">
        <f t="shared" si="49"/>
        <v>101970</v>
      </c>
      <c r="T344" s="3" t="str">
        <f t="shared" si="50"/>
        <v>High Profit</v>
      </c>
      <c r="U344" s="3" t="str">
        <f t="shared" si="51"/>
        <v>Low Discount</v>
      </c>
      <c r="V344" s="3" t="str">
        <f t="shared" si="52"/>
        <v>Priority C</v>
      </c>
      <c r="W344">
        <f t="shared" si="53"/>
        <v>144595.5</v>
      </c>
      <c r="X344" t="s">
        <v>23</v>
      </c>
      <c r="Y344" t="s">
        <v>23</v>
      </c>
      <c r="Z344" t="s">
        <v>23</v>
      </c>
      <c r="AA344" t="s">
        <v>23</v>
      </c>
      <c r="AB344" t="s">
        <v>23</v>
      </c>
      <c r="AC344" t="s">
        <v>23</v>
      </c>
      <c r="AD344" t="s">
        <v>23</v>
      </c>
      <c r="AE344" t="s">
        <v>23</v>
      </c>
      <c r="AF344" t="s">
        <v>23</v>
      </c>
      <c r="AG344" t="s">
        <v>23</v>
      </c>
      <c r="AH344" t="s">
        <v>23</v>
      </c>
      <c r="AI344" t="s">
        <v>23</v>
      </c>
      <c r="AJ344" t="s">
        <v>23</v>
      </c>
    </row>
    <row r="345" spans="1:36" x14ac:dyDescent="0.35">
      <c r="A345" s="2">
        <v>1343</v>
      </c>
      <c r="B345" s="4">
        <v>45290</v>
      </c>
      <c r="C345" s="1" t="s">
        <v>41</v>
      </c>
      <c r="D345" s="1" t="s">
        <v>43</v>
      </c>
      <c r="E345">
        <v>407451</v>
      </c>
      <c r="F345">
        <v>18</v>
      </c>
      <c r="G345" s="1" t="s">
        <v>26</v>
      </c>
      <c r="H345">
        <v>15311</v>
      </c>
      <c r="I345">
        <v>21464</v>
      </c>
      <c r="J345" s="1" t="s">
        <v>33</v>
      </c>
      <c r="K345" s="3">
        <v>10</v>
      </c>
      <c r="L345" s="1" t="s">
        <v>40</v>
      </c>
      <c r="M345" s="1" t="s">
        <v>29</v>
      </c>
      <c r="N345" s="3">
        <v>2024010123</v>
      </c>
      <c r="O345" s="3">
        <f t="shared" si="45"/>
        <v>1.23</v>
      </c>
      <c r="P345" s="6">
        <f t="shared" si="46"/>
        <v>501164.73</v>
      </c>
      <c r="Q345" s="3" t="str">
        <f t="shared" si="47"/>
        <v>Excellent</v>
      </c>
      <c r="R345" s="3">
        <f t="shared" si="48"/>
        <v>6153</v>
      </c>
      <c r="S345" s="7">
        <f t="shared" si="49"/>
        <v>110754</v>
      </c>
      <c r="T345" s="3" t="str">
        <f t="shared" si="50"/>
        <v>High Profit</v>
      </c>
      <c r="U345" s="3" t="str">
        <f t="shared" si="51"/>
        <v>Medium Discount</v>
      </c>
      <c r="V345" s="3" t="str">
        <f t="shared" si="52"/>
        <v>Priority C</v>
      </c>
      <c r="W345">
        <f t="shared" si="53"/>
        <v>40745.100000000006</v>
      </c>
      <c r="X345" t="s">
        <v>23</v>
      </c>
      <c r="Y345" t="s">
        <v>23</v>
      </c>
      <c r="Z345" t="s">
        <v>23</v>
      </c>
      <c r="AA345" t="s">
        <v>23</v>
      </c>
      <c r="AB345" t="s">
        <v>23</v>
      </c>
      <c r="AC345" t="s">
        <v>23</v>
      </c>
      <c r="AD345" t="s">
        <v>23</v>
      </c>
      <c r="AE345" t="s">
        <v>23</v>
      </c>
      <c r="AF345" t="s">
        <v>23</v>
      </c>
      <c r="AG345" t="s">
        <v>23</v>
      </c>
      <c r="AH345" t="s">
        <v>23</v>
      </c>
      <c r="AI345" t="s">
        <v>23</v>
      </c>
      <c r="AJ345" t="s">
        <v>23</v>
      </c>
    </row>
    <row r="346" spans="1:36" x14ac:dyDescent="0.35">
      <c r="A346" s="2">
        <v>1344</v>
      </c>
      <c r="B346" s="4">
        <v>45163</v>
      </c>
      <c r="C346" s="1" t="s">
        <v>24</v>
      </c>
      <c r="D346" s="1" t="s">
        <v>42</v>
      </c>
      <c r="E346">
        <v>163376</v>
      </c>
      <c r="F346">
        <v>18</v>
      </c>
      <c r="G346" s="1" t="s">
        <v>32</v>
      </c>
      <c r="H346">
        <v>34961</v>
      </c>
      <c r="I346">
        <v>40153</v>
      </c>
      <c r="J346" s="1" t="s">
        <v>27</v>
      </c>
      <c r="K346" s="3">
        <v>13</v>
      </c>
      <c r="L346" s="1" t="s">
        <v>36</v>
      </c>
      <c r="M346" s="1" t="s">
        <v>29</v>
      </c>
      <c r="N346" s="3">
        <v>2024010123</v>
      </c>
      <c r="O346" s="3">
        <f t="shared" si="45"/>
        <v>1.23</v>
      </c>
      <c r="P346" s="6">
        <f t="shared" si="46"/>
        <v>200952.48</v>
      </c>
      <c r="Q346" s="3" t="str">
        <f t="shared" si="47"/>
        <v>Excellent</v>
      </c>
      <c r="R346" s="3">
        <f t="shared" si="48"/>
        <v>5192</v>
      </c>
      <c r="S346" s="7">
        <f t="shared" si="49"/>
        <v>93456</v>
      </c>
      <c r="T346" s="3" t="str">
        <f t="shared" si="50"/>
        <v>High Profit</v>
      </c>
      <c r="U346" s="3" t="str">
        <f t="shared" si="51"/>
        <v>Medium Discount</v>
      </c>
      <c r="V346" s="3" t="str">
        <f t="shared" si="52"/>
        <v>Priority C</v>
      </c>
      <c r="W346">
        <f t="shared" si="53"/>
        <v>24506.399999999998</v>
      </c>
      <c r="X346" t="s">
        <v>23</v>
      </c>
      <c r="Y346" t="s">
        <v>23</v>
      </c>
      <c r="Z346" t="s">
        <v>23</v>
      </c>
      <c r="AA346" t="s">
        <v>23</v>
      </c>
      <c r="AB346" t="s">
        <v>23</v>
      </c>
      <c r="AC346" t="s">
        <v>23</v>
      </c>
      <c r="AD346" t="s">
        <v>23</v>
      </c>
      <c r="AE346" t="s">
        <v>23</v>
      </c>
      <c r="AF346" t="s">
        <v>23</v>
      </c>
      <c r="AG346" t="s">
        <v>23</v>
      </c>
      <c r="AH346" t="s">
        <v>23</v>
      </c>
      <c r="AI346" t="s">
        <v>23</v>
      </c>
      <c r="AJ346" t="s">
        <v>23</v>
      </c>
    </row>
    <row r="347" spans="1:36" x14ac:dyDescent="0.35">
      <c r="A347" s="2">
        <v>1345</v>
      </c>
      <c r="B347" s="4">
        <v>45275</v>
      </c>
      <c r="C347" s="1" t="s">
        <v>30</v>
      </c>
      <c r="D347" s="1" t="s">
        <v>31</v>
      </c>
      <c r="E347">
        <v>171827</v>
      </c>
      <c r="F347">
        <v>18</v>
      </c>
      <c r="G347" s="1" t="s">
        <v>26</v>
      </c>
      <c r="H347">
        <v>25291</v>
      </c>
      <c r="I347">
        <v>29979</v>
      </c>
      <c r="J347" s="1" t="s">
        <v>33</v>
      </c>
      <c r="K347" s="3">
        <v>13</v>
      </c>
      <c r="L347" s="1" t="s">
        <v>40</v>
      </c>
      <c r="M347" s="1" t="s">
        <v>29</v>
      </c>
      <c r="N347" s="3">
        <v>2024010123</v>
      </c>
      <c r="O347" s="3">
        <f t="shared" si="45"/>
        <v>1.23</v>
      </c>
      <c r="P347" s="6">
        <f t="shared" si="46"/>
        <v>211347.21</v>
      </c>
      <c r="Q347" s="3" t="str">
        <f t="shared" si="47"/>
        <v>Excellent</v>
      </c>
      <c r="R347" s="3">
        <f t="shared" si="48"/>
        <v>4688</v>
      </c>
      <c r="S347" s="7">
        <f t="shared" si="49"/>
        <v>84384</v>
      </c>
      <c r="T347" s="3" t="str">
        <f t="shared" si="50"/>
        <v>High Profit</v>
      </c>
      <c r="U347" s="3" t="str">
        <f t="shared" si="51"/>
        <v>Medium Discount</v>
      </c>
      <c r="V347" s="3" t="str">
        <f t="shared" si="52"/>
        <v>Priority C</v>
      </c>
      <c r="W347">
        <f t="shared" si="53"/>
        <v>17182.7</v>
      </c>
      <c r="X347" t="s">
        <v>23</v>
      </c>
      <c r="Y347" t="s">
        <v>23</v>
      </c>
      <c r="Z347" t="s">
        <v>23</v>
      </c>
      <c r="AA347" t="s">
        <v>23</v>
      </c>
      <c r="AB347" t="s">
        <v>23</v>
      </c>
      <c r="AC347" t="s">
        <v>23</v>
      </c>
      <c r="AD347" t="s">
        <v>23</v>
      </c>
      <c r="AE347" t="s">
        <v>23</v>
      </c>
      <c r="AF347" t="s">
        <v>23</v>
      </c>
      <c r="AG347" t="s">
        <v>23</v>
      </c>
      <c r="AH347" t="s">
        <v>23</v>
      </c>
      <c r="AI347" t="s">
        <v>23</v>
      </c>
      <c r="AJ347" t="s">
        <v>23</v>
      </c>
    </row>
    <row r="348" spans="1:36" x14ac:dyDescent="0.35">
      <c r="A348" s="2">
        <v>1346</v>
      </c>
      <c r="B348" s="4">
        <v>45272</v>
      </c>
      <c r="C348" s="1" t="s">
        <v>34</v>
      </c>
      <c r="D348" s="1" t="s">
        <v>42</v>
      </c>
      <c r="E348">
        <v>686163</v>
      </c>
      <c r="F348">
        <v>18</v>
      </c>
      <c r="G348" s="1" t="s">
        <v>35</v>
      </c>
      <c r="H348">
        <v>29254</v>
      </c>
      <c r="I348">
        <v>35062</v>
      </c>
      <c r="J348" s="1" t="s">
        <v>27</v>
      </c>
      <c r="K348" s="3">
        <v>15</v>
      </c>
      <c r="L348" s="1" t="s">
        <v>28</v>
      </c>
      <c r="M348" s="1" t="s">
        <v>29</v>
      </c>
      <c r="N348" s="3">
        <v>2024010123</v>
      </c>
      <c r="O348" s="3">
        <f t="shared" si="45"/>
        <v>1.23</v>
      </c>
      <c r="P348" s="6">
        <f t="shared" si="46"/>
        <v>843980.49</v>
      </c>
      <c r="Q348" s="3" t="str">
        <f t="shared" si="47"/>
        <v>Excellent</v>
      </c>
      <c r="R348" s="3">
        <f t="shared" si="48"/>
        <v>5808</v>
      </c>
      <c r="S348" s="7">
        <f t="shared" si="49"/>
        <v>104544</v>
      </c>
      <c r="T348" s="3" t="str">
        <f t="shared" si="50"/>
        <v>High Profit</v>
      </c>
      <c r="U348" s="3" t="str">
        <f t="shared" si="51"/>
        <v>High Discount</v>
      </c>
      <c r="V348" s="3" t="str">
        <f t="shared" si="52"/>
        <v>Priority C</v>
      </c>
      <c r="W348">
        <f t="shared" si="53"/>
        <v>102924.45</v>
      </c>
      <c r="X348" t="s">
        <v>23</v>
      </c>
      <c r="Y348" t="s">
        <v>23</v>
      </c>
      <c r="Z348" t="s">
        <v>23</v>
      </c>
      <c r="AA348" t="s">
        <v>23</v>
      </c>
      <c r="AB348" t="s">
        <v>23</v>
      </c>
      <c r="AC348" t="s">
        <v>23</v>
      </c>
      <c r="AD348" t="s">
        <v>23</v>
      </c>
      <c r="AE348" t="s">
        <v>23</v>
      </c>
      <c r="AF348" t="s">
        <v>23</v>
      </c>
      <c r="AG348" t="s">
        <v>23</v>
      </c>
      <c r="AH348" t="s">
        <v>23</v>
      </c>
      <c r="AI348" t="s">
        <v>23</v>
      </c>
      <c r="AJ348" t="s">
        <v>23</v>
      </c>
    </row>
    <row r="349" spans="1:36" x14ac:dyDescent="0.35">
      <c r="A349" s="2">
        <v>1347</v>
      </c>
      <c r="B349" s="4">
        <v>45122</v>
      </c>
      <c r="C349" s="1" t="s">
        <v>41</v>
      </c>
      <c r="D349" s="1" t="s">
        <v>42</v>
      </c>
      <c r="E349">
        <v>328082</v>
      </c>
      <c r="F349">
        <v>18</v>
      </c>
      <c r="G349" s="1" t="s">
        <v>32</v>
      </c>
      <c r="H349">
        <v>35929</v>
      </c>
      <c r="I349">
        <v>42297</v>
      </c>
      <c r="J349" s="1" t="s">
        <v>27</v>
      </c>
      <c r="K349" s="3">
        <v>22</v>
      </c>
      <c r="L349" s="1" t="s">
        <v>36</v>
      </c>
      <c r="M349" s="1" t="s">
        <v>29</v>
      </c>
      <c r="N349" s="3">
        <v>2024010123</v>
      </c>
      <c r="O349" s="3">
        <f t="shared" si="45"/>
        <v>1.23</v>
      </c>
      <c r="P349" s="6">
        <f t="shared" si="46"/>
        <v>403540.86</v>
      </c>
      <c r="Q349" s="3" t="str">
        <f t="shared" si="47"/>
        <v>Excellent</v>
      </c>
      <c r="R349" s="3">
        <f t="shared" si="48"/>
        <v>6368</v>
      </c>
      <c r="S349" s="7">
        <f t="shared" si="49"/>
        <v>114624</v>
      </c>
      <c r="T349" s="3" t="str">
        <f t="shared" si="50"/>
        <v>High Profit</v>
      </c>
      <c r="U349" s="3" t="str">
        <f t="shared" si="51"/>
        <v>High Discount</v>
      </c>
      <c r="V349" s="3" t="str">
        <f t="shared" si="52"/>
        <v>Priority C</v>
      </c>
      <c r="W349">
        <f t="shared" si="53"/>
        <v>49212.299999999996</v>
      </c>
      <c r="X349" t="s">
        <v>23</v>
      </c>
      <c r="Y349" t="s">
        <v>23</v>
      </c>
      <c r="Z349" t="s">
        <v>23</v>
      </c>
      <c r="AA349" t="s">
        <v>23</v>
      </c>
      <c r="AB349" t="s">
        <v>23</v>
      </c>
      <c r="AC349" t="s">
        <v>23</v>
      </c>
      <c r="AD349" t="s">
        <v>23</v>
      </c>
      <c r="AE349" t="s">
        <v>23</v>
      </c>
      <c r="AF349" t="s">
        <v>23</v>
      </c>
      <c r="AG349" t="s">
        <v>23</v>
      </c>
      <c r="AH349" t="s">
        <v>23</v>
      </c>
      <c r="AI349" t="s">
        <v>23</v>
      </c>
      <c r="AJ349" t="s">
        <v>23</v>
      </c>
    </row>
    <row r="350" spans="1:36" x14ac:dyDescent="0.35">
      <c r="A350" s="2">
        <v>1348</v>
      </c>
      <c r="B350" s="4">
        <v>45120</v>
      </c>
      <c r="C350" s="1" t="s">
        <v>38</v>
      </c>
      <c r="D350" s="1" t="s">
        <v>42</v>
      </c>
      <c r="E350">
        <v>809430</v>
      </c>
      <c r="F350">
        <v>9</v>
      </c>
      <c r="G350" s="1" t="s">
        <v>26</v>
      </c>
      <c r="H350">
        <v>17724</v>
      </c>
      <c r="I350">
        <v>22210</v>
      </c>
      <c r="J350" s="1" t="s">
        <v>33</v>
      </c>
      <c r="K350" s="3">
        <v>15</v>
      </c>
      <c r="L350" s="1" t="s">
        <v>28</v>
      </c>
      <c r="M350" s="1" t="s">
        <v>29</v>
      </c>
      <c r="N350" s="3">
        <v>2024010123</v>
      </c>
      <c r="O350" s="3">
        <f t="shared" si="45"/>
        <v>1.23</v>
      </c>
      <c r="P350" s="6">
        <f t="shared" si="46"/>
        <v>995598.9</v>
      </c>
      <c r="Q350" s="3" t="str">
        <f t="shared" si="47"/>
        <v>Excellent</v>
      </c>
      <c r="R350" s="3">
        <f t="shared" si="48"/>
        <v>4486</v>
      </c>
      <c r="S350" s="7">
        <f t="shared" si="49"/>
        <v>40374</v>
      </c>
      <c r="T350" s="3" t="str">
        <f t="shared" si="50"/>
        <v>High Profit</v>
      </c>
      <c r="U350" s="3" t="str">
        <f t="shared" si="51"/>
        <v>High Discount</v>
      </c>
      <c r="V350" s="3" t="str">
        <f t="shared" si="52"/>
        <v>Priority D</v>
      </c>
      <c r="W350">
        <f t="shared" si="53"/>
        <v>80943</v>
      </c>
      <c r="X350" t="s">
        <v>23</v>
      </c>
      <c r="Y350" t="s">
        <v>23</v>
      </c>
      <c r="Z350" t="s">
        <v>23</v>
      </c>
      <c r="AA350" t="s">
        <v>23</v>
      </c>
      <c r="AB350" t="s">
        <v>23</v>
      </c>
      <c r="AC350" t="s">
        <v>23</v>
      </c>
      <c r="AD350" t="s">
        <v>23</v>
      </c>
      <c r="AE350" t="s">
        <v>23</v>
      </c>
      <c r="AF350" t="s">
        <v>23</v>
      </c>
      <c r="AG350" t="s">
        <v>23</v>
      </c>
      <c r="AH350" t="s">
        <v>23</v>
      </c>
      <c r="AI350" t="s">
        <v>23</v>
      </c>
      <c r="AJ350" t="s">
        <v>23</v>
      </c>
    </row>
    <row r="351" spans="1:36" x14ac:dyDescent="0.35">
      <c r="A351" s="2">
        <v>1349</v>
      </c>
      <c r="B351" s="4">
        <v>45013</v>
      </c>
      <c r="C351" s="1" t="s">
        <v>30</v>
      </c>
      <c r="D351" s="1" t="s">
        <v>43</v>
      </c>
      <c r="E351">
        <v>343120</v>
      </c>
      <c r="F351">
        <v>18</v>
      </c>
      <c r="G351" s="1" t="s">
        <v>32</v>
      </c>
      <c r="H351">
        <v>32509</v>
      </c>
      <c r="I351">
        <v>37204</v>
      </c>
      <c r="J351" s="1" t="s">
        <v>33</v>
      </c>
      <c r="K351" s="3">
        <v>16</v>
      </c>
      <c r="L351" s="1" t="s">
        <v>28</v>
      </c>
      <c r="M351" s="1" t="s">
        <v>29</v>
      </c>
      <c r="N351" s="3">
        <v>2024010123</v>
      </c>
      <c r="O351" s="3">
        <f t="shared" si="45"/>
        <v>1.23</v>
      </c>
      <c r="P351" s="6">
        <f t="shared" si="46"/>
        <v>422037.6</v>
      </c>
      <c r="Q351" s="3" t="str">
        <f t="shared" si="47"/>
        <v>Excellent</v>
      </c>
      <c r="R351" s="3">
        <f t="shared" si="48"/>
        <v>4695</v>
      </c>
      <c r="S351" s="7">
        <f t="shared" si="49"/>
        <v>84510</v>
      </c>
      <c r="T351" s="3" t="str">
        <f t="shared" si="50"/>
        <v>High Profit</v>
      </c>
      <c r="U351" s="3" t="str">
        <f t="shared" si="51"/>
        <v>High Discount</v>
      </c>
      <c r="V351" s="3" t="str">
        <f t="shared" si="52"/>
        <v>Priority C</v>
      </c>
      <c r="W351">
        <f t="shared" si="53"/>
        <v>34312</v>
      </c>
      <c r="X351" t="s">
        <v>23</v>
      </c>
      <c r="Y351" t="s">
        <v>23</v>
      </c>
      <c r="Z351" t="s">
        <v>23</v>
      </c>
      <c r="AA351" t="s">
        <v>23</v>
      </c>
      <c r="AB351" t="s">
        <v>23</v>
      </c>
      <c r="AC351" t="s">
        <v>23</v>
      </c>
      <c r="AD351" t="s">
        <v>23</v>
      </c>
      <c r="AE351" t="s">
        <v>23</v>
      </c>
      <c r="AF351" t="s">
        <v>23</v>
      </c>
      <c r="AG351" t="s">
        <v>23</v>
      </c>
      <c r="AH351" t="s">
        <v>23</v>
      </c>
      <c r="AI351" t="s">
        <v>23</v>
      </c>
      <c r="AJ351" t="s">
        <v>23</v>
      </c>
    </row>
    <row r="352" spans="1:36" x14ac:dyDescent="0.35">
      <c r="A352" s="2">
        <v>1350</v>
      </c>
      <c r="B352" s="4">
        <v>45024</v>
      </c>
      <c r="C352" s="1" t="s">
        <v>34</v>
      </c>
      <c r="D352" s="1" t="s">
        <v>25</v>
      </c>
      <c r="E352">
        <v>515185</v>
      </c>
      <c r="F352">
        <v>12</v>
      </c>
      <c r="G352" s="1" t="s">
        <v>39</v>
      </c>
      <c r="H352">
        <v>37959</v>
      </c>
      <c r="I352">
        <v>42886</v>
      </c>
      <c r="J352" s="1" t="s">
        <v>27</v>
      </c>
      <c r="K352" s="3">
        <v>0</v>
      </c>
      <c r="L352" s="1" t="s">
        <v>28</v>
      </c>
      <c r="M352" s="1" t="s">
        <v>37</v>
      </c>
      <c r="N352" s="3">
        <v>2024010123</v>
      </c>
      <c r="O352" s="3">
        <f t="shared" si="45"/>
        <v>1.23</v>
      </c>
      <c r="P352" s="6">
        <f t="shared" si="46"/>
        <v>633677.55000000005</v>
      </c>
      <c r="Q352" s="3" t="str">
        <f t="shared" si="47"/>
        <v>Excellent</v>
      </c>
      <c r="R352" s="3">
        <f t="shared" si="48"/>
        <v>4927</v>
      </c>
      <c r="S352" s="7">
        <f t="shared" si="49"/>
        <v>59124</v>
      </c>
      <c r="T352" s="3" t="str">
        <f t="shared" si="50"/>
        <v>High Profit</v>
      </c>
      <c r="U352" s="3" t="str">
        <f t="shared" si="51"/>
        <v>No Discount</v>
      </c>
      <c r="V352" s="3" t="str">
        <f t="shared" si="52"/>
        <v>Priority C</v>
      </c>
      <c r="W352">
        <f t="shared" si="53"/>
        <v>77277.75</v>
      </c>
      <c r="X352" t="s">
        <v>23</v>
      </c>
      <c r="Y352" t="s">
        <v>23</v>
      </c>
      <c r="Z352" t="s">
        <v>23</v>
      </c>
      <c r="AA352" t="s">
        <v>23</v>
      </c>
      <c r="AB352" t="s">
        <v>23</v>
      </c>
      <c r="AC352" t="s">
        <v>23</v>
      </c>
      <c r="AD352" t="s">
        <v>23</v>
      </c>
      <c r="AE352" t="s">
        <v>23</v>
      </c>
      <c r="AF352" t="s">
        <v>23</v>
      </c>
      <c r="AG352" t="s">
        <v>23</v>
      </c>
      <c r="AH352" t="s">
        <v>23</v>
      </c>
      <c r="AI352" t="s">
        <v>23</v>
      </c>
      <c r="AJ352" t="s">
        <v>23</v>
      </c>
    </row>
    <row r="353" spans="1:36" x14ac:dyDescent="0.35">
      <c r="A353" s="2">
        <v>1351</v>
      </c>
      <c r="B353" s="4">
        <v>45207</v>
      </c>
      <c r="C353" s="1" t="s">
        <v>41</v>
      </c>
      <c r="D353" s="1" t="s">
        <v>43</v>
      </c>
      <c r="E353">
        <v>519778</v>
      </c>
      <c r="F353">
        <v>12</v>
      </c>
      <c r="G353" s="1" t="s">
        <v>39</v>
      </c>
      <c r="H353">
        <v>34254</v>
      </c>
      <c r="I353">
        <v>38902</v>
      </c>
      <c r="J353" s="1" t="s">
        <v>33</v>
      </c>
      <c r="K353" s="3">
        <v>3</v>
      </c>
      <c r="L353" s="1" t="s">
        <v>36</v>
      </c>
      <c r="M353" s="1" t="s">
        <v>37</v>
      </c>
      <c r="N353" s="3">
        <v>2024010123</v>
      </c>
      <c r="O353" s="3">
        <f t="shared" si="45"/>
        <v>1.23</v>
      </c>
      <c r="P353" s="6">
        <f t="shared" si="46"/>
        <v>639326.93999999994</v>
      </c>
      <c r="Q353" s="3" t="str">
        <f t="shared" si="47"/>
        <v>Excellent</v>
      </c>
      <c r="R353" s="3">
        <f t="shared" si="48"/>
        <v>4648</v>
      </c>
      <c r="S353" s="7">
        <f t="shared" si="49"/>
        <v>55776</v>
      </c>
      <c r="T353" s="3" t="str">
        <f t="shared" si="50"/>
        <v>High Profit</v>
      </c>
      <c r="U353" s="3" t="str">
        <f t="shared" si="51"/>
        <v>Low Discount</v>
      </c>
      <c r="V353" s="3" t="str">
        <f t="shared" si="52"/>
        <v>Priority C</v>
      </c>
      <c r="W353">
        <f t="shared" si="53"/>
        <v>51977.8</v>
      </c>
      <c r="X353" t="s">
        <v>23</v>
      </c>
      <c r="Y353" t="s">
        <v>23</v>
      </c>
      <c r="Z353" t="s">
        <v>23</v>
      </c>
      <c r="AA353" t="s">
        <v>23</v>
      </c>
      <c r="AB353" t="s">
        <v>23</v>
      </c>
      <c r="AC353" t="s">
        <v>23</v>
      </c>
      <c r="AD353" t="s">
        <v>23</v>
      </c>
      <c r="AE353" t="s">
        <v>23</v>
      </c>
      <c r="AF353" t="s">
        <v>23</v>
      </c>
      <c r="AG353" t="s">
        <v>23</v>
      </c>
      <c r="AH353" t="s">
        <v>23</v>
      </c>
      <c r="AI353" t="s">
        <v>23</v>
      </c>
      <c r="AJ353" t="s">
        <v>23</v>
      </c>
    </row>
    <row r="354" spans="1:36" x14ac:dyDescent="0.35">
      <c r="A354" s="2">
        <v>1352</v>
      </c>
      <c r="B354" s="4">
        <v>44975</v>
      </c>
      <c r="C354" s="1" t="s">
        <v>24</v>
      </c>
      <c r="D354" s="1" t="s">
        <v>25</v>
      </c>
      <c r="E354">
        <v>355249</v>
      </c>
      <c r="F354">
        <v>12</v>
      </c>
      <c r="G354" s="1" t="s">
        <v>35</v>
      </c>
      <c r="H354">
        <v>34852</v>
      </c>
      <c r="I354">
        <v>38413</v>
      </c>
      <c r="J354" s="1" t="s">
        <v>33</v>
      </c>
      <c r="K354" s="3">
        <v>3</v>
      </c>
      <c r="L354" s="1" t="s">
        <v>28</v>
      </c>
      <c r="M354" s="1" t="s">
        <v>29</v>
      </c>
      <c r="N354" s="3">
        <v>2024010123</v>
      </c>
      <c r="O354" s="3">
        <f t="shared" si="45"/>
        <v>1.23</v>
      </c>
      <c r="P354" s="6">
        <f t="shared" si="46"/>
        <v>436956.27</v>
      </c>
      <c r="Q354" s="3" t="str">
        <f t="shared" si="47"/>
        <v>Excellent</v>
      </c>
      <c r="R354" s="3">
        <f t="shared" si="48"/>
        <v>3561</v>
      </c>
      <c r="S354" s="7">
        <f t="shared" si="49"/>
        <v>42732</v>
      </c>
      <c r="T354" s="3" t="str">
        <f t="shared" si="50"/>
        <v>High Profit</v>
      </c>
      <c r="U354" s="3" t="str">
        <f t="shared" si="51"/>
        <v>Low Discount</v>
      </c>
      <c r="V354" s="3" t="str">
        <f t="shared" si="52"/>
        <v>Priority D</v>
      </c>
      <c r="W354">
        <f t="shared" si="53"/>
        <v>35524.9</v>
      </c>
      <c r="X354" t="s">
        <v>23</v>
      </c>
      <c r="Y354" t="s">
        <v>23</v>
      </c>
      <c r="Z354" t="s">
        <v>23</v>
      </c>
      <c r="AA354" t="s">
        <v>23</v>
      </c>
      <c r="AB354" t="s">
        <v>23</v>
      </c>
      <c r="AC354" t="s">
        <v>23</v>
      </c>
      <c r="AD354" t="s">
        <v>23</v>
      </c>
      <c r="AE354" t="s">
        <v>23</v>
      </c>
      <c r="AF354" t="s">
        <v>23</v>
      </c>
      <c r="AG354" t="s">
        <v>23</v>
      </c>
      <c r="AH354" t="s">
        <v>23</v>
      </c>
      <c r="AI354" t="s">
        <v>23</v>
      </c>
      <c r="AJ354" t="s">
        <v>23</v>
      </c>
    </row>
    <row r="355" spans="1:36" x14ac:dyDescent="0.35">
      <c r="A355" s="2">
        <v>1353</v>
      </c>
      <c r="B355" s="4">
        <v>45231</v>
      </c>
      <c r="C355" s="1" t="s">
        <v>24</v>
      </c>
      <c r="D355" s="1" t="s">
        <v>31</v>
      </c>
      <c r="E355">
        <v>132075</v>
      </c>
      <c r="F355">
        <v>12</v>
      </c>
      <c r="G355" s="1" t="s">
        <v>39</v>
      </c>
      <c r="H355">
        <v>44500</v>
      </c>
      <c r="I355">
        <v>47768</v>
      </c>
      <c r="J355" s="1" t="s">
        <v>33</v>
      </c>
      <c r="K355" s="3">
        <v>8</v>
      </c>
      <c r="L355" s="1" t="s">
        <v>40</v>
      </c>
      <c r="M355" s="1" t="s">
        <v>29</v>
      </c>
      <c r="N355" s="3">
        <v>2024010123</v>
      </c>
      <c r="O355" s="3">
        <f t="shared" si="45"/>
        <v>1.23</v>
      </c>
      <c r="P355" s="6">
        <f t="shared" si="46"/>
        <v>162452.25</v>
      </c>
      <c r="Q355" s="3" t="str">
        <f t="shared" si="47"/>
        <v>Excellent</v>
      </c>
      <c r="R355" s="3">
        <f t="shared" si="48"/>
        <v>3268</v>
      </c>
      <c r="S355" s="7">
        <f t="shared" si="49"/>
        <v>39216</v>
      </c>
      <c r="T355" s="3" t="str">
        <f t="shared" si="50"/>
        <v>High Profit</v>
      </c>
      <c r="U355" s="3" t="str">
        <f t="shared" si="51"/>
        <v>Medium Discount</v>
      </c>
      <c r="V355" s="3" t="str">
        <f t="shared" si="52"/>
        <v>Priority D</v>
      </c>
      <c r="W355">
        <f t="shared" si="53"/>
        <v>13207.5</v>
      </c>
      <c r="X355" t="s">
        <v>23</v>
      </c>
      <c r="Y355" t="s">
        <v>23</v>
      </c>
      <c r="Z355" t="s">
        <v>23</v>
      </c>
      <c r="AA355" t="s">
        <v>23</v>
      </c>
      <c r="AB355" t="s">
        <v>23</v>
      </c>
      <c r="AC355" t="s">
        <v>23</v>
      </c>
      <c r="AD355" t="s">
        <v>23</v>
      </c>
      <c r="AE355" t="s">
        <v>23</v>
      </c>
      <c r="AF355" t="s">
        <v>23</v>
      </c>
      <c r="AG355" t="s">
        <v>23</v>
      </c>
      <c r="AH355" t="s">
        <v>23</v>
      </c>
      <c r="AI355" t="s">
        <v>23</v>
      </c>
      <c r="AJ355" t="s">
        <v>23</v>
      </c>
    </row>
    <row r="356" spans="1:36" x14ac:dyDescent="0.35">
      <c r="A356" s="2">
        <v>1354</v>
      </c>
      <c r="B356" s="4">
        <v>45051</v>
      </c>
      <c r="C356" s="1" t="s">
        <v>30</v>
      </c>
      <c r="D356" s="1" t="s">
        <v>42</v>
      </c>
      <c r="E356">
        <v>446848</v>
      </c>
      <c r="F356">
        <v>12</v>
      </c>
      <c r="G356" s="1" t="s">
        <v>39</v>
      </c>
      <c r="H356">
        <v>29441</v>
      </c>
      <c r="I356">
        <v>31748</v>
      </c>
      <c r="J356" s="1" t="s">
        <v>33</v>
      </c>
      <c r="K356" s="3">
        <v>12</v>
      </c>
      <c r="L356" s="1" t="s">
        <v>28</v>
      </c>
      <c r="M356" s="1" t="s">
        <v>29</v>
      </c>
      <c r="N356" s="3">
        <v>2024010123</v>
      </c>
      <c r="O356" s="3">
        <f t="shared" si="45"/>
        <v>1.23</v>
      </c>
      <c r="P356" s="6">
        <f t="shared" si="46"/>
        <v>549623.04000000004</v>
      </c>
      <c r="Q356" s="3" t="str">
        <f t="shared" si="47"/>
        <v>Excellent</v>
      </c>
      <c r="R356" s="3">
        <f t="shared" si="48"/>
        <v>2307</v>
      </c>
      <c r="S356" s="7">
        <f t="shared" si="49"/>
        <v>27684</v>
      </c>
      <c r="T356" s="3" t="str">
        <f t="shared" si="50"/>
        <v>High Profit</v>
      </c>
      <c r="U356" s="3" t="str">
        <f t="shared" si="51"/>
        <v>Medium Discount</v>
      </c>
      <c r="V356" s="3" t="str">
        <f t="shared" si="52"/>
        <v>Priority D</v>
      </c>
      <c r="W356">
        <f t="shared" si="53"/>
        <v>44684.800000000003</v>
      </c>
      <c r="X356" t="s">
        <v>23</v>
      </c>
      <c r="Y356" t="s">
        <v>23</v>
      </c>
      <c r="Z356" t="s">
        <v>23</v>
      </c>
      <c r="AA356" t="s">
        <v>23</v>
      </c>
      <c r="AB356" t="s">
        <v>23</v>
      </c>
      <c r="AC356" t="s">
        <v>23</v>
      </c>
      <c r="AD356" t="s">
        <v>23</v>
      </c>
      <c r="AE356" t="s">
        <v>23</v>
      </c>
      <c r="AF356" t="s">
        <v>23</v>
      </c>
      <c r="AG356" t="s">
        <v>23</v>
      </c>
      <c r="AH356" t="s">
        <v>23</v>
      </c>
      <c r="AI356" t="s">
        <v>23</v>
      </c>
      <c r="AJ356" t="s">
        <v>23</v>
      </c>
    </row>
    <row r="357" spans="1:36" x14ac:dyDescent="0.35">
      <c r="A357" s="2">
        <v>1355</v>
      </c>
      <c r="B357" s="4">
        <v>45241</v>
      </c>
      <c r="C357" s="1" t="s">
        <v>41</v>
      </c>
      <c r="D357" s="1" t="s">
        <v>31</v>
      </c>
      <c r="E357">
        <v>297440</v>
      </c>
      <c r="F357">
        <v>12</v>
      </c>
      <c r="G357" s="1" t="s">
        <v>32</v>
      </c>
      <c r="H357">
        <v>34468</v>
      </c>
      <c r="I357">
        <v>38276</v>
      </c>
      <c r="J357" s="1" t="s">
        <v>27</v>
      </c>
      <c r="K357" s="3">
        <v>11</v>
      </c>
      <c r="L357" s="1" t="s">
        <v>36</v>
      </c>
      <c r="M357" s="1" t="s">
        <v>37</v>
      </c>
      <c r="N357" s="3">
        <v>2024010123</v>
      </c>
      <c r="O357" s="3">
        <f t="shared" si="45"/>
        <v>1.23</v>
      </c>
      <c r="P357" s="6">
        <f t="shared" si="46"/>
        <v>365851.2</v>
      </c>
      <c r="Q357" s="3" t="str">
        <f t="shared" si="47"/>
        <v>Excellent</v>
      </c>
      <c r="R357" s="3">
        <f t="shared" si="48"/>
        <v>3808</v>
      </c>
      <c r="S357" s="7">
        <f t="shared" si="49"/>
        <v>45696</v>
      </c>
      <c r="T357" s="3" t="str">
        <f t="shared" si="50"/>
        <v>High Profit</v>
      </c>
      <c r="U357" s="3" t="str">
        <f t="shared" si="51"/>
        <v>Medium Discount</v>
      </c>
      <c r="V357" s="3" t="str">
        <f t="shared" si="52"/>
        <v>Priority C</v>
      </c>
      <c r="W357">
        <f t="shared" si="53"/>
        <v>44616</v>
      </c>
      <c r="X357" t="s">
        <v>23</v>
      </c>
      <c r="Y357" t="s">
        <v>23</v>
      </c>
      <c r="Z357" t="s">
        <v>23</v>
      </c>
      <c r="AA357" t="s">
        <v>23</v>
      </c>
      <c r="AB357" t="s">
        <v>23</v>
      </c>
      <c r="AC357" t="s">
        <v>23</v>
      </c>
      <c r="AD357" t="s">
        <v>23</v>
      </c>
      <c r="AE357" t="s">
        <v>23</v>
      </c>
      <c r="AF357" t="s">
        <v>23</v>
      </c>
      <c r="AG357" t="s">
        <v>23</v>
      </c>
      <c r="AH357" t="s">
        <v>23</v>
      </c>
      <c r="AI357" t="s">
        <v>23</v>
      </c>
      <c r="AJ357" t="s">
        <v>23</v>
      </c>
    </row>
    <row r="358" spans="1:36" x14ac:dyDescent="0.35">
      <c r="A358" s="2">
        <v>1356</v>
      </c>
      <c r="B358" s="4">
        <v>45115</v>
      </c>
      <c r="C358" s="1" t="s">
        <v>41</v>
      </c>
      <c r="D358" s="1" t="s">
        <v>31</v>
      </c>
      <c r="E358">
        <v>112148</v>
      </c>
      <c r="F358">
        <v>12</v>
      </c>
      <c r="G358" s="1" t="s">
        <v>32</v>
      </c>
      <c r="H358">
        <v>52970</v>
      </c>
      <c r="I358">
        <v>57234</v>
      </c>
      <c r="J358" s="1" t="s">
        <v>27</v>
      </c>
      <c r="K358" s="3">
        <v>22</v>
      </c>
      <c r="L358" s="1" t="s">
        <v>40</v>
      </c>
      <c r="M358" s="1" t="s">
        <v>29</v>
      </c>
      <c r="N358" s="3">
        <v>2024010123</v>
      </c>
      <c r="O358" s="3">
        <f t="shared" si="45"/>
        <v>1.23</v>
      </c>
      <c r="P358" s="6">
        <f t="shared" si="46"/>
        <v>137942.04</v>
      </c>
      <c r="Q358" s="3" t="str">
        <f t="shared" si="47"/>
        <v>Excellent</v>
      </c>
      <c r="R358" s="3">
        <f t="shared" si="48"/>
        <v>4264</v>
      </c>
      <c r="S358" s="7">
        <f t="shared" si="49"/>
        <v>51168</v>
      </c>
      <c r="T358" s="3" t="str">
        <f t="shared" si="50"/>
        <v>High Profit</v>
      </c>
      <c r="U358" s="3" t="str">
        <f t="shared" si="51"/>
        <v>High Discount</v>
      </c>
      <c r="V358" s="3" t="str">
        <f t="shared" si="52"/>
        <v>Priority D</v>
      </c>
      <c r="W358">
        <f t="shared" si="53"/>
        <v>16822.2</v>
      </c>
      <c r="X358" t="s">
        <v>23</v>
      </c>
      <c r="Y358" t="s">
        <v>23</v>
      </c>
      <c r="Z358" t="s">
        <v>23</v>
      </c>
      <c r="AA358" t="s">
        <v>23</v>
      </c>
      <c r="AB358" t="s">
        <v>23</v>
      </c>
      <c r="AC358" t="s">
        <v>23</v>
      </c>
      <c r="AD358" t="s">
        <v>23</v>
      </c>
      <c r="AE358" t="s">
        <v>23</v>
      </c>
      <c r="AF358" t="s">
        <v>23</v>
      </c>
      <c r="AG358" t="s">
        <v>23</v>
      </c>
      <c r="AH358" t="s">
        <v>23</v>
      </c>
      <c r="AI358" t="s">
        <v>23</v>
      </c>
      <c r="AJ358" t="s">
        <v>23</v>
      </c>
    </row>
    <row r="359" spans="1:36" x14ac:dyDescent="0.35">
      <c r="A359" s="2">
        <v>1357</v>
      </c>
      <c r="B359" s="4">
        <v>45108</v>
      </c>
      <c r="C359" s="1" t="s">
        <v>24</v>
      </c>
      <c r="D359" s="1" t="s">
        <v>31</v>
      </c>
      <c r="E359">
        <v>400137</v>
      </c>
      <c r="F359">
        <v>12</v>
      </c>
      <c r="G359" s="1" t="s">
        <v>32</v>
      </c>
      <c r="H359">
        <v>37650</v>
      </c>
      <c r="I359">
        <v>42632</v>
      </c>
      <c r="J359" s="1" t="s">
        <v>27</v>
      </c>
      <c r="K359" s="3">
        <v>20</v>
      </c>
      <c r="L359" s="1" t="s">
        <v>36</v>
      </c>
      <c r="M359" s="1" t="s">
        <v>37</v>
      </c>
      <c r="N359" s="3">
        <v>2024010123</v>
      </c>
      <c r="O359" s="3">
        <f t="shared" si="45"/>
        <v>1.23</v>
      </c>
      <c r="P359" s="6">
        <f t="shared" si="46"/>
        <v>492168.51</v>
      </c>
      <c r="Q359" s="3" t="str">
        <f t="shared" si="47"/>
        <v>Excellent</v>
      </c>
      <c r="R359" s="3">
        <f t="shared" si="48"/>
        <v>4982</v>
      </c>
      <c r="S359" s="7">
        <f t="shared" si="49"/>
        <v>59784</v>
      </c>
      <c r="T359" s="3" t="str">
        <f t="shared" si="50"/>
        <v>High Profit</v>
      </c>
      <c r="U359" s="3" t="str">
        <f t="shared" si="51"/>
        <v>High Discount</v>
      </c>
      <c r="V359" s="3" t="str">
        <f t="shared" si="52"/>
        <v>Priority C</v>
      </c>
      <c r="W359">
        <f t="shared" si="53"/>
        <v>60020.549999999996</v>
      </c>
      <c r="X359" t="s">
        <v>23</v>
      </c>
      <c r="Y359" t="s">
        <v>23</v>
      </c>
      <c r="Z359" t="s">
        <v>23</v>
      </c>
      <c r="AA359" t="s">
        <v>23</v>
      </c>
      <c r="AB359" t="s">
        <v>23</v>
      </c>
      <c r="AC359" t="s">
        <v>23</v>
      </c>
      <c r="AD359" t="s">
        <v>23</v>
      </c>
      <c r="AE359" t="s">
        <v>23</v>
      </c>
      <c r="AF359" t="s">
        <v>23</v>
      </c>
      <c r="AG359" t="s">
        <v>23</v>
      </c>
      <c r="AH359" t="s">
        <v>23</v>
      </c>
      <c r="AI359" t="s">
        <v>23</v>
      </c>
      <c r="AJ359" t="s">
        <v>23</v>
      </c>
    </row>
    <row r="360" spans="1:36" x14ac:dyDescent="0.35">
      <c r="A360" s="2">
        <v>1358</v>
      </c>
      <c r="B360" s="4">
        <v>45113</v>
      </c>
      <c r="C360" s="1" t="s">
        <v>30</v>
      </c>
      <c r="D360" s="1" t="s">
        <v>25</v>
      </c>
      <c r="E360">
        <v>242468</v>
      </c>
      <c r="F360">
        <v>12</v>
      </c>
      <c r="G360" s="1" t="s">
        <v>35</v>
      </c>
      <c r="H360">
        <v>34199</v>
      </c>
      <c r="I360">
        <v>36725</v>
      </c>
      <c r="J360" s="1" t="s">
        <v>33</v>
      </c>
      <c r="K360" s="3">
        <v>30</v>
      </c>
      <c r="L360" s="1" t="s">
        <v>40</v>
      </c>
      <c r="M360" s="1" t="s">
        <v>37</v>
      </c>
      <c r="N360" s="3">
        <v>2024010123</v>
      </c>
      <c r="O360" s="3">
        <f t="shared" si="45"/>
        <v>1.23</v>
      </c>
      <c r="P360" s="6">
        <f t="shared" si="46"/>
        <v>298235.64</v>
      </c>
      <c r="Q360" s="3" t="str">
        <f t="shared" si="47"/>
        <v>Excellent</v>
      </c>
      <c r="R360" s="3">
        <f t="shared" si="48"/>
        <v>2526</v>
      </c>
      <c r="S360" s="7">
        <f t="shared" si="49"/>
        <v>30312</v>
      </c>
      <c r="T360" s="3" t="str">
        <f t="shared" si="50"/>
        <v>High Profit</v>
      </c>
      <c r="U360" s="3" t="str">
        <f t="shared" si="51"/>
        <v>High Discount</v>
      </c>
      <c r="V360" s="3" t="str">
        <f t="shared" si="52"/>
        <v>Priority C</v>
      </c>
      <c r="W360">
        <f t="shared" si="53"/>
        <v>24246.800000000003</v>
      </c>
      <c r="X360" t="s">
        <v>23</v>
      </c>
      <c r="Y360" t="s">
        <v>23</v>
      </c>
      <c r="Z360" t="s">
        <v>23</v>
      </c>
      <c r="AA360" t="s">
        <v>23</v>
      </c>
      <c r="AB360" t="s">
        <v>23</v>
      </c>
      <c r="AC360" t="s">
        <v>23</v>
      </c>
      <c r="AD360" t="s">
        <v>23</v>
      </c>
      <c r="AE360" t="s">
        <v>23</v>
      </c>
      <c r="AF360" t="s">
        <v>23</v>
      </c>
      <c r="AG360" t="s">
        <v>23</v>
      </c>
      <c r="AH360" t="s">
        <v>23</v>
      </c>
      <c r="AI360" t="s">
        <v>23</v>
      </c>
      <c r="AJ360" t="s">
        <v>23</v>
      </c>
    </row>
    <row r="361" spans="1:36" x14ac:dyDescent="0.35">
      <c r="A361" s="2">
        <v>1359</v>
      </c>
      <c r="B361" s="4">
        <v>44939</v>
      </c>
      <c r="C361" s="1" t="s">
        <v>24</v>
      </c>
      <c r="D361" s="1" t="s">
        <v>42</v>
      </c>
      <c r="E361">
        <v>13490</v>
      </c>
      <c r="F361">
        <v>12</v>
      </c>
      <c r="G361" s="1" t="s">
        <v>26</v>
      </c>
      <c r="H361">
        <v>31504</v>
      </c>
      <c r="I361">
        <v>35151</v>
      </c>
      <c r="J361" s="1" t="s">
        <v>33</v>
      </c>
      <c r="K361" s="3">
        <v>20</v>
      </c>
      <c r="L361" s="1" t="s">
        <v>28</v>
      </c>
      <c r="M361" s="1" t="s">
        <v>37</v>
      </c>
      <c r="N361" s="3">
        <v>2024010123</v>
      </c>
      <c r="O361" s="3">
        <f t="shared" si="45"/>
        <v>1.23</v>
      </c>
      <c r="P361" s="6">
        <f t="shared" si="46"/>
        <v>16592.7</v>
      </c>
      <c r="Q361" s="3" t="str">
        <f t="shared" si="47"/>
        <v>Excellent</v>
      </c>
      <c r="R361" s="3">
        <f t="shared" si="48"/>
        <v>3647</v>
      </c>
      <c r="S361" s="7">
        <f t="shared" si="49"/>
        <v>43764</v>
      </c>
      <c r="T361" s="3" t="str">
        <f t="shared" si="50"/>
        <v>High Profit</v>
      </c>
      <c r="U361" s="3" t="str">
        <f t="shared" si="51"/>
        <v>High Discount</v>
      </c>
      <c r="V361" s="3" t="str">
        <f t="shared" si="52"/>
        <v>Priority C</v>
      </c>
      <c r="W361">
        <f t="shared" si="53"/>
        <v>1349</v>
      </c>
      <c r="X361" t="s">
        <v>23</v>
      </c>
      <c r="Y361" t="s">
        <v>23</v>
      </c>
      <c r="Z361" t="s">
        <v>23</v>
      </c>
      <c r="AA361" t="s">
        <v>23</v>
      </c>
      <c r="AB361" t="s">
        <v>23</v>
      </c>
      <c r="AC361" t="s">
        <v>23</v>
      </c>
      <c r="AD361" t="s">
        <v>23</v>
      </c>
      <c r="AE361" t="s">
        <v>23</v>
      </c>
      <c r="AF361" t="s">
        <v>23</v>
      </c>
      <c r="AG361" t="s">
        <v>23</v>
      </c>
      <c r="AH361" t="s">
        <v>23</v>
      </c>
      <c r="AI361" t="s">
        <v>23</v>
      </c>
      <c r="AJ361" t="s">
        <v>23</v>
      </c>
    </row>
    <row r="362" spans="1:36" x14ac:dyDescent="0.35">
      <c r="A362" s="2">
        <v>1360</v>
      </c>
      <c r="B362" s="4">
        <v>45013</v>
      </c>
      <c r="C362" s="1" t="s">
        <v>38</v>
      </c>
      <c r="D362" s="1" t="s">
        <v>43</v>
      </c>
      <c r="E362">
        <v>430500</v>
      </c>
      <c r="F362">
        <v>21</v>
      </c>
      <c r="G362" s="1" t="s">
        <v>39</v>
      </c>
      <c r="H362">
        <v>25894</v>
      </c>
      <c r="I362">
        <v>37473</v>
      </c>
      <c r="J362" s="1" t="s">
        <v>33</v>
      </c>
      <c r="K362" s="3">
        <v>0</v>
      </c>
      <c r="L362" s="1" t="s">
        <v>36</v>
      </c>
      <c r="M362" s="1" t="s">
        <v>37</v>
      </c>
      <c r="N362" s="3">
        <v>2024010123</v>
      </c>
      <c r="O362" s="3">
        <f t="shared" si="45"/>
        <v>1.23</v>
      </c>
      <c r="P362" s="6">
        <f t="shared" si="46"/>
        <v>529515</v>
      </c>
      <c r="Q362" s="3" t="str">
        <f t="shared" si="47"/>
        <v>Excellent</v>
      </c>
      <c r="R362" s="3">
        <f t="shared" si="48"/>
        <v>11579</v>
      </c>
      <c r="S362" s="7">
        <f t="shared" si="49"/>
        <v>243159</v>
      </c>
      <c r="T362" s="3" t="str">
        <f t="shared" si="50"/>
        <v>High Profit</v>
      </c>
      <c r="U362" s="3" t="str">
        <f t="shared" si="51"/>
        <v>No Discount</v>
      </c>
      <c r="V362" s="3" t="str">
        <f t="shared" si="52"/>
        <v>Priority B</v>
      </c>
      <c r="W362">
        <f t="shared" si="53"/>
        <v>43050</v>
      </c>
      <c r="X362" t="s">
        <v>23</v>
      </c>
      <c r="Y362" t="s">
        <v>23</v>
      </c>
      <c r="Z362" t="s">
        <v>23</v>
      </c>
      <c r="AA362" t="s">
        <v>23</v>
      </c>
      <c r="AB362" t="s">
        <v>23</v>
      </c>
      <c r="AC362" t="s">
        <v>23</v>
      </c>
      <c r="AD362" t="s">
        <v>23</v>
      </c>
      <c r="AE362" t="s">
        <v>23</v>
      </c>
      <c r="AF362" t="s">
        <v>23</v>
      </c>
      <c r="AG362" t="s">
        <v>23</v>
      </c>
      <c r="AH362" t="s">
        <v>23</v>
      </c>
      <c r="AI362" t="s">
        <v>23</v>
      </c>
      <c r="AJ362" t="s">
        <v>23</v>
      </c>
    </row>
    <row r="363" spans="1:36" x14ac:dyDescent="0.35">
      <c r="A363" s="2">
        <v>1361</v>
      </c>
      <c r="B363" s="4">
        <v>45064</v>
      </c>
      <c r="C363" s="1" t="s">
        <v>38</v>
      </c>
      <c r="D363" s="1" t="s">
        <v>42</v>
      </c>
      <c r="E363">
        <v>837212</v>
      </c>
      <c r="F363">
        <v>12</v>
      </c>
      <c r="G363" s="1" t="s">
        <v>39</v>
      </c>
      <c r="H363">
        <v>29259</v>
      </c>
      <c r="I363">
        <v>36074</v>
      </c>
      <c r="J363" s="1" t="s">
        <v>27</v>
      </c>
      <c r="K363" s="3">
        <v>2</v>
      </c>
      <c r="L363" s="1" t="s">
        <v>28</v>
      </c>
      <c r="M363" s="1" t="s">
        <v>37</v>
      </c>
      <c r="N363" s="3">
        <v>2024010123</v>
      </c>
      <c r="O363" s="3">
        <f t="shared" si="45"/>
        <v>1.23</v>
      </c>
      <c r="P363" s="6">
        <f t="shared" si="46"/>
        <v>1029770.76</v>
      </c>
      <c r="Q363" s="3" t="str">
        <f t="shared" si="47"/>
        <v>Excellent</v>
      </c>
      <c r="R363" s="3">
        <f t="shared" si="48"/>
        <v>6815</v>
      </c>
      <c r="S363" s="7">
        <f t="shared" si="49"/>
        <v>81780</v>
      </c>
      <c r="T363" s="3" t="str">
        <f t="shared" si="50"/>
        <v>High Profit</v>
      </c>
      <c r="U363" s="3" t="str">
        <f t="shared" si="51"/>
        <v>Low Discount</v>
      </c>
      <c r="V363" s="3" t="str">
        <f t="shared" si="52"/>
        <v>Priority C</v>
      </c>
      <c r="W363">
        <f t="shared" si="53"/>
        <v>125581.79999999999</v>
      </c>
      <c r="X363" t="s">
        <v>23</v>
      </c>
      <c r="Y363" t="s">
        <v>23</v>
      </c>
      <c r="Z363" t="s">
        <v>23</v>
      </c>
      <c r="AA363" t="s">
        <v>23</v>
      </c>
      <c r="AB363" t="s">
        <v>23</v>
      </c>
      <c r="AC363" t="s">
        <v>23</v>
      </c>
      <c r="AD363" t="s">
        <v>23</v>
      </c>
      <c r="AE363" t="s">
        <v>23</v>
      </c>
      <c r="AF363" t="s">
        <v>23</v>
      </c>
      <c r="AG363" t="s">
        <v>23</v>
      </c>
      <c r="AH363" t="s">
        <v>23</v>
      </c>
      <c r="AI363" t="s">
        <v>23</v>
      </c>
      <c r="AJ363" t="s">
        <v>23</v>
      </c>
    </row>
    <row r="364" spans="1:36" x14ac:dyDescent="0.35">
      <c r="A364" s="2">
        <v>1362</v>
      </c>
      <c r="B364" s="4">
        <v>45199</v>
      </c>
      <c r="C364" s="1" t="s">
        <v>24</v>
      </c>
      <c r="D364" s="1" t="s">
        <v>25</v>
      </c>
      <c r="E364">
        <v>580548</v>
      </c>
      <c r="F364">
        <v>29</v>
      </c>
      <c r="G364" s="1" t="s">
        <v>35</v>
      </c>
      <c r="H364">
        <v>10041</v>
      </c>
      <c r="I364">
        <v>22686</v>
      </c>
      <c r="J364" s="1" t="s">
        <v>27</v>
      </c>
      <c r="K364" s="3">
        <v>2</v>
      </c>
      <c r="L364" s="1" t="s">
        <v>28</v>
      </c>
      <c r="M364" s="1" t="s">
        <v>29</v>
      </c>
      <c r="N364" s="3">
        <v>2024010123</v>
      </c>
      <c r="O364" s="3">
        <f t="shared" si="45"/>
        <v>1.23</v>
      </c>
      <c r="P364" s="6">
        <f t="shared" si="46"/>
        <v>714074.04</v>
      </c>
      <c r="Q364" s="3" t="str">
        <f t="shared" si="47"/>
        <v>Excellent</v>
      </c>
      <c r="R364" s="3">
        <f t="shared" si="48"/>
        <v>12645</v>
      </c>
      <c r="S364" s="7">
        <f t="shared" si="49"/>
        <v>366705</v>
      </c>
      <c r="T364" s="3" t="str">
        <f t="shared" si="50"/>
        <v>High Profit</v>
      </c>
      <c r="U364" s="3" t="str">
        <f t="shared" si="51"/>
        <v>Low Discount</v>
      </c>
      <c r="V364" s="3" t="str">
        <f t="shared" si="52"/>
        <v>Priority C</v>
      </c>
      <c r="W364">
        <f t="shared" si="53"/>
        <v>87082.2</v>
      </c>
      <c r="X364" t="s">
        <v>23</v>
      </c>
      <c r="Y364" t="s">
        <v>23</v>
      </c>
      <c r="Z364" t="s">
        <v>23</v>
      </c>
      <c r="AA364" t="s">
        <v>23</v>
      </c>
      <c r="AB364" t="s">
        <v>23</v>
      </c>
      <c r="AC364" t="s">
        <v>23</v>
      </c>
      <c r="AD364" t="s">
        <v>23</v>
      </c>
      <c r="AE364" t="s">
        <v>23</v>
      </c>
      <c r="AF364" t="s">
        <v>23</v>
      </c>
      <c r="AG364" t="s">
        <v>23</v>
      </c>
      <c r="AH364" t="s">
        <v>23</v>
      </c>
      <c r="AI364" t="s">
        <v>23</v>
      </c>
      <c r="AJ364" t="s">
        <v>23</v>
      </c>
    </row>
    <row r="365" spans="1:36" x14ac:dyDescent="0.35">
      <c r="A365" s="2">
        <v>1363</v>
      </c>
      <c r="B365" s="4">
        <v>45257</v>
      </c>
      <c r="C365" s="1" t="s">
        <v>38</v>
      </c>
      <c r="D365" s="1" t="s">
        <v>42</v>
      </c>
      <c r="E365">
        <v>217379</v>
      </c>
      <c r="F365">
        <v>39</v>
      </c>
      <c r="G365" s="1" t="s">
        <v>35</v>
      </c>
      <c r="H365">
        <v>21868</v>
      </c>
      <c r="I365">
        <v>29745</v>
      </c>
      <c r="J365" s="1" t="s">
        <v>27</v>
      </c>
      <c r="K365" s="3">
        <v>11</v>
      </c>
      <c r="L365" s="1" t="s">
        <v>36</v>
      </c>
      <c r="M365" s="1" t="s">
        <v>37</v>
      </c>
      <c r="N365" s="3">
        <v>2024010123</v>
      </c>
      <c r="O365" s="3">
        <f t="shared" si="45"/>
        <v>1.23</v>
      </c>
      <c r="P365" s="6">
        <f t="shared" si="46"/>
        <v>267376.17</v>
      </c>
      <c r="Q365" s="3" t="str">
        <f t="shared" si="47"/>
        <v>Excellent</v>
      </c>
      <c r="R365" s="3">
        <f t="shared" si="48"/>
        <v>7877</v>
      </c>
      <c r="S365" s="7">
        <f t="shared" si="49"/>
        <v>307203</v>
      </c>
      <c r="T365" s="3" t="str">
        <f t="shared" si="50"/>
        <v>High Profit</v>
      </c>
      <c r="U365" s="3" t="str">
        <f t="shared" si="51"/>
        <v>Medium Discount</v>
      </c>
      <c r="V365" s="3" t="str">
        <f t="shared" si="52"/>
        <v>Priority C</v>
      </c>
      <c r="W365">
        <f t="shared" si="53"/>
        <v>32606.85</v>
      </c>
      <c r="X365" t="s">
        <v>23</v>
      </c>
      <c r="Y365" t="s">
        <v>23</v>
      </c>
      <c r="Z365" t="s">
        <v>23</v>
      </c>
      <c r="AA365" t="s">
        <v>23</v>
      </c>
      <c r="AB365" t="s">
        <v>23</v>
      </c>
      <c r="AC365" t="s">
        <v>23</v>
      </c>
      <c r="AD365" t="s">
        <v>23</v>
      </c>
      <c r="AE365" t="s">
        <v>23</v>
      </c>
      <c r="AF365" t="s">
        <v>23</v>
      </c>
      <c r="AG365" t="s">
        <v>23</v>
      </c>
      <c r="AH365" t="s">
        <v>23</v>
      </c>
      <c r="AI365" t="s">
        <v>23</v>
      </c>
      <c r="AJ365" t="s">
        <v>23</v>
      </c>
    </row>
    <row r="366" spans="1:36" x14ac:dyDescent="0.35">
      <c r="A366" s="2">
        <v>1364</v>
      </c>
      <c r="B366" s="4">
        <v>45063</v>
      </c>
      <c r="C366" s="1" t="s">
        <v>24</v>
      </c>
      <c r="D366" s="1" t="s">
        <v>31</v>
      </c>
      <c r="E366">
        <v>811686</v>
      </c>
      <c r="F366">
        <v>22</v>
      </c>
      <c r="G366" s="1" t="s">
        <v>26</v>
      </c>
      <c r="H366">
        <v>16400</v>
      </c>
      <c r="I366">
        <v>29894</v>
      </c>
      <c r="J366" s="1" t="s">
        <v>33</v>
      </c>
      <c r="K366" s="3">
        <v>10</v>
      </c>
      <c r="L366" s="1" t="s">
        <v>40</v>
      </c>
      <c r="M366" s="1" t="s">
        <v>37</v>
      </c>
      <c r="N366" s="3">
        <v>2024010123</v>
      </c>
      <c r="O366" s="3">
        <f t="shared" si="45"/>
        <v>1.23</v>
      </c>
      <c r="P366" s="6">
        <f t="shared" si="46"/>
        <v>998373.78</v>
      </c>
      <c r="Q366" s="3" t="str">
        <f t="shared" si="47"/>
        <v>Excellent</v>
      </c>
      <c r="R366" s="3">
        <f t="shared" si="48"/>
        <v>13494</v>
      </c>
      <c r="S366" s="7">
        <f t="shared" si="49"/>
        <v>296868</v>
      </c>
      <c r="T366" s="3" t="str">
        <f t="shared" si="50"/>
        <v>High Profit</v>
      </c>
      <c r="U366" s="3" t="str">
        <f t="shared" si="51"/>
        <v>Medium Discount</v>
      </c>
      <c r="V366" s="3" t="str">
        <f t="shared" si="52"/>
        <v>Priority C</v>
      </c>
      <c r="W366">
        <f t="shared" si="53"/>
        <v>81168.600000000006</v>
      </c>
      <c r="X366" t="s">
        <v>23</v>
      </c>
      <c r="Y366" t="s">
        <v>23</v>
      </c>
      <c r="Z366" t="s">
        <v>23</v>
      </c>
      <c r="AA366" t="s">
        <v>23</v>
      </c>
      <c r="AB366" t="s">
        <v>23</v>
      </c>
      <c r="AC366" t="s">
        <v>23</v>
      </c>
      <c r="AD366" t="s">
        <v>23</v>
      </c>
      <c r="AE366" t="s">
        <v>23</v>
      </c>
      <c r="AF366" t="s">
        <v>23</v>
      </c>
      <c r="AG366" t="s">
        <v>23</v>
      </c>
      <c r="AH366" t="s">
        <v>23</v>
      </c>
      <c r="AI366" t="s">
        <v>23</v>
      </c>
      <c r="AJ366" t="s">
        <v>23</v>
      </c>
    </row>
    <row r="367" spans="1:36" x14ac:dyDescent="0.35">
      <c r="A367" s="2">
        <v>1365</v>
      </c>
      <c r="B367" s="4">
        <v>45096</v>
      </c>
      <c r="C367" s="1" t="s">
        <v>30</v>
      </c>
      <c r="D367" s="1" t="s">
        <v>25</v>
      </c>
      <c r="E367">
        <v>816035</v>
      </c>
      <c r="F367">
        <v>38</v>
      </c>
      <c r="G367" s="1" t="s">
        <v>32</v>
      </c>
      <c r="H367">
        <v>11958</v>
      </c>
      <c r="I367">
        <v>23724</v>
      </c>
      <c r="J367" s="1" t="s">
        <v>33</v>
      </c>
      <c r="K367" s="3">
        <v>10</v>
      </c>
      <c r="L367" s="1" t="s">
        <v>40</v>
      </c>
      <c r="M367" s="1" t="s">
        <v>37</v>
      </c>
      <c r="N367" s="3">
        <v>2024010123</v>
      </c>
      <c r="O367" s="3">
        <f t="shared" si="45"/>
        <v>1.23</v>
      </c>
      <c r="P367" s="6">
        <f t="shared" si="46"/>
        <v>1003723.0499999999</v>
      </c>
      <c r="Q367" s="3" t="str">
        <f t="shared" si="47"/>
        <v>Excellent</v>
      </c>
      <c r="R367" s="3">
        <f t="shared" si="48"/>
        <v>11766</v>
      </c>
      <c r="S367" s="7">
        <f t="shared" si="49"/>
        <v>447108</v>
      </c>
      <c r="T367" s="3" t="str">
        <f t="shared" si="50"/>
        <v>High Profit</v>
      </c>
      <c r="U367" s="3" t="str">
        <f t="shared" si="51"/>
        <v>Medium Discount</v>
      </c>
      <c r="V367" s="3" t="str">
        <f t="shared" si="52"/>
        <v>Priority B</v>
      </c>
      <c r="W367">
        <f t="shared" si="53"/>
        <v>81603.5</v>
      </c>
      <c r="X367" t="s">
        <v>23</v>
      </c>
      <c r="Y367" t="s">
        <v>23</v>
      </c>
      <c r="Z367" t="s">
        <v>23</v>
      </c>
      <c r="AA367" t="s">
        <v>23</v>
      </c>
      <c r="AB367" t="s">
        <v>23</v>
      </c>
      <c r="AC367" t="s">
        <v>23</v>
      </c>
      <c r="AD367" t="s">
        <v>23</v>
      </c>
      <c r="AE367" t="s">
        <v>23</v>
      </c>
      <c r="AF367" t="s">
        <v>23</v>
      </c>
      <c r="AG367" t="s">
        <v>23</v>
      </c>
      <c r="AH367" t="s">
        <v>23</v>
      </c>
      <c r="AI367" t="s">
        <v>23</v>
      </c>
      <c r="AJ367" t="s">
        <v>23</v>
      </c>
    </row>
    <row r="368" spans="1:36" x14ac:dyDescent="0.35">
      <c r="A368" s="2">
        <v>1366</v>
      </c>
      <c r="B368" s="4">
        <v>45216</v>
      </c>
      <c r="C368" s="1" t="s">
        <v>34</v>
      </c>
      <c r="D368" s="1" t="s">
        <v>42</v>
      </c>
      <c r="E368">
        <v>416976</v>
      </c>
      <c r="F368">
        <v>26</v>
      </c>
      <c r="G368" s="1" t="s">
        <v>35</v>
      </c>
      <c r="H368">
        <v>14092</v>
      </c>
      <c r="I368">
        <v>23707</v>
      </c>
      <c r="J368" s="1" t="s">
        <v>27</v>
      </c>
      <c r="K368" s="3">
        <v>29</v>
      </c>
      <c r="L368" s="1" t="s">
        <v>28</v>
      </c>
      <c r="M368" s="1" t="s">
        <v>37</v>
      </c>
      <c r="N368" s="3">
        <v>2024010123</v>
      </c>
      <c r="O368" s="3">
        <f t="shared" si="45"/>
        <v>1.23</v>
      </c>
      <c r="P368" s="6">
        <f t="shared" si="46"/>
        <v>512880.48</v>
      </c>
      <c r="Q368" s="3" t="str">
        <f t="shared" si="47"/>
        <v>Excellent</v>
      </c>
      <c r="R368" s="3">
        <f t="shared" si="48"/>
        <v>9615</v>
      </c>
      <c r="S368" s="7">
        <f t="shared" si="49"/>
        <v>249990</v>
      </c>
      <c r="T368" s="3" t="str">
        <f t="shared" si="50"/>
        <v>High Profit</v>
      </c>
      <c r="U368" s="3" t="str">
        <f t="shared" si="51"/>
        <v>High Discount</v>
      </c>
      <c r="V368" s="3" t="str">
        <f t="shared" si="52"/>
        <v>Priority C</v>
      </c>
      <c r="W368">
        <f t="shared" si="53"/>
        <v>62546.399999999994</v>
      </c>
      <c r="X368" t="s">
        <v>23</v>
      </c>
      <c r="Y368" t="s">
        <v>23</v>
      </c>
      <c r="Z368" t="s">
        <v>23</v>
      </c>
      <c r="AA368" t="s">
        <v>23</v>
      </c>
      <c r="AB368" t="s">
        <v>23</v>
      </c>
      <c r="AC368" t="s">
        <v>23</v>
      </c>
      <c r="AD368" t="s">
        <v>23</v>
      </c>
      <c r="AE368" t="s">
        <v>23</v>
      </c>
      <c r="AF368" t="s">
        <v>23</v>
      </c>
      <c r="AG368" t="s">
        <v>23</v>
      </c>
      <c r="AH368" t="s">
        <v>23</v>
      </c>
      <c r="AI368" t="s">
        <v>23</v>
      </c>
      <c r="AJ368" t="s">
        <v>23</v>
      </c>
    </row>
    <row r="369" spans="1:36" x14ac:dyDescent="0.35">
      <c r="A369" s="2">
        <v>1367</v>
      </c>
      <c r="B369" s="4">
        <v>45015</v>
      </c>
      <c r="C369" s="1" t="s">
        <v>24</v>
      </c>
      <c r="D369" s="1" t="s">
        <v>42</v>
      </c>
      <c r="E369">
        <v>846635</v>
      </c>
      <c r="F369">
        <v>12</v>
      </c>
      <c r="G369" s="1" t="s">
        <v>26</v>
      </c>
      <c r="H369">
        <v>16841</v>
      </c>
      <c r="I369">
        <v>30095</v>
      </c>
      <c r="J369" s="1" t="s">
        <v>33</v>
      </c>
      <c r="K369" s="3">
        <v>28</v>
      </c>
      <c r="L369" s="1" t="s">
        <v>36</v>
      </c>
      <c r="M369" s="1" t="s">
        <v>37</v>
      </c>
      <c r="N369" s="3">
        <v>2024010123</v>
      </c>
      <c r="O369" s="3">
        <f t="shared" si="45"/>
        <v>1.23</v>
      </c>
      <c r="P369" s="6">
        <f t="shared" si="46"/>
        <v>1041361.0499999999</v>
      </c>
      <c r="Q369" s="3" t="str">
        <f t="shared" si="47"/>
        <v>Excellent</v>
      </c>
      <c r="R369" s="3">
        <f t="shared" si="48"/>
        <v>13254</v>
      </c>
      <c r="S369" s="7">
        <f t="shared" si="49"/>
        <v>159048</v>
      </c>
      <c r="T369" s="3" t="str">
        <f t="shared" si="50"/>
        <v>High Profit</v>
      </c>
      <c r="U369" s="3" t="str">
        <f t="shared" si="51"/>
        <v>High Discount</v>
      </c>
      <c r="V369" s="3" t="str">
        <f t="shared" si="52"/>
        <v>Priority C</v>
      </c>
      <c r="W369">
        <f t="shared" si="53"/>
        <v>84663.5</v>
      </c>
      <c r="X369" t="s">
        <v>23</v>
      </c>
      <c r="Y369" t="s">
        <v>23</v>
      </c>
      <c r="Z369" t="s">
        <v>23</v>
      </c>
      <c r="AA369" t="s">
        <v>23</v>
      </c>
      <c r="AB369" t="s">
        <v>23</v>
      </c>
      <c r="AC369" t="s">
        <v>23</v>
      </c>
      <c r="AD369" t="s">
        <v>23</v>
      </c>
      <c r="AE369" t="s">
        <v>23</v>
      </c>
      <c r="AF369" t="s">
        <v>23</v>
      </c>
      <c r="AG369" t="s">
        <v>23</v>
      </c>
      <c r="AH369" t="s">
        <v>23</v>
      </c>
      <c r="AI369" t="s">
        <v>23</v>
      </c>
      <c r="AJ369" t="s">
        <v>23</v>
      </c>
    </row>
    <row r="370" spans="1:36" x14ac:dyDescent="0.35">
      <c r="A370" s="2">
        <v>1368</v>
      </c>
      <c r="B370" s="4">
        <v>45104</v>
      </c>
      <c r="C370" s="1" t="s">
        <v>30</v>
      </c>
      <c r="D370" s="1" t="s">
        <v>43</v>
      </c>
      <c r="E370">
        <v>698876</v>
      </c>
      <c r="F370">
        <v>31</v>
      </c>
      <c r="G370" s="1" t="s">
        <v>35</v>
      </c>
      <c r="H370">
        <v>12386</v>
      </c>
      <c r="I370">
        <v>26161</v>
      </c>
      <c r="J370" s="1" t="s">
        <v>27</v>
      </c>
      <c r="K370" s="3">
        <v>23</v>
      </c>
      <c r="L370" s="1" t="s">
        <v>28</v>
      </c>
      <c r="M370" s="1" t="s">
        <v>29</v>
      </c>
      <c r="N370" s="3">
        <v>2024010123</v>
      </c>
      <c r="O370" s="3">
        <f t="shared" si="45"/>
        <v>1.23</v>
      </c>
      <c r="P370" s="6">
        <f t="shared" si="46"/>
        <v>859617.48</v>
      </c>
      <c r="Q370" s="3" t="str">
        <f t="shared" si="47"/>
        <v>Excellent</v>
      </c>
      <c r="R370" s="3">
        <f t="shared" si="48"/>
        <v>13775</v>
      </c>
      <c r="S370" s="7">
        <f t="shared" si="49"/>
        <v>427025</v>
      </c>
      <c r="T370" s="3" t="str">
        <f t="shared" si="50"/>
        <v>High Profit</v>
      </c>
      <c r="U370" s="3" t="str">
        <f t="shared" si="51"/>
        <v>High Discount</v>
      </c>
      <c r="V370" s="3" t="str">
        <f t="shared" si="52"/>
        <v>Priority C</v>
      </c>
      <c r="W370">
        <f t="shared" si="53"/>
        <v>104831.4</v>
      </c>
      <c r="X370" t="s">
        <v>23</v>
      </c>
      <c r="Y370" t="s">
        <v>23</v>
      </c>
      <c r="Z370" t="s">
        <v>23</v>
      </c>
      <c r="AA370" t="s">
        <v>23</v>
      </c>
      <c r="AB370" t="s">
        <v>23</v>
      </c>
      <c r="AC370" t="s">
        <v>23</v>
      </c>
      <c r="AD370" t="s">
        <v>23</v>
      </c>
      <c r="AE370" t="s">
        <v>23</v>
      </c>
      <c r="AF370" t="s">
        <v>23</v>
      </c>
      <c r="AG370" t="s">
        <v>23</v>
      </c>
      <c r="AH370" t="s">
        <v>23</v>
      </c>
      <c r="AI370" t="s">
        <v>23</v>
      </c>
      <c r="AJ370" t="s">
        <v>23</v>
      </c>
    </row>
    <row r="371" spans="1:36" x14ac:dyDescent="0.35">
      <c r="A371" s="2">
        <v>1369</v>
      </c>
      <c r="B371" s="4">
        <v>45189</v>
      </c>
      <c r="C371" s="1" t="s">
        <v>30</v>
      </c>
      <c r="D371" s="1" t="s">
        <v>31</v>
      </c>
      <c r="E371">
        <v>16703</v>
      </c>
      <c r="F371">
        <v>12</v>
      </c>
      <c r="G371" s="1" t="s">
        <v>39</v>
      </c>
      <c r="H371">
        <v>13438</v>
      </c>
      <c r="I371">
        <v>25910</v>
      </c>
      <c r="J371" s="1" t="s">
        <v>27</v>
      </c>
      <c r="K371" s="3">
        <v>16</v>
      </c>
      <c r="L371" s="1" t="s">
        <v>28</v>
      </c>
      <c r="M371" s="1" t="s">
        <v>37</v>
      </c>
      <c r="N371" s="3">
        <v>2024010123</v>
      </c>
      <c r="O371" s="3">
        <f t="shared" si="45"/>
        <v>1.23</v>
      </c>
      <c r="P371" s="6">
        <f t="shared" si="46"/>
        <v>20544.689999999999</v>
      </c>
      <c r="Q371" s="3" t="str">
        <f t="shared" si="47"/>
        <v>Excellent</v>
      </c>
      <c r="R371" s="3">
        <f t="shared" si="48"/>
        <v>12472</v>
      </c>
      <c r="S371" s="7">
        <f t="shared" si="49"/>
        <v>149664</v>
      </c>
      <c r="T371" s="3" t="str">
        <f t="shared" si="50"/>
        <v>High Profit</v>
      </c>
      <c r="U371" s="3" t="str">
        <f t="shared" si="51"/>
        <v>High Discount</v>
      </c>
      <c r="V371" s="3" t="str">
        <f t="shared" si="52"/>
        <v>Priority C</v>
      </c>
      <c r="W371">
        <f t="shared" si="53"/>
        <v>2505.4499999999998</v>
      </c>
      <c r="X371" t="s">
        <v>23</v>
      </c>
      <c r="Y371" t="s">
        <v>23</v>
      </c>
      <c r="Z371" t="s">
        <v>23</v>
      </c>
      <c r="AA371" t="s">
        <v>23</v>
      </c>
      <c r="AB371" t="s">
        <v>23</v>
      </c>
      <c r="AC371" t="s">
        <v>23</v>
      </c>
      <c r="AD371" t="s">
        <v>23</v>
      </c>
      <c r="AE371" t="s">
        <v>23</v>
      </c>
      <c r="AF371" t="s">
        <v>23</v>
      </c>
      <c r="AG371" t="s">
        <v>23</v>
      </c>
      <c r="AH371" t="s">
        <v>23</v>
      </c>
      <c r="AI371" t="s">
        <v>23</v>
      </c>
      <c r="AJ371" t="s">
        <v>23</v>
      </c>
    </row>
    <row r="372" spans="1:36" x14ac:dyDescent="0.35">
      <c r="A372" s="2">
        <v>1370</v>
      </c>
      <c r="B372" s="4">
        <v>45118</v>
      </c>
      <c r="C372" s="1" t="s">
        <v>24</v>
      </c>
      <c r="D372" s="1" t="s">
        <v>43</v>
      </c>
      <c r="E372">
        <v>311316</v>
      </c>
      <c r="F372">
        <v>18</v>
      </c>
      <c r="G372" s="1" t="s">
        <v>39</v>
      </c>
      <c r="H372">
        <v>28659</v>
      </c>
      <c r="I372">
        <v>34349</v>
      </c>
      <c r="J372" s="1" t="s">
        <v>33</v>
      </c>
      <c r="K372" s="3">
        <v>0</v>
      </c>
      <c r="L372" s="1" t="s">
        <v>36</v>
      </c>
      <c r="M372" s="1" t="s">
        <v>29</v>
      </c>
      <c r="N372" s="3">
        <v>2024010123</v>
      </c>
      <c r="O372" s="3">
        <f t="shared" si="45"/>
        <v>1.23</v>
      </c>
      <c r="P372" s="6">
        <f t="shared" si="46"/>
        <v>382918.68</v>
      </c>
      <c r="Q372" s="3" t="str">
        <f t="shared" si="47"/>
        <v>Excellent</v>
      </c>
      <c r="R372" s="3">
        <f t="shared" si="48"/>
        <v>5690</v>
      </c>
      <c r="S372" s="7">
        <f t="shared" si="49"/>
        <v>102420</v>
      </c>
      <c r="T372" s="3" t="str">
        <f t="shared" si="50"/>
        <v>High Profit</v>
      </c>
      <c r="U372" s="3" t="str">
        <f t="shared" si="51"/>
        <v>No Discount</v>
      </c>
      <c r="V372" s="3" t="str">
        <f t="shared" si="52"/>
        <v>Priority C</v>
      </c>
      <c r="W372">
        <f t="shared" si="53"/>
        <v>31131.600000000002</v>
      </c>
      <c r="X372" t="s">
        <v>23</v>
      </c>
      <c r="Y372" t="s">
        <v>23</v>
      </c>
      <c r="Z372" t="s">
        <v>23</v>
      </c>
      <c r="AA372" t="s">
        <v>23</v>
      </c>
      <c r="AB372" t="s">
        <v>23</v>
      </c>
      <c r="AC372" t="s">
        <v>23</v>
      </c>
      <c r="AD372" t="s">
        <v>23</v>
      </c>
      <c r="AE372" t="s">
        <v>23</v>
      </c>
      <c r="AF372" t="s">
        <v>23</v>
      </c>
      <c r="AG372" t="s">
        <v>23</v>
      </c>
      <c r="AH372" t="s">
        <v>23</v>
      </c>
      <c r="AI372" t="s">
        <v>23</v>
      </c>
      <c r="AJ372" t="s">
        <v>23</v>
      </c>
    </row>
    <row r="373" spans="1:36" x14ac:dyDescent="0.35">
      <c r="A373" s="2">
        <v>1371</v>
      </c>
      <c r="B373" s="4">
        <v>45082</v>
      </c>
      <c r="C373" s="1" t="s">
        <v>30</v>
      </c>
      <c r="D373" s="1" t="s">
        <v>43</v>
      </c>
      <c r="E373">
        <v>805582</v>
      </c>
      <c r="F373">
        <v>18</v>
      </c>
      <c r="G373" s="1" t="s">
        <v>26</v>
      </c>
      <c r="H373">
        <v>28940</v>
      </c>
      <c r="I373">
        <v>33964</v>
      </c>
      <c r="J373" s="1" t="s">
        <v>33</v>
      </c>
      <c r="K373" s="3">
        <v>3</v>
      </c>
      <c r="L373" s="1" t="s">
        <v>36</v>
      </c>
      <c r="M373" s="1" t="s">
        <v>29</v>
      </c>
      <c r="N373" s="3">
        <v>2024010123</v>
      </c>
      <c r="O373" s="3">
        <f t="shared" si="45"/>
        <v>1.23</v>
      </c>
      <c r="P373" s="6">
        <f t="shared" si="46"/>
        <v>990865.86</v>
      </c>
      <c r="Q373" s="3" t="str">
        <f t="shared" si="47"/>
        <v>Excellent</v>
      </c>
      <c r="R373" s="3">
        <f t="shared" si="48"/>
        <v>5024</v>
      </c>
      <c r="S373" s="7">
        <f t="shared" si="49"/>
        <v>90432</v>
      </c>
      <c r="T373" s="3" t="str">
        <f t="shared" si="50"/>
        <v>High Profit</v>
      </c>
      <c r="U373" s="3" t="str">
        <f t="shared" si="51"/>
        <v>Low Discount</v>
      </c>
      <c r="V373" s="3" t="str">
        <f t="shared" si="52"/>
        <v>Priority C</v>
      </c>
      <c r="W373">
        <f t="shared" si="53"/>
        <v>80558.200000000012</v>
      </c>
      <c r="X373" t="s">
        <v>23</v>
      </c>
      <c r="Y373" t="s">
        <v>23</v>
      </c>
      <c r="Z373" t="s">
        <v>23</v>
      </c>
      <c r="AA373" t="s">
        <v>23</v>
      </c>
      <c r="AB373" t="s">
        <v>23</v>
      </c>
      <c r="AC373" t="s">
        <v>23</v>
      </c>
      <c r="AD373" t="s">
        <v>23</v>
      </c>
      <c r="AE373" t="s">
        <v>23</v>
      </c>
      <c r="AF373" t="s">
        <v>23</v>
      </c>
      <c r="AG373" t="s">
        <v>23</v>
      </c>
      <c r="AH373" t="s">
        <v>23</v>
      </c>
      <c r="AI373" t="s">
        <v>23</v>
      </c>
      <c r="AJ373" t="s">
        <v>23</v>
      </c>
    </row>
    <row r="374" spans="1:36" x14ac:dyDescent="0.35">
      <c r="A374" s="2">
        <v>1372</v>
      </c>
      <c r="B374" s="4">
        <v>45206</v>
      </c>
      <c r="C374" s="1" t="s">
        <v>34</v>
      </c>
      <c r="D374" s="1" t="s">
        <v>43</v>
      </c>
      <c r="E374">
        <v>692910</v>
      </c>
      <c r="F374">
        <v>18</v>
      </c>
      <c r="G374" s="1" t="s">
        <v>32</v>
      </c>
      <c r="H374">
        <v>41843</v>
      </c>
      <c r="I374">
        <v>47695</v>
      </c>
      <c r="J374" s="1" t="s">
        <v>27</v>
      </c>
      <c r="K374" s="3">
        <v>3</v>
      </c>
      <c r="L374" s="1" t="s">
        <v>28</v>
      </c>
      <c r="M374" s="1" t="s">
        <v>29</v>
      </c>
      <c r="N374" s="3">
        <v>2024010123</v>
      </c>
      <c r="O374" s="3">
        <f t="shared" si="45"/>
        <v>1.23</v>
      </c>
      <c r="P374" s="6">
        <f t="shared" si="46"/>
        <v>852279.29999999993</v>
      </c>
      <c r="Q374" s="3" t="str">
        <f t="shared" si="47"/>
        <v>Excellent</v>
      </c>
      <c r="R374" s="3">
        <f t="shared" si="48"/>
        <v>5852</v>
      </c>
      <c r="S374" s="7">
        <f t="shared" si="49"/>
        <v>105336</v>
      </c>
      <c r="T374" s="3" t="str">
        <f t="shared" si="50"/>
        <v>High Profit</v>
      </c>
      <c r="U374" s="3" t="str">
        <f t="shared" si="51"/>
        <v>Low Discount</v>
      </c>
      <c r="V374" s="3" t="str">
        <f t="shared" si="52"/>
        <v>Priority C</v>
      </c>
      <c r="W374">
        <f t="shared" si="53"/>
        <v>103936.5</v>
      </c>
      <c r="X374" t="s">
        <v>23</v>
      </c>
      <c r="Y374" t="s">
        <v>23</v>
      </c>
      <c r="Z374" t="s">
        <v>23</v>
      </c>
      <c r="AA374" t="s">
        <v>23</v>
      </c>
      <c r="AB374" t="s">
        <v>23</v>
      </c>
      <c r="AC374" t="s">
        <v>23</v>
      </c>
      <c r="AD374" t="s">
        <v>23</v>
      </c>
      <c r="AE374" t="s">
        <v>23</v>
      </c>
      <c r="AF374" t="s">
        <v>23</v>
      </c>
      <c r="AG374" t="s">
        <v>23</v>
      </c>
      <c r="AH374" t="s">
        <v>23</v>
      </c>
      <c r="AI374" t="s">
        <v>23</v>
      </c>
      <c r="AJ374" t="s">
        <v>23</v>
      </c>
    </row>
    <row r="375" spans="1:36" x14ac:dyDescent="0.35">
      <c r="A375" s="2">
        <v>1373</v>
      </c>
      <c r="B375" s="4">
        <v>45282</v>
      </c>
      <c r="C375" s="1" t="s">
        <v>30</v>
      </c>
      <c r="D375" s="1" t="s">
        <v>31</v>
      </c>
      <c r="E375">
        <v>314094</v>
      </c>
      <c r="F375">
        <v>8</v>
      </c>
      <c r="G375" s="1" t="s">
        <v>35</v>
      </c>
      <c r="H375">
        <v>43116</v>
      </c>
      <c r="I375">
        <v>49600</v>
      </c>
      <c r="J375" s="1" t="s">
        <v>33</v>
      </c>
      <c r="K375" s="3">
        <v>11</v>
      </c>
      <c r="L375" s="1" t="s">
        <v>40</v>
      </c>
      <c r="M375" s="1" t="s">
        <v>37</v>
      </c>
      <c r="N375" s="3">
        <v>2024010123</v>
      </c>
      <c r="O375" s="3">
        <f t="shared" si="45"/>
        <v>1.23</v>
      </c>
      <c r="P375" s="6">
        <f t="shared" si="46"/>
        <v>386335.62</v>
      </c>
      <c r="Q375" s="3" t="str">
        <f t="shared" si="47"/>
        <v>Excellent</v>
      </c>
      <c r="R375" s="3">
        <f t="shared" si="48"/>
        <v>6484</v>
      </c>
      <c r="S375" s="7">
        <f t="shared" si="49"/>
        <v>51872</v>
      </c>
      <c r="T375" s="3" t="str">
        <f t="shared" si="50"/>
        <v>High Profit</v>
      </c>
      <c r="U375" s="3" t="str">
        <f t="shared" si="51"/>
        <v>Medium Discount</v>
      </c>
      <c r="V375" s="3" t="str">
        <f t="shared" si="52"/>
        <v>Priority C</v>
      </c>
      <c r="W375">
        <f t="shared" si="53"/>
        <v>31409.4</v>
      </c>
      <c r="X375" t="s">
        <v>23</v>
      </c>
      <c r="Y375" t="s">
        <v>23</v>
      </c>
      <c r="Z375" t="s">
        <v>23</v>
      </c>
      <c r="AA375" t="s">
        <v>23</v>
      </c>
      <c r="AB375" t="s">
        <v>23</v>
      </c>
      <c r="AC375" t="s">
        <v>23</v>
      </c>
      <c r="AD375" t="s">
        <v>23</v>
      </c>
      <c r="AE375" t="s">
        <v>23</v>
      </c>
      <c r="AF375" t="s">
        <v>23</v>
      </c>
      <c r="AG375" t="s">
        <v>23</v>
      </c>
      <c r="AH375" t="s">
        <v>23</v>
      </c>
      <c r="AI375" t="s">
        <v>23</v>
      </c>
      <c r="AJ375" t="s">
        <v>23</v>
      </c>
    </row>
    <row r="376" spans="1:36" x14ac:dyDescent="0.35">
      <c r="A376" s="2">
        <v>1374</v>
      </c>
      <c r="B376" s="4">
        <v>45218</v>
      </c>
      <c r="C376" s="1" t="s">
        <v>34</v>
      </c>
      <c r="D376" s="1" t="s">
        <v>31</v>
      </c>
      <c r="E376">
        <v>832626</v>
      </c>
      <c r="F376">
        <v>13</v>
      </c>
      <c r="G376" s="1" t="s">
        <v>26</v>
      </c>
      <c r="H376">
        <v>29467</v>
      </c>
      <c r="I376">
        <v>34100</v>
      </c>
      <c r="J376" s="1" t="s">
        <v>33</v>
      </c>
      <c r="K376" s="3">
        <v>5</v>
      </c>
      <c r="L376" s="1" t="s">
        <v>40</v>
      </c>
      <c r="M376" s="1" t="s">
        <v>37</v>
      </c>
      <c r="N376" s="3">
        <v>2024010123</v>
      </c>
      <c r="O376" s="3">
        <f t="shared" si="45"/>
        <v>1.23</v>
      </c>
      <c r="P376" s="6">
        <f t="shared" si="46"/>
        <v>1024129.98</v>
      </c>
      <c r="Q376" s="3" t="str">
        <f t="shared" si="47"/>
        <v>Excellent</v>
      </c>
      <c r="R376" s="3">
        <f t="shared" si="48"/>
        <v>4633</v>
      </c>
      <c r="S376" s="7">
        <f t="shared" si="49"/>
        <v>60229</v>
      </c>
      <c r="T376" s="3" t="str">
        <f t="shared" si="50"/>
        <v>High Profit</v>
      </c>
      <c r="U376" s="3" t="str">
        <f t="shared" si="51"/>
        <v>Medium Discount</v>
      </c>
      <c r="V376" s="3" t="str">
        <f t="shared" si="52"/>
        <v>Priority C</v>
      </c>
      <c r="W376">
        <f t="shared" si="53"/>
        <v>83262.600000000006</v>
      </c>
      <c r="X376" t="s">
        <v>23</v>
      </c>
      <c r="Y376" t="s">
        <v>23</v>
      </c>
      <c r="Z376" t="s">
        <v>23</v>
      </c>
      <c r="AA376" t="s">
        <v>23</v>
      </c>
      <c r="AB376" t="s">
        <v>23</v>
      </c>
      <c r="AC376" t="s">
        <v>23</v>
      </c>
      <c r="AD376" t="s">
        <v>23</v>
      </c>
      <c r="AE376" t="s">
        <v>23</v>
      </c>
      <c r="AF376" t="s">
        <v>23</v>
      </c>
      <c r="AG376" t="s">
        <v>23</v>
      </c>
      <c r="AH376" t="s">
        <v>23</v>
      </c>
      <c r="AI376" t="s">
        <v>23</v>
      </c>
      <c r="AJ376" t="s">
        <v>23</v>
      </c>
    </row>
    <row r="377" spans="1:36" x14ac:dyDescent="0.35">
      <c r="A377" s="2">
        <v>1375</v>
      </c>
      <c r="B377" s="4">
        <v>45268</v>
      </c>
      <c r="C377" s="1" t="s">
        <v>24</v>
      </c>
      <c r="D377" s="1" t="s">
        <v>42</v>
      </c>
      <c r="E377">
        <v>501318</v>
      </c>
      <c r="F377">
        <v>12</v>
      </c>
      <c r="G377" s="1" t="s">
        <v>35</v>
      </c>
      <c r="H377">
        <v>10000</v>
      </c>
      <c r="I377">
        <v>20000</v>
      </c>
      <c r="J377" s="1" t="s">
        <v>27</v>
      </c>
      <c r="K377" s="3">
        <v>10</v>
      </c>
      <c r="L377" s="1" t="s">
        <v>28</v>
      </c>
      <c r="M377" s="1" t="s">
        <v>37</v>
      </c>
      <c r="N377" s="3">
        <v>2024010123</v>
      </c>
      <c r="O377" s="3">
        <f t="shared" si="45"/>
        <v>1.23</v>
      </c>
      <c r="P377" s="6">
        <f t="shared" si="46"/>
        <v>616621.14</v>
      </c>
      <c r="Q377" s="3" t="str">
        <f t="shared" si="47"/>
        <v>Excellent</v>
      </c>
      <c r="R377" s="3">
        <f t="shared" si="48"/>
        <v>10000</v>
      </c>
      <c r="S377" s="7">
        <f t="shared" si="49"/>
        <v>120000</v>
      </c>
      <c r="T377" s="3" t="str">
        <f t="shared" si="50"/>
        <v>High Profit</v>
      </c>
      <c r="U377" s="3" t="str">
        <f t="shared" si="51"/>
        <v>Medium Discount</v>
      </c>
      <c r="V377" s="3" t="str">
        <f t="shared" si="52"/>
        <v>Priority C</v>
      </c>
      <c r="W377">
        <f t="shared" si="53"/>
        <v>75197.7</v>
      </c>
      <c r="X377" t="s">
        <v>23</v>
      </c>
      <c r="Y377" t="s">
        <v>23</v>
      </c>
      <c r="Z377" t="s">
        <v>23</v>
      </c>
      <c r="AA377" t="s">
        <v>23</v>
      </c>
      <c r="AB377" t="s">
        <v>23</v>
      </c>
      <c r="AC377" t="s">
        <v>23</v>
      </c>
      <c r="AD377" t="s">
        <v>23</v>
      </c>
      <c r="AE377" t="s">
        <v>23</v>
      </c>
      <c r="AF377" t="s">
        <v>23</v>
      </c>
      <c r="AG377" t="s">
        <v>23</v>
      </c>
      <c r="AH377" t="s">
        <v>23</v>
      </c>
      <c r="AI377" t="s">
        <v>23</v>
      </c>
      <c r="AJ377" t="s">
        <v>23</v>
      </c>
    </row>
    <row r="378" spans="1:36" x14ac:dyDescent="0.35">
      <c r="A378" s="2">
        <v>1376</v>
      </c>
      <c r="B378" s="4">
        <v>44974</v>
      </c>
      <c r="C378" s="1" t="s">
        <v>30</v>
      </c>
      <c r="D378" s="1" t="s">
        <v>42</v>
      </c>
      <c r="E378">
        <v>380221</v>
      </c>
      <c r="F378">
        <v>18</v>
      </c>
      <c r="G378" s="1" t="s">
        <v>32</v>
      </c>
      <c r="H378">
        <v>39486</v>
      </c>
      <c r="I378">
        <v>45952</v>
      </c>
      <c r="J378" s="1" t="s">
        <v>27</v>
      </c>
      <c r="K378" s="3">
        <v>16</v>
      </c>
      <c r="L378" s="1" t="s">
        <v>28</v>
      </c>
      <c r="M378" s="1" t="s">
        <v>37</v>
      </c>
      <c r="N378" s="3">
        <v>2024010123</v>
      </c>
      <c r="O378" s="3">
        <f t="shared" si="45"/>
        <v>1.23</v>
      </c>
      <c r="P378" s="6">
        <f t="shared" si="46"/>
        <v>467671.83</v>
      </c>
      <c r="Q378" s="3" t="str">
        <f t="shared" si="47"/>
        <v>Excellent</v>
      </c>
      <c r="R378" s="3">
        <f t="shared" si="48"/>
        <v>6466</v>
      </c>
      <c r="S378" s="7">
        <f t="shared" si="49"/>
        <v>116388</v>
      </c>
      <c r="T378" s="3" t="str">
        <f t="shared" si="50"/>
        <v>High Profit</v>
      </c>
      <c r="U378" s="3" t="str">
        <f t="shared" si="51"/>
        <v>High Discount</v>
      </c>
      <c r="V378" s="3" t="str">
        <f t="shared" si="52"/>
        <v>Priority C</v>
      </c>
      <c r="W378">
        <f t="shared" si="53"/>
        <v>57033.15</v>
      </c>
      <c r="X378" t="s">
        <v>23</v>
      </c>
      <c r="Y378" t="s">
        <v>23</v>
      </c>
      <c r="Z378" t="s">
        <v>23</v>
      </c>
      <c r="AA378" t="s">
        <v>23</v>
      </c>
      <c r="AB378" t="s">
        <v>23</v>
      </c>
      <c r="AC378" t="s">
        <v>23</v>
      </c>
      <c r="AD378" t="s">
        <v>23</v>
      </c>
      <c r="AE378" t="s">
        <v>23</v>
      </c>
      <c r="AF378" t="s">
        <v>23</v>
      </c>
      <c r="AG378" t="s">
        <v>23</v>
      </c>
      <c r="AH378" t="s">
        <v>23</v>
      </c>
      <c r="AI378" t="s">
        <v>23</v>
      </c>
      <c r="AJ378" t="s">
        <v>23</v>
      </c>
    </row>
    <row r="379" spans="1:36" x14ac:dyDescent="0.35">
      <c r="A379" s="2">
        <v>1377</v>
      </c>
      <c r="B379" s="4">
        <v>44970</v>
      </c>
      <c r="C379" s="1" t="s">
        <v>30</v>
      </c>
      <c r="D379" s="1" t="s">
        <v>42</v>
      </c>
      <c r="E379">
        <v>351078</v>
      </c>
      <c r="F379">
        <v>18</v>
      </c>
      <c r="G379" s="1" t="s">
        <v>35</v>
      </c>
      <c r="H379">
        <v>19960</v>
      </c>
      <c r="I379">
        <v>25916</v>
      </c>
      <c r="J379" s="1" t="s">
        <v>27</v>
      </c>
      <c r="K379" s="3">
        <v>27</v>
      </c>
      <c r="L379" s="1" t="s">
        <v>40</v>
      </c>
      <c r="M379" s="1" t="s">
        <v>29</v>
      </c>
      <c r="N379" s="3">
        <v>2024010123</v>
      </c>
      <c r="O379" s="3">
        <f t="shared" si="45"/>
        <v>1.23</v>
      </c>
      <c r="P379" s="6">
        <f t="shared" si="46"/>
        <v>431825.94</v>
      </c>
      <c r="Q379" s="3" t="str">
        <f t="shared" si="47"/>
        <v>Excellent</v>
      </c>
      <c r="R379" s="3">
        <f t="shared" si="48"/>
        <v>5956</v>
      </c>
      <c r="S379" s="7">
        <f t="shared" si="49"/>
        <v>107208</v>
      </c>
      <c r="T379" s="3" t="str">
        <f t="shared" si="50"/>
        <v>High Profit</v>
      </c>
      <c r="U379" s="3" t="str">
        <f t="shared" si="51"/>
        <v>High Discount</v>
      </c>
      <c r="V379" s="3" t="str">
        <f t="shared" si="52"/>
        <v>Priority C</v>
      </c>
      <c r="W379">
        <f t="shared" si="53"/>
        <v>52661.7</v>
      </c>
      <c r="X379" t="s">
        <v>23</v>
      </c>
      <c r="Y379" t="s">
        <v>23</v>
      </c>
      <c r="Z379" t="s">
        <v>23</v>
      </c>
      <c r="AA379" t="s">
        <v>23</v>
      </c>
      <c r="AB379" t="s">
        <v>23</v>
      </c>
      <c r="AC379" t="s">
        <v>23</v>
      </c>
      <c r="AD379" t="s">
        <v>23</v>
      </c>
      <c r="AE379" t="s">
        <v>23</v>
      </c>
      <c r="AF379" t="s">
        <v>23</v>
      </c>
      <c r="AG379" t="s">
        <v>23</v>
      </c>
      <c r="AH379" t="s">
        <v>23</v>
      </c>
      <c r="AI379" t="s">
        <v>23</v>
      </c>
      <c r="AJ379" t="s">
        <v>23</v>
      </c>
    </row>
    <row r="380" spans="1:36" x14ac:dyDescent="0.35">
      <c r="A380" s="2">
        <v>1378</v>
      </c>
      <c r="B380" s="4">
        <v>45086</v>
      </c>
      <c r="C380" s="1" t="s">
        <v>38</v>
      </c>
      <c r="D380" s="1" t="s">
        <v>42</v>
      </c>
      <c r="E380">
        <v>545920</v>
      </c>
      <c r="F380">
        <v>18</v>
      </c>
      <c r="G380" s="1" t="s">
        <v>35</v>
      </c>
      <c r="H380">
        <v>15030</v>
      </c>
      <c r="I380">
        <v>18951</v>
      </c>
      <c r="J380" s="1" t="s">
        <v>33</v>
      </c>
      <c r="K380" s="3">
        <v>17</v>
      </c>
      <c r="L380" s="1" t="s">
        <v>40</v>
      </c>
      <c r="M380" s="1" t="s">
        <v>37</v>
      </c>
      <c r="N380" s="3">
        <v>2024010123</v>
      </c>
      <c r="O380" s="3">
        <f t="shared" si="45"/>
        <v>1.23</v>
      </c>
      <c r="P380" s="6">
        <f t="shared" si="46"/>
        <v>671481.6</v>
      </c>
      <c r="Q380" s="3" t="str">
        <f t="shared" si="47"/>
        <v>Excellent</v>
      </c>
      <c r="R380" s="3">
        <f t="shared" si="48"/>
        <v>3921</v>
      </c>
      <c r="S380" s="7">
        <f t="shared" si="49"/>
        <v>70578</v>
      </c>
      <c r="T380" s="3" t="str">
        <f t="shared" si="50"/>
        <v>High Profit</v>
      </c>
      <c r="U380" s="3" t="str">
        <f t="shared" si="51"/>
        <v>High Discount</v>
      </c>
      <c r="V380" s="3" t="str">
        <f t="shared" si="52"/>
        <v>Priority C</v>
      </c>
      <c r="W380">
        <f t="shared" si="53"/>
        <v>54592</v>
      </c>
      <c r="X380" t="s">
        <v>23</v>
      </c>
      <c r="Y380" t="s">
        <v>23</v>
      </c>
      <c r="Z380" t="s">
        <v>23</v>
      </c>
      <c r="AA380" t="s">
        <v>23</v>
      </c>
      <c r="AB380" t="s">
        <v>23</v>
      </c>
      <c r="AC380" t="s">
        <v>23</v>
      </c>
      <c r="AD380" t="s">
        <v>23</v>
      </c>
      <c r="AE380" t="s">
        <v>23</v>
      </c>
      <c r="AF380" t="s">
        <v>23</v>
      </c>
      <c r="AG380" t="s">
        <v>23</v>
      </c>
      <c r="AH380" t="s">
        <v>23</v>
      </c>
      <c r="AI380" t="s">
        <v>23</v>
      </c>
      <c r="AJ380" t="s">
        <v>23</v>
      </c>
    </row>
    <row r="381" spans="1:36" x14ac:dyDescent="0.35">
      <c r="A381" s="2">
        <v>1379</v>
      </c>
      <c r="B381" s="4">
        <v>44995</v>
      </c>
      <c r="C381" s="1" t="s">
        <v>30</v>
      </c>
      <c r="D381" s="1" t="s">
        <v>42</v>
      </c>
      <c r="E381">
        <v>741367</v>
      </c>
      <c r="F381">
        <v>18</v>
      </c>
      <c r="G381" s="1" t="s">
        <v>39</v>
      </c>
      <c r="H381">
        <v>43692</v>
      </c>
      <c r="I381">
        <v>50967</v>
      </c>
      <c r="J381" s="1" t="s">
        <v>27</v>
      </c>
      <c r="K381" s="3">
        <v>15</v>
      </c>
      <c r="L381" s="1" t="s">
        <v>36</v>
      </c>
      <c r="M381" s="1" t="s">
        <v>37</v>
      </c>
      <c r="N381" s="3">
        <v>2024010123</v>
      </c>
      <c r="O381" s="3">
        <f t="shared" si="45"/>
        <v>1.23</v>
      </c>
      <c r="P381" s="6">
        <f t="shared" si="46"/>
        <v>911881.41</v>
      </c>
      <c r="Q381" s="3" t="str">
        <f t="shared" si="47"/>
        <v>Excellent</v>
      </c>
      <c r="R381" s="3">
        <f t="shared" si="48"/>
        <v>7275</v>
      </c>
      <c r="S381" s="7">
        <f t="shared" si="49"/>
        <v>130950</v>
      </c>
      <c r="T381" s="3" t="str">
        <f t="shared" si="50"/>
        <v>High Profit</v>
      </c>
      <c r="U381" s="3" t="str">
        <f t="shared" si="51"/>
        <v>High Discount</v>
      </c>
      <c r="V381" s="3" t="str">
        <f t="shared" si="52"/>
        <v>Priority C</v>
      </c>
      <c r="W381">
        <f t="shared" si="53"/>
        <v>111205.05</v>
      </c>
      <c r="X381" t="s">
        <v>23</v>
      </c>
      <c r="Y381" t="s">
        <v>23</v>
      </c>
      <c r="Z381" t="s">
        <v>23</v>
      </c>
      <c r="AA381" t="s">
        <v>23</v>
      </c>
      <c r="AB381" t="s">
        <v>23</v>
      </c>
      <c r="AC381" t="s">
        <v>23</v>
      </c>
      <c r="AD381" t="s">
        <v>23</v>
      </c>
      <c r="AE381" t="s">
        <v>23</v>
      </c>
      <c r="AF381" t="s">
        <v>23</v>
      </c>
      <c r="AG381" t="s">
        <v>23</v>
      </c>
      <c r="AH381" t="s">
        <v>23</v>
      </c>
      <c r="AI381" t="s">
        <v>23</v>
      </c>
      <c r="AJ381" t="s">
        <v>23</v>
      </c>
    </row>
    <row r="382" spans="1:36" x14ac:dyDescent="0.35">
      <c r="A382" s="2">
        <v>1380</v>
      </c>
      <c r="B382" s="4">
        <v>45198</v>
      </c>
      <c r="C382" s="1" t="s">
        <v>38</v>
      </c>
      <c r="D382" s="1" t="s">
        <v>25</v>
      </c>
      <c r="E382">
        <v>210799</v>
      </c>
      <c r="F382">
        <v>12</v>
      </c>
      <c r="G382" s="1" t="s">
        <v>32</v>
      </c>
      <c r="H382">
        <v>26069</v>
      </c>
      <c r="I382">
        <v>30180</v>
      </c>
      <c r="J382" s="1" t="s">
        <v>33</v>
      </c>
      <c r="K382" s="3">
        <v>0</v>
      </c>
      <c r="L382" s="1" t="s">
        <v>28</v>
      </c>
      <c r="M382" s="1" t="s">
        <v>37</v>
      </c>
      <c r="N382" s="3">
        <v>2024010123</v>
      </c>
      <c r="O382" s="3">
        <f t="shared" si="45"/>
        <v>1.23</v>
      </c>
      <c r="P382" s="6">
        <f t="shared" si="46"/>
        <v>259282.77</v>
      </c>
      <c r="Q382" s="3" t="str">
        <f t="shared" si="47"/>
        <v>Excellent</v>
      </c>
      <c r="R382" s="3">
        <f t="shared" si="48"/>
        <v>4111</v>
      </c>
      <c r="S382" s="7">
        <f t="shared" si="49"/>
        <v>49332</v>
      </c>
      <c r="T382" s="3" t="str">
        <f t="shared" si="50"/>
        <v>High Profit</v>
      </c>
      <c r="U382" s="3" t="str">
        <f t="shared" si="51"/>
        <v>No Discount</v>
      </c>
      <c r="V382" s="3" t="str">
        <f t="shared" si="52"/>
        <v>Priority C</v>
      </c>
      <c r="W382">
        <f t="shared" si="53"/>
        <v>21079.9</v>
      </c>
      <c r="X382" t="s">
        <v>23</v>
      </c>
      <c r="Y382" t="s">
        <v>23</v>
      </c>
      <c r="Z382" t="s">
        <v>23</v>
      </c>
      <c r="AA382" t="s">
        <v>23</v>
      </c>
      <c r="AB382" t="s">
        <v>23</v>
      </c>
      <c r="AC382" t="s">
        <v>23</v>
      </c>
      <c r="AD382" t="s">
        <v>23</v>
      </c>
      <c r="AE382" t="s">
        <v>23</v>
      </c>
      <c r="AF382" t="s">
        <v>23</v>
      </c>
      <c r="AG382" t="s">
        <v>23</v>
      </c>
      <c r="AH382" t="s">
        <v>23</v>
      </c>
      <c r="AI382" t="s">
        <v>23</v>
      </c>
      <c r="AJ382" t="s">
        <v>23</v>
      </c>
    </row>
    <row r="383" spans="1:36" x14ac:dyDescent="0.35">
      <c r="A383" s="2">
        <v>1381</v>
      </c>
      <c r="B383" s="4">
        <v>45217</v>
      </c>
      <c r="C383" s="1" t="s">
        <v>30</v>
      </c>
      <c r="D383" s="1" t="s">
        <v>43</v>
      </c>
      <c r="E383">
        <v>93445</v>
      </c>
      <c r="F383">
        <v>11</v>
      </c>
      <c r="G383" s="1" t="s">
        <v>32</v>
      </c>
      <c r="H383">
        <v>48232</v>
      </c>
      <c r="I383">
        <v>51089</v>
      </c>
      <c r="J383" s="1" t="s">
        <v>27</v>
      </c>
      <c r="K383" s="3">
        <v>3</v>
      </c>
      <c r="L383" s="1" t="s">
        <v>28</v>
      </c>
      <c r="M383" s="1" t="s">
        <v>37</v>
      </c>
      <c r="N383" s="3">
        <v>2024010123</v>
      </c>
      <c r="O383" s="3">
        <f t="shared" si="45"/>
        <v>1.23</v>
      </c>
      <c r="P383" s="6">
        <f t="shared" si="46"/>
        <v>114937.34999999999</v>
      </c>
      <c r="Q383" s="3" t="str">
        <f t="shared" si="47"/>
        <v>Excellent</v>
      </c>
      <c r="R383" s="3">
        <f t="shared" si="48"/>
        <v>2857</v>
      </c>
      <c r="S383" s="7">
        <f t="shared" si="49"/>
        <v>31427</v>
      </c>
      <c r="T383" s="3" t="str">
        <f t="shared" si="50"/>
        <v>High Profit</v>
      </c>
      <c r="U383" s="3" t="str">
        <f t="shared" si="51"/>
        <v>Low Discount</v>
      </c>
      <c r="V383" s="3" t="str">
        <f t="shared" si="52"/>
        <v>Priority C</v>
      </c>
      <c r="W383">
        <f t="shared" si="53"/>
        <v>14016.75</v>
      </c>
      <c r="X383" t="s">
        <v>23</v>
      </c>
      <c r="Y383" t="s">
        <v>23</v>
      </c>
      <c r="Z383" t="s">
        <v>23</v>
      </c>
      <c r="AA383" t="s">
        <v>23</v>
      </c>
      <c r="AB383" t="s">
        <v>23</v>
      </c>
      <c r="AC383" t="s">
        <v>23</v>
      </c>
      <c r="AD383" t="s">
        <v>23</v>
      </c>
      <c r="AE383" t="s">
        <v>23</v>
      </c>
      <c r="AF383" t="s">
        <v>23</v>
      </c>
      <c r="AG383" t="s">
        <v>23</v>
      </c>
      <c r="AH383" t="s">
        <v>23</v>
      </c>
      <c r="AI383" t="s">
        <v>23</v>
      </c>
      <c r="AJ383" t="s">
        <v>23</v>
      </c>
    </row>
    <row r="384" spans="1:36" x14ac:dyDescent="0.35">
      <c r="A384" s="2">
        <v>1382</v>
      </c>
      <c r="B384" s="4">
        <v>45182</v>
      </c>
      <c r="C384" s="1" t="s">
        <v>34</v>
      </c>
      <c r="D384" s="1" t="s">
        <v>42</v>
      </c>
      <c r="E384">
        <v>785298</v>
      </c>
      <c r="F384">
        <v>12</v>
      </c>
      <c r="G384" s="1" t="s">
        <v>32</v>
      </c>
      <c r="H384">
        <v>46488</v>
      </c>
      <c r="I384">
        <v>50787</v>
      </c>
      <c r="J384" s="1" t="s">
        <v>33</v>
      </c>
      <c r="K384" s="3">
        <v>2</v>
      </c>
      <c r="L384" s="1" t="s">
        <v>36</v>
      </c>
      <c r="M384" s="1" t="s">
        <v>29</v>
      </c>
      <c r="N384" s="3">
        <v>2024010123</v>
      </c>
      <c r="O384" s="3">
        <f t="shared" si="45"/>
        <v>1.23</v>
      </c>
      <c r="P384" s="6">
        <f t="shared" si="46"/>
        <v>965916.54</v>
      </c>
      <c r="Q384" s="3" t="str">
        <f t="shared" si="47"/>
        <v>Excellent</v>
      </c>
      <c r="R384" s="3">
        <f t="shared" si="48"/>
        <v>4299</v>
      </c>
      <c r="S384" s="7">
        <f t="shared" si="49"/>
        <v>51588</v>
      </c>
      <c r="T384" s="3" t="str">
        <f t="shared" si="50"/>
        <v>High Profit</v>
      </c>
      <c r="U384" s="3" t="str">
        <f t="shared" si="51"/>
        <v>Low Discount</v>
      </c>
      <c r="V384" s="3" t="str">
        <f t="shared" si="52"/>
        <v>Priority D</v>
      </c>
      <c r="W384">
        <f t="shared" si="53"/>
        <v>78529.8</v>
      </c>
      <c r="X384" t="s">
        <v>23</v>
      </c>
      <c r="Y384" t="s">
        <v>23</v>
      </c>
      <c r="Z384" t="s">
        <v>23</v>
      </c>
      <c r="AA384" t="s">
        <v>23</v>
      </c>
      <c r="AB384" t="s">
        <v>23</v>
      </c>
      <c r="AC384" t="s">
        <v>23</v>
      </c>
      <c r="AD384" t="s">
        <v>23</v>
      </c>
      <c r="AE384" t="s">
        <v>23</v>
      </c>
      <c r="AF384" t="s">
        <v>23</v>
      </c>
      <c r="AG384" t="s">
        <v>23</v>
      </c>
      <c r="AH384" t="s">
        <v>23</v>
      </c>
      <c r="AI384" t="s">
        <v>23</v>
      </c>
      <c r="AJ384" t="s">
        <v>23</v>
      </c>
    </row>
    <row r="385" spans="1:36" x14ac:dyDescent="0.35">
      <c r="A385" s="2">
        <v>1383</v>
      </c>
      <c r="B385" s="4">
        <v>45165</v>
      </c>
      <c r="C385" s="1" t="s">
        <v>34</v>
      </c>
      <c r="D385" s="1" t="s">
        <v>25</v>
      </c>
      <c r="E385">
        <v>611149</v>
      </c>
      <c r="F385">
        <v>12</v>
      </c>
      <c r="G385" s="1" t="s">
        <v>35</v>
      </c>
      <c r="H385">
        <v>21319</v>
      </c>
      <c r="I385">
        <v>25879</v>
      </c>
      <c r="J385" s="1" t="s">
        <v>33</v>
      </c>
      <c r="K385" s="3">
        <v>8</v>
      </c>
      <c r="L385" s="1" t="s">
        <v>40</v>
      </c>
      <c r="M385" s="1" t="s">
        <v>29</v>
      </c>
      <c r="N385" s="3">
        <v>2024010123</v>
      </c>
      <c r="O385" s="3">
        <f t="shared" si="45"/>
        <v>1.23</v>
      </c>
      <c r="P385" s="6">
        <f t="shared" si="46"/>
        <v>751713.27</v>
      </c>
      <c r="Q385" s="3" t="str">
        <f t="shared" si="47"/>
        <v>Excellent</v>
      </c>
      <c r="R385" s="3">
        <f t="shared" si="48"/>
        <v>4560</v>
      </c>
      <c r="S385" s="7">
        <f t="shared" si="49"/>
        <v>54720</v>
      </c>
      <c r="T385" s="3" t="str">
        <f t="shared" si="50"/>
        <v>High Profit</v>
      </c>
      <c r="U385" s="3" t="str">
        <f t="shared" si="51"/>
        <v>Medium Discount</v>
      </c>
      <c r="V385" s="3" t="str">
        <f t="shared" si="52"/>
        <v>Priority D</v>
      </c>
      <c r="W385">
        <f t="shared" si="53"/>
        <v>61114.9</v>
      </c>
      <c r="X385" t="s">
        <v>23</v>
      </c>
      <c r="Y385" t="s">
        <v>23</v>
      </c>
      <c r="Z385" t="s">
        <v>23</v>
      </c>
      <c r="AA385" t="s">
        <v>23</v>
      </c>
      <c r="AB385" t="s">
        <v>23</v>
      </c>
      <c r="AC385" t="s">
        <v>23</v>
      </c>
      <c r="AD385" t="s">
        <v>23</v>
      </c>
      <c r="AE385" t="s">
        <v>23</v>
      </c>
      <c r="AF385" t="s">
        <v>23</v>
      </c>
      <c r="AG385" t="s">
        <v>23</v>
      </c>
      <c r="AH385" t="s">
        <v>23</v>
      </c>
      <c r="AI385" t="s">
        <v>23</v>
      </c>
      <c r="AJ385" t="s">
        <v>23</v>
      </c>
    </row>
    <row r="386" spans="1:36" x14ac:dyDescent="0.35">
      <c r="A386" s="2">
        <v>1384</v>
      </c>
      <c r="B386" s="4">
        <v>44944</v>
      </c>
      <c r="C386" s="1" t="s">
        <v>24</v>
      </c>
      <c r="D386" s="1" t="s">
        <v>31</v>
      </c>
      <c r="E386">
        <v>325948</v>
      </c>
      <c r="F386">
        <v>12</v>
      </c>
      <c r="G386" s="1" t="s">
        <v>26</v>
      </c>
      <c r="H386">
        <v>38968</v>
      </c>
      <c r="I386">
        <v>43211</v>
      </c>
      <c r="J386" s="1" t="s">
        <v>27</v>
      </c>
      <c r="K386" s="3">
        <v>11</v>
      </c>
      <c r="L386" s="1" t="s">
        <v>28</v>
      </c>
      <c r="M386" s="1" t="s">
        <v>29</v>
      </c>
      <c r="N386" s="3">
        <v>2024010123</v>
      </c>
      <c r="O386" s="3">
        <f t="shared" si="45"/>
        <v>1.23</v>
      </c>
      <c r="P386" s="6">
        <f t="shared" si="46"/>
        <v>400916.04</v>
      </c>
      <c r="Q386" s="3" t="str">
        <f t="shared" si="47"/>
        <v>Excellent</v>
      </c>
      <c r="R386" s="3">
        <f t="shared" si="48"/>
        <v>4243</v>
      </c>
      <c r="S386" s="7">
        <f t="shared" si="49"/>
        <v>50916</v>
      </c>
      <c r="T386" s="3" t="str">
        <f t="shared" si="50"/>
        <v>High Profit</v>
      </c>
      <c r="U386" s="3" t="str">
        <f t="shared" si="51"/>
        <v>Medium Discount</v>
      </c>
      <c r="V386" s="3" t="str">
        <f t="shared" si="52"/>
        <v>Priority D</v>
      </c>
      <c r="W386">
        <f t="shared" si="53"/>
        <v>48892.2</v>
      </c>
      <c r="X386" t="s">
        <v>23</v>
      </c>
      <c r="Y386" t="s">
        <v>23</v>
      </c>
      <c r="Z386" t="s">
        <v>23</v>
      </c>
      <c r="AA386" t="s">
        <v>23</v>
      </c>
      <c r="AB386" t="s">
        <v>23</v>
      </c>
      <c r="AC386" t="s">
        <v>23</v>
      </c>
      <c r="AD386" t="s">
        <v>23</v>
      </c>
      <c r="AE386" t="s">
        <v>23</v>
      </c>
      <c r="AF386" t="s">
        <v>23</v>
      </c>
      <c r="AG386" t="s">
        <v>23</v>
      </c>
      <c r="AH386" t="s">
        <v>23</v>
      </c>
      <c r="AI386" t="s">
        <v>23</v>
      </c>
      <c r="AJ386" t="s">
        <v>23</v>
      </c>
    </row>
    <row r="387" spans="1:36" x14ac:dyDescent="0.35">
      <c r="A387" s="2">
        <v>1385</v>
      </c>
      <c r="B387" s="4">
        <v>44947</v>
      </c>
      <c r="C387" s="1" t="s">
        <v>24</v>
      </c>
      <c r="D387" s="1" t="s">
        <v>31</v>
      </c>
      <c r="E387">
        <v>417537</v>
      </c>
      <c r="F387">
        <v>12</v>
      </c>
      <c r="G387" s="1" t="s">
        <v>26</v>
      </c>
      <c r="H387">
        <v>40818</v>
      </c>
      <c r="I387">
        <v>44882</v>
      </c>
      <c r="J387" s="1" t="s">
        <v>33</v>
      </c>
      <c r="K387" s="3">
        <v>5</v>
      </c>
      <c r="L387" s="1" t="s">
        <v>40</v>
      </c>
      <c r="M387" s="1" t="s">
        <v>37</v>
      </c>
      <c r="N387" s="3">
        <v>2024010123</v>
      </c>
      <c r="O387" s="3">
        <f t="shared" ref="O387:O450" si="54">VALUE(RIGHT($N$2,3))/100</f>
        <v>1.23</v>
      </c>
      <c r="P387" s="6">
        <f t="shared" ref="P387:P450" si="55">E387*$O387</f>
        <v>513570.51</v>
      </c>
      <c r="Q387" s="3" t="str">
        <f t="shared" ref="Q387:Q450" si="56">IF(P387&gt;=5000,"Excellent",
   IF(P387&gt;=3000,"Good",
      IF(P387&gt;=1500,"Average","Below Average")))</f>
        <v>Excellent</v>
      </c>
      <c r="R387" s="3">
        <f t="shared" ref="R387:R450" si="57">I387-H387</f>
        <v>4064</v>
      </c>
      <c r="S387" s="7">
        <f t="shared" ref="S387:S450" si="58">R387*F387</f>
        <v>48768</v>
      </c>
      <c r="T387" s="3" t="str">
        <f t="shared" ref="T387:T450" si="59">IF(S387&gt;=1000,"High Profit",
   IF(S387&gt;=500,"Medium Profit","Low Profit"))</f>
        <v>High Profit</v>
      </c>
      <c r="U387" s="3" t="str">
        <f t="shared" ref="U387:U450" si="60">_xlfn.LET(
  _xlpm.d0, K387,
  _xlpm.d, IF(_xlpm.d0&gt;=1, _xlpm.d0/100, _xlpm.d0),
  IF(_xlpm.d&gt;=0.15, "High Discount",
     IF(_xlpm.d&gt;=0.05, "Medium Discount",
        IF(_xlpm.d&gt;0, "Low Discount", "No Discount")))
)</f>
        <v>Medium Discount</v>
      </c>
      <c r="V387" s="3" t="str">
        <f t="shared" ref="V387:V450" si="61">IF(AND(G387="Electronics",F387&gt;=30,M387="Online"),"Priority A",
   IF(AND(OR(G387="Furniture",G387="Electronics"),F387&gt;=20),"Priority B",
      IF(OR(M387="Online",F387&gt;=15),"Priority C","Priority D")))</f>
        <v>Priority C</v>
      </c>
      <c r="W387">
        <f t="shared" ref="W387:W450" si="62">IF(AND(Q387="Excellent",J387="Returning",T387="High Profit"),E387*0.15,
   IF(AND(Q387="Excellent",J387="New"),E387*0.1,
      IF(AND(OR(Q387="Good",Q387="Excellent"),L387="Cash"),E387*0.08,
         IF(AND(Q387="Good",T387="High Profit"),E387*0.06,
            IF(Q387="Average",E387*0.03,
               IF(Q387="Below Average",E387*0.01,0))))))</f>
        <v>41753.700000000004</v>
      </c>
      <c r="X387" t="s">
        <v>23</v>
      </c>
      <c r="Y387" t="s">
        <v>23</v>
      </c>
      <c r="Z387" t="s">
        <v>23</v>
      </c>
      <c r="AA387" t="s">
        <v>23</v>
      </c>
      <c r="AB387" t="s">
        <v>23</v>
      </c>
      <c r="AC387" t="s">
        <v>23</v>
      </c>
      <c r="AD387" t="s">
        <v>23</v>
      </c>
      <c r="AE387" t="s">
        <v>23</v>
      </c>
      <c r="AF387" t="s">
        <v>23</v>
      </c>
      <c r="AG387" t="s">
        <v>23</v>
      </c>
      <c r="AH387" t="s">
        <v>23</v>
      </c>
      <c r="AI387" t="s">
        <v>23</v>
      </c>
      <c r="AJ387" t="s">
        <v>23</v>
      </c>
    </row>
    <row r="388" spans="1:36" x14ac:dyDescent="0.35">
      <c r="A388" s="2">
        <v>1386</v>
      </c>
      <c r="B388" s="4">
        <v>45008</v>
      </c>
      <c r="C388" s="1" t="s">
        <v>41</v>
      </c>
      <c r="D388" s="1" t="s">
        <v>43</v>
      </c>
      <c r="E388">
        <v>723380</v>
      </c>
      <c r="F388">
        <v>4</v>
      </c>
      <c r="G388" s="1" t="s">
        <v>35</v>
      </c>
      <c r="H388">
        <v>30207</v>
      </c>
      <c r="I388">
        <v>34485</v>
      </c>
      <c r="J388" s="1" t="s">
        <v>27</v>
      </c>
      <c r="K388" s="3">
        <v>25</v>
      </c>
      <c r="L388" s="1" t="s">
        <v>40</v>
      </c>
      <c r="M388" s="1" t="s">
        <v>37</v>
      </c>
      <c r="N388" s="3">
        <v>2024010123</v>
      </c>
      <c r="O388" s="3">
        <f t="shared" si="54"/>
        <v>1.23</v>
      </c>
      <c r="P388" s="6">
        <f t="shared" si="55"/>
        <v>889757.4</v>
      </c>
      <c r="Q388" s="3" t="str">
        <f t="shared" si="56"/>
        <v>Excellent</v>
      </c>
      <c r="R388" s="3">
        <f t="shared" si="57"/>
        <v>4278</v>
      </c>
      <c r="S388" s="7">
        <f t="shared" si="58"/>
        <v>17112</v>
      </c>
      <c r="T388" s="3" t="str">
        <f t="shared" si="59"/>
        <v>High Profit</v>
      </c>
      <c r="U388" s="3" t="str">
        <f t="shared" si="60"/>
        <v>High Discount</v>
      </c>
      <c r="V388" s="3" t="str">
        <f t="shared" si="61"/>
        <v>Priority C</v>
      </c>
      <c r="W388">
        <f t="shared" si="62"/>
        <v>108507</v>
      </c>
      <c r="X388" t="s">
        <v>23</v>
      </c>
      <c r="Y388" t="s">
        <v>23</v>
      </c>
      <c r="Z388" t="s">
        <v>23</v>
      </c>
      <c r="AA388" t="s">
        <v>23</v>
      </c>
      <c r="AB388" t="s">
        <v>23</v>
      </c>
      <c r="AC388" t="s">
        <v>23</v>
      </c>
      <c r="AD388" t="s">
        <v>23</v>
      </c>
      <c r="AE388" t="s">
        <v>23</v>
      </c>
      <c r="AF388" t="s">
        <v>23</v>
      </c>
      <c r="AG388" t="s">
        <v>23</v>
      </c>
      <c r="AH388" t="s">
        <v>23</v>
      </c>
      <c r="AI388" t="s">
        <v>23</v>
      </c>
      <c r="AJ388" t="s">
        <v>23</v>
      </c>
    </row>
    <row r="389" spans="1:36" x14ac:dyDescent="0.35">
      <c r="A389" s="2">
        <v>1387</v>
      </c>
      <c r="B389" s="4">
        <v>44972</v>
      </c>
      <c r="C389" s="1" t="s">
        <v>24</v>
      </c>
      <c r="D389" s="1" t="s">
        <v>43</v>
      </c>
      <c r="E389">
        <v>17205</v>
      </c>
      <c r="F389">
        <v>12</v>
      </c>
      <c r="G389" s="1" t="s">
        <v>26</v>
      </c>
      <c r="H389">
        <v>48503</v>
      </c>
      <c r="I389">
        <v>51574</v>
      </c>
      <c r="J389" s="1" t="s">
        <v>33</v>
      </c>
      <c r="K389" s="3">
        <v>27</v>
      </c>
      <c r="L389" s="1" t="s">
        <v>28</v>
      </c>
      <c r="M389" s="1" t="s">
        <v>37</v>
      </c>
      <c r="N389" s="3">
        <v>2024010123</v>
      </c>
      <c r="O389" s="3">
        <f t="shared" si="54"/>
        <v>1.23</v>
      </c>
      <c r="P389" s="6">
        <f t="shared" si="55"/>
        <v>21162.15</v>
      </c>
      <c r="Q389" s="3" t="str">
        <f t="shared" si="56"/>
        <v>Excellent</v>
      </c>
      <c r="R389" s="3">
        <f t="shared" si="57"/>
        <v>3071</v>
      </c>
      <c r="S389" s="7">
        <f t="shared" si="58"/>
        <v>36852</v>
      </c>
      <c r="T389" s="3" t="str">
        <f t="shared" si="59"/>
        <v>High Profit</v>
      </c>
      <c r="U389" s="3" t="str">
        <f t="shared" si="60"/>
        <v>High Discount</v>
      </c>
      <c r="V389" s="3" t="str">
        <f t="shared" si="61"/>
        <v>Priority C</v>
      </c>
      <c r="W389">
        <f t="shared" si="62"/>
        <v>1720.5</v>
      </c>
      <c r="X389" t="s">
        <v>23</v>
      </c>
      <c r="Y389" t="s">
        <v>23</v>
      </c>
      <c r="Z389" t="s">
        <v>23</v>
      </c>
      <c r="AA389" t="s">
        <v>23</v>
      </c>
      <c r="AB389" t="s">
        <v>23</v>
      </c>
      <c r="AC389" t="s">
        <v>23</v>
      </c>
      <c r="AD389" t="s">
        <v>23</v>
      </c>
      <c r="AE389" t="s">
        <v>23</v>
      </c>
      <c r="AF389" t="s">
        <v>23</v>
      </c>
      <c r="AG389" t="s">
        <v>23</v>
      </c>
      <c r="AH389" t="s">
        <v>23</v>
      </c>
      <c r="AI389" t="s">
        <v>23</v>
      </c>
      <c r="AJ389" t="s">
        <v>23</v>
      </c>
    </row>
    <row r="390" spans="1:36" x14ac:dyDescent="0.35">
      <c r="A390" s="2">
        <v>1388</v>
      </c>
      <c r="B390" s="4">
        <v>45155</v>
      </c>
      <c r="C390" s="1" t="s">
        <v>38</v>
      </c>
      <c r="D390" s="1" t="s">
        <v>25</v>
      </c>
      <c r="E390">
        <v>432238</v>
      </c>
      <c r="F390">
        <v>12</v>
      </c>
      <c r="G390" s="1" t="s">
        <v>32</v>
      </c>
      <c r="H390">
        <v>34332</v>
      </c>
      <c r="I390">
        <v>38385</v>
      </c>
      <c r="J390" s="1" t="s">
        <v>27</v>
      </c>
      <c r="K390" s="3">
        <v>17</v>
      </c>
      <c r="L390" s="1" t="s">
        <v>36</v>
      </c>
      <c r="M390" s="1" t="s">
        <v>37</v>
      </c>
      <c r="N390" s="3">
        <v>2024010123</v>
      </c>
      <c r="O390" s="3">
        <f t="shared" si="54"/>
        <v>1.23</v>
      </c>
      <c r="P390" s="6">
        <f t="shared" si="55"/>
        <v>531652.74</v>
      </c>
      <c r="Q390" s="3" t="str">
        <f t="shared" si="56"/>
        <v>Excellent</v>
      </c>
      <c r="R390" s="3">
        <f t="shared" si="57"/>
        <v>4053</v>
      </c>
      <c r="S390" s="7">
        <f t="shared" si="58"/>
        <v>48636</v>
      </c>
      <c r="T390" s="3" t="str">
        <f t="shared" si="59"/>
        <v>High Profit</v>
      </c>
      <c r="U390" s="3" t="str">
        <f t="shared" si="60"/>
        <v>High Discount</v>
      </c>
      <c r="V390" s="3" t="str">
        <f t="shared" si="61"/>
        <v>Priority C</v>
      </c>
      <c r="W390">
        <f t="shared" si="62"/>
        <v>64835.7</v>
      </c>
      <c r="X390" t="s">
        <v>23</v>
      </c>
      <c r="Y390" t="s">
        <v>23</v>
      </c>
      <c r="Z390" t="s">
        <v>23</v>
      </c>
      <c r="AA390" t="s">
        <v>23</v>
      </c>
      <c r="AB390" t="s">
        <v>23</v>
      </c>
      <c r="AC390" t="s">
        <v>23</v>
      </c>
      <c r="AD390" t="s">
        <v>23</v>
      </c>
      <c r="AE390" t="s">
        <v>23</v>
      </c>
      <c r="AF390" t="s">
        <v>23</v>
      </c>
      <c r="AG390" t="s">
        <v>23</v>
      </c>
      <c r="AH390" t="s">
        <v>23</v>
      </c>
      <c r="AI390" t="s">
        <v>23</v>
      </c>
      <c r="AJ390" t="s">
        <v>23</v>
      </c>
    </row>
    <row r="391" spans="1:36" x14ac:dyDescent="0.35">
      <c r="A391" s="2">
        <v>1389</v>
      </c>
      <c r="B391" s="4">
        <v>45075</v>
      </c>
      <c r="C391" s="1" t="s">
        <v>41</v>
      </c>
      <c r="D391" s="1" t="s">
        <v>42</v>
      </c>
      <c r="E391">
        <v>445962</v>
      </c>
      <c r="F391">
        <v>12</v>
      </c>
      <c r="G391" s="1" t="s">
        <v>39</v>
      </c>
      <c r="H391">
        <v>43649</v>
      </c>
      <c r="I391">
        <v>46933</v>
      </c>
      <c r="J391" s="1" t="s">
        <v>33</v>
      </c>
      <c r="K391" s="3">
        <v>21</v>
      </c>
      <c r="L391" s="1" t="s">
        <v>40</v>
      </c>
      <c r="M391" s="1" t="s">
        <v>29</v>
      </c>
      <c r="N391" s="3">
        <v>2024010123</v>
      </c>
      <c r="O391" s="3">
        <f t="shared" si="54"/>
        <v>1.23</v>
      </c>
      <c r="P391" s="6">
        <f t="shared" si="55"/>
        <v>548533.26</v>
      </c>
      <c r="Q391" s="3" t="str">
        <f t="shared" si="56"/>
        <v>Excellent</v>
      </c>
      <c r="R391" s="3">
        <f t="shared" si="57"/>
        <v>3284</v>
      </c>
      <c r="S391" s="7">
        <f t="shared" si="58"/>
        <v>39408</v>
      </c>
      <c r="T391" s="3" t="str">
        <f t="shared" si="59"/>
        <v>High Profit</v>
      </c>
      <c r="U391" s="3" t="str">
        <f t="shared" si="60"/>
        <v>High Discount</v>
      </c>
      <c r="V391" s="3" t="str">
        <f t="shared" si="61"/>
        <v>Priority D</v>
      </c>
      <c r="W391">
        <f t="shared" si="62"/>
        <v>44596.200000000004</v>
      </c>
      <c r="X391" t="s">
        <v>23</v>
      </c>
      <c r="Y391" t="s">
        <v>23</v>
      </c>
      <c r="Z391" t="s">
        <v>23</v>
      </c>
      <c r="AA391" t="s">
        <v>23</v>
      </c>
      <c r="AB391" t="s">
        <v>23</v>
      </c>
      <c r="AC391" t="s">
        <v>23</v>
      </c>
      <c r="AD391" t="s">
        <v>23</v>
      </c>
      <c r="AE391" t="s">
        <v>23</v>
      </c>
      <c r="AF391" t="s">
        <v>23</v>
      </c>
      <c r="AG391" t="s">
        <v>23</v>
      </c>
      <c r="AH391" t="s">
        <v>23</v>
      </c>
      <c r="AI391" t="s">
        <v>23</v>
      </c>
      <c r="AJ391" t="s">
        <v>23</v>
      </c>
    </row>
    <row r="392" spans="1:36" x14ac:dyDescent="0.35">
      <c r="A392" s="2">
        <v>1390</v>
      </c>
      <c r="B392" s="4">
        <v>45233</v>
      </c>
      <c r="C392" s="1" t="s">
        <v>41</v>
      </c>
      <c r="D392" s="1" t="s">
        <v>31</v>
      </c>
      <c r="E392">
        <v>634802</v>
      </c>
      <c r="F392">
        <v>42</v>
      </c>
      <c r="G392" s="1" t="s">
        <v>32</v>
      </c>
      <c r="H392">
        <v>12276</v>
      </c>
      <c r="I392">
        <v>19853</v>
      </c>
      <c r="J392" s="1" t="s">
        <v>27</v>
      </c>
      <c r="K392" s="3">
        <v>0</v>
      </c>
      <c r="L392" s="1" t="s">
        <v>40</v>
      </c>
      <c r="M392" s="1" t="s">
        <v>29</v>
      </c>
      <c r="N392" s="3">
        <v>2024010123</v>
      </c>
      <c r="O392" s="3">
        <f t="shared" si="54"/>
        <v>1.23</v>
      </c>
      <c r="P392" s="6">
        <f t="shared" si="55"/>
        <v>780806.46</v>
      </c>
      <c r="Q392" s="3" t="str">
        <f t="shared" si="56"/>
        <v>Excellent</v>
      </c>
      <c r="R392" s="3">
        <f t="shared" si="57"/>
        <v>7577</v>
      </c>
      <c r="S392" s="7">
        <f t="shared" si="58"/>
        <v>318234</v>
      </c>
      <c r="T392" s="3" t="str">
        <f t="shared" si="59"/>
        <v>High Profit</v>
      </c>
      <c r="U392" s="3" t="str">
        <f t="shared" si="60"/>
        <v>No Discount</v>
      </c>
      <c r="V392" s="3" t="str">
        <f t="shared" si="61"/>
        <v>Priority B</v>
      </c>
      <c r="W392">
        <f t="shared" si="62"/>
        <v>95220.3</v>
      </c>
      <c r="X392" t="s">
        <v>23</v>
      </c>
      <c r="Y392" t="s">
        <v>23</v>
      </c>
      <c r="Z392" t="s">
        <v>23</v>
      </c>
      <c r="AA392" t="s">
        <v>23</v>
      </c>
      <c r="AB392" t="s">
        <v>23</v>
      </c>
      <c r="AC392" t="s">
        <v>23</v>
      </c>
      <c r="AD392" t="s">
        <v>23</v>
      </c>
      <c r="AE392" t="s">
        <v>23</v>
      </c>
      <c r="AF392" t="s">
        <v>23</v>
      </c>
      <c r="AG392" t="s">
        <v>23</v>
      </c>
      <c r="AH392" t="s">
        <v>23</v>
      </c>
      <c r="AI392" t="s">
        <v>23</v>
      </c>
      <c r="AJ392" t="s">
        <v>23</v>
      </c>
    </row>
    <row r="393" spans="1:36" x14ac:dyDescent="0.35">
      <c r="A393" s="2">
        <v>1391</v>
      </c>
      <c r="B393" s="4">
        <v>45113</v>
      </c>
      <c r="C393" s="1" t="s">
        <v>34</v>
      </c>
      <c r="D393" s="1" t="s">
        <v>43</v>
      </c>
      <c r="E393">
        <v>509504</v>
      </c>
      <c r="F393">
        <v>22</v>
      </c>
      <c r="G393" s="1" t="s">
        <v>39</v>
      </c>
      <c r="H393">
        <v>10320</v>
      </c>
      <c r="I393">
        <v>18756</v>
      </c>
      <c r="J393" s="1" t="s">
        <v>33</v>
      </c>
      <c r="K393" s="3">
        <v>2</v>
      </c>
      <c r="L393" s="1" t="s">
        <v>28</v>
      </c>
      <c r="M393" s="1" t="s">
        <v>29</v>
      </c>
      <c r="N393" s="3">
        <v>2024010123</v>
      </c>
      <c r="O393" s="3">
        <f t="shared" si="54"/>
        <v>1.23</v>
      </c>
      <c r="P393" s="6">
        <f t="shared" si="55"/>
        <v>626689.92000000004</v>
      </c>
      <c r="Q393" s="3" t="str">
        <f t="shared" si="56"/>
        <v>Excellent</v>
      </c>
      <c r="R393" s="3">
        <f t="shared" si="57"/>
        <v>8436</v>
      </c>
      <c r="S393" s="7">
        <f t="shared" si="58"/>
        <v>185592</v>
      </c>
      <c r="T393" s="3" t="str">
        <f t="shared" si="59"/>
        <v>High Profit</v>
      </c>
      <c r="U393" s="3" t="str">
        <f t="shared" si="60"/>
        <v>Low Discount</v>
      </c>
      <c r="V393" s="3" t="str">
        <f t="shared" si="61"/>
        <v>Priority B</v>
      </c>
      <c r="W393">
        <f t="shared" si="62"/>
        <v>50950.400000000001</v>
      </c>
      <c r="X393" t="s">
        <v>23</v>
      </c>
      <c r="Y393" t="s">
        <v>23</v>
      </c>
      <c r="Z393" t="s">
        <v>23</v>
      </c>
      <c r="AA393" t="s">
        <v>23</v>
      </c>
      <c r="AB393" t="s">
        <v>23</v>
      </c>
      <c r="AC393" t="s">
        <v>23</v>
      </c>
      <c r="AD393" t="s">
        <v>23</v>
      </c>
      <c r="AE393" t="s">
        <v>23</v>
      </c>
      <c r="AF393" t="s">
        <v>23</v>
      </c>
      <c r="AG393" t="s">
        <v>23</v>
      </c>
      <c r="AH393" t="s">
        <v>23</v>
      </c>
      <c r="AI393" t="s">
        <v>23</v>
      </c>
      <c r="AJ393" t="s">
        <v>23</v>
      </c>
    </row>
    <row r="394" spans="1:36" x14ac:dyDescent="0.35">
      <c r="A394" s="2">
        <v>1392</v>
      </c>
      <c r="B394" s="4">
        <v>45117</v>
      </c>
      <c r="C394" s="1" t="s">
        <v>34</v>
      </c>
      <c r="D394" s="1" t="s">
        <v>43</v>
      </c>
      <c r="E394">
        <v>96601</v>
      </c>
      <c r="F394">
        <v>36</v>
      </c>
      <c r="G394" s="1" t="s">
        <v>26</v>
      </c>
      <c r="H394">
        <v>14790</v>
      </c>
      <c r="I394">
        <v>22088</v>
      </c>
      <c r="J394" s="1" t="s">
        <v>27</v>
      </c>
      <c r="K394" s="3">
        <v>4</v>
      </c>
      <c r="L394" s="1" t="s">
        <v>36</v>
      </c>
      <c r="M394" s="1" t="s">
        <v>37</v>
      </c>
      <c r="N394" s="3">
        <v>2024010123</v>
      </c>
      <c r="O394" s="3">
        <f t="shared" si="54"/>
        <v>1.23</v>
      </c>
      <c r="P394" s="6">
        <f t="shared" si="55"/>
        <v>118819.23</v>
      </c>
      <c r="Q394" s="3" t="str">
        <f t="shared" si="56"/>
        <v>Excellent</v>
      </c>
      <c r="R394" s="3">
        <f t="shared" si="57"/>
        <v>7298</v>
      </c>
      <c r="S394" s="7">
        <f t="shared" si="58"/>
        <v>262728</v>
      </c>
      <c r="T394" s="3" t="str">
        <f t="shared" si="59"/>
        <v>High Profit</v>
      </c>
      <c r="U394" s="3" t="str">
        <f t="shared" si="60"/>
        <v>Low Discount</v>
      </c>
      <c r="V394" s="3" t="str">
        <f t="shared" si="61"/>
        <v>Priority C</v>
      </c>
      <c r="W394">
        <f t="shared" si="62"/>
        <v>14490.15</v>
      </c>
      <c r="X394" t="s">
        <v>23</v>
      </c>
      <c r="Y394" t="s">
        <v>23</v>
      </c>
      <c r="Z394" t="s">
        <v>23</v>
      </c>
      <c r="AA394" t="s">
        <v>23</v>
      </c>
      <c r="AB394" t="s">
        <v>23</v>
      </c>
      <c r="AC394" t="s">
        <v>23</v>
      </c>
      <c r="AD394" t="s">
        <v>23</v>
      </c>
      <c r="AE394" t="s">
        <v>23</v>
      </c>
      <c r="AF394" t="s">
        <v>23</v>
      </c>
      <c r="AG394" t="s">
        <v>23</v>
      </c>
      <c r="AH394" t="s">
        <v>23</v>
      </c>
      <c r="AI394" t="s">
        <v>23</v>
      </c>
      <c r="AJ394" t="s">
        <v>23</v>
      </c>
    </row>
    <row r="395" spans="1:36" x14ac:dyDescent="0.35">
      <c r="A395" s="2">
        <v>1393</v>
      </c>
      <c r="B395" s="4">
        <v>45160</v>
      </c>
      <c r="C395" s="1" t="s">
        <v>34</v>
      </c>
      <c r="D395" s="1" t="s">
        <v>43</v>
      </c>
      <c r="E395">
        <v>194476</v>
      </c>
      <c r="F395">
        <v>34</v>
      </c>
      <c r="G395" s="1" t="s">
        <v>39</v>
      </c>
      <c r="H395">
        <v>12272</v>
      </c>
      <c r="I395">
        <v>22759</v>
      </c>
      <c r="J395" s="1" t="s">
        <v>27</v>
      </c>
      <c r="K395" s="3">
        <v>5</v>
      </c>
      <c r="L395" s="1" t="s">
        <v>40</v>
      </c>
      <c r="M395" s="1" t="s">
        <v>37</v>
      </c>
      <c r="N395" s="3">
        <v>2024010123</v>
      </c>
      <c r="O395" s="3">
        <f t="shared" si="54"/>
        <v>1.23</v>
      </c>
      <c r="P395" s="6">
        <f t="shared" si="55"/>
        <v>239205.48</v>
      </c>
      <c r="Q395" s="3" t="str">
        <f t="shared" si="56"/>
        <v>Excellent</v>
      </c>
      <c r="R395" s="3">
        <f t="shared" si="57"/>
        <v>10487</v>
      </c>
      <c r="S395" s="7">
        <f t="shared" si="58"/>
        <v>356558</v>
      </c>
      <c r="T395" s="3" t="str">
        <f t="shared" si="59"/>
        <v>High Profit</v>
      </c>
      <c r="U395" s="3" t="str">
        <f t="shared" si="60"/>
        <v>Medium Discount</v>
      </c>
      <c r="V395" s="3" t="str">
        <f t="shared" si="61"/>
        <v>Priority A</v>
      </c>
      <c r="W395">
        <f t="shared" si="62"/>
        <v>29171.399999999998</v>
      </c>
      <c r="X395" t="s">
        <v>23</v>
      </c>
      <c r="Y395" t="s">
        <v>23</v>
      </c>
      <c r="Z395" t="s">
        <v>23</v>
      </c>
      <c r="AA395" t="s">
        <v>23</v>
      </c>
      <c r="AB395" t="s">
        <v>23</v>
      </c>
      <c r="AC395" t="s">
        <v>23</v>
      </c>
      <c r="AD395" t="s">
        <v>23</v>
      </c>
      <c r="AE395" t="s">
        <v>23</v>
      </c>
      <c r="AF395" t="s">
        <v>23</v>
      </c>
      <c r="AG395" t="s">
        <v>23</v>
      </c>
      <c r="AH395" t="s">
        <v>23</v>
      </c>
      <c r="AI395" t="s">
        <v>23</v>
      </c>
      <c r="AJ395" t="s">
        <v>23</v>
      </c>
    </row>
    <row r="396" spans="1:36" x14ac:dyDescent="0.35">
      <c r="A396" s="2">
        <v>1394</v>
      </c>
      <c r="B396" s="4">
        <v>45189</v>
      </c>
      <c r="C396" s="1" t="s">
        <v>41</v>
      </c>
      <c r="D396" s="1" t="s">
        <v>42</v>
      </c>
      <c r="E396">
        <v>802084</v>
      </c>
      <c r="F396">
        <v>29</v>
      </c>
      <c r="G396" s="1" t="s">
        <v>35</v>
      </c>
      <c r="H396">
        <v>14210</v>
      </c>
      <c r="I396">
        <v>28141</v>
      </c>
      <c r="J396" s="1" t="s">
        <v>27</v>
      </c>
      <c r="K396" s="3">
        <v>6</v>
      </c>
      <c r="L396" s="1" t="s">
        <v>36</v>
      </c>
      <c r="M396" s="1" t="s">
        <v>29</v>
      </c>
      <c r="N396" s="3">
        <v>2024010123</v>
      </c>
      <c r="O396" s="3">
        <f t="shared" si="54"/>
        <v>1.23</v>
      </c>
      <c r="P396" s="6">
        <f t="shared" si="55"/>
        <v>986563.32</v>
      </c>
      <c r="Q396" s="3" t="str">
        <f t="shared" si="56"/>
        <v>Excellent</v>
      </c>
      <c r="R396" s="3">
        <f t="shared" si="57"/>
        <v>13931</v>
      </c>
      <c r="S396" s="7">
        <f t="shared" si="58"/>
        <v>403999</v>
      </c>
      <c r="T396" s="3" t="str">
        <f t="shared" si="59"/>
        <v>High Profit</v>
      </c>
      <c r="U396" s="3" t="str">
        <f t="shared" si="60"/>
        <v>Medium Discount</v>
      </c>
      <c r="V396" s="3" t="str">
        <f t="shared" si="61"/>
        <v>Priority C</v>
      </c>
      <c r="W396">
        <f t="shared" si="62"/>
        <v>120312.59999999999</v>
      </c>
      <c r="X396" t="s">
        <v>23</v>
      </c>
      <c r="Y396" t="s">
        <v>23</v>
      </c>
      <c r="Z396" t="s">
        <v>23</v>
      </c>
      <c r="AA396" t="s">
        <v>23</v>
      </c>
      <c r="AB396" t="s">
        <v>23</v>
      </c>
      <c r="AC396" t="s">
        <v>23</v>
      </c>
      <c r="AD396" t="s">
        <v>23</v>
      </c>
      <c r="AE396" t="s">
        <v>23</v>
      </c>
      <c r="AF396" t="s">
        <v>23</v>
      </c>
      <c r="AG396" t="s">
        <v>23</v>
      </c>
      <c r="AH396" t="s">
        <v>23</v>
      </c>
      <c r="AI396" t="s">
        <v>23</v>
      </c>
      <c r="AJ396" t="s">
        <v>23</v>
      </c>
    </row>
    <row r="397" spans="1:36" x14ac:dyDescent="0.35">
      <c r="A397" s="2">
        <v>1395</v>
      </c>
      <c r="B397" s="4">
        <v>45150</v>
      </c>
      <c r="C397" s="1" t="s">
        <v>24</v>
      </c>
      <c r="D397" s="1" t="s">
        <v>42</v>
      </c>
      <c r="E397">
        <v>431765</v>
      </c>
      <c r="F397">
        <v>33</v>
      </c>
      <c r="G397" s="1" t="s">
        <v>26</v>
      </c>
      <c r="H397">
        <v>26291</v>
      </c>
      <c r="I397">
        <v>40275</v>
      </c>
      <c r="J397" s="1" t="s">
        <v>33</v>
      </c>
      <c r="K397" s="3">
        <v>13</v>
      </c>
      <c r="L397" s="1" t="s">
        <v>28</v>
      </c>
      <c r="M397" s="1" t="s">
        <v>37</v>
      </c>
      <c r="N397" s="3">
        <v>2024010123</v>
      </c>
      <c r="O397" s="3">
        <f t="shared" si="54"/>
        <v>1.23</v>
      </c>
      <c r="P397" s="6">
        <f t="shared" si="55"/>
        <v>531070.94999999995</v>
      </c>
      <c r="Q397" s="3" t="str">
        <f t="shared" si="56"/>
        <v>Excellent</v>
      </c>
      <c r="R397" s="3">
        <f t="shared" si="57"/>
        <v>13984</v>
      </c>
      <c r="S397" s="7">
        <f t="shared" si="58"/>
        <v>461472</v>
      </c>
      <c r="T397" s="3" t="str">
        <f t="shared" si="59"/>
        <v>High Profit</v>
      </c>
      <c r="U397" s="3" t="str">
        <f t="shared" si="60"/>
        <v>Medium Discount</v>
      </c>
      <c r="V397" s="3" t="str">
        <f t="shared" si="61"/>
        <v>Priority C</v>
      </c>
      <c r="W397">
        <f t="shared" si="62"/>
        <v>43176.5</v>
      </c>
      <c r="X397" t="s">
        <v>23</v>
      </c>
      <c r="Y397" t="s">
        <v>23</v>
      </c>
      <c r="Z397" t="s">
        <v>23</v>
      </c>
      <c r="AA397" t="s">
        <v>23</v>
      </c>
      <c r="AB397" t="s">
        <v>23</v>
      </c>
      <c r="AC397" t="s">
        <v>23</v>
      </c>
      <c r="AD397" t="s">
        <v>23</v>
      </c>
      <c r="AE397" t="s">
        <v>23</v>
      </c>
      <c r="AF397" t="s">
        <v>23</v>
      </c>
      <c r="AG397" t="s">
        <v>23</v>
      </c>
      <c r="AH397" t="s">
        <v>23</v>
      </c>
      <c r="AI397" t="s">
        <v>23</v>
      </c>
      <c r="AJ397" t="s">
        <v>23</v>
      </c>
    </row>
    <row r="398" spans="1:36" x14ac:dyDescent="0.35">
      <c r="A398" s="2">
        <v>1396</v>
      </c>
      <c r="B398" s="4">
        <v>45238</v>
      </c>
      <c r="C398" s="1" t="s">
        <v>41</v>
      </c>
      <c r="D398" s="1" t="s">
        <v>43</v>
      </c>
      <c r="E398">
        <v>613480</v>
      </c>
      <c r="F398">
        <v>28</v>
      </c>
      <c r="G398" s="1" t="s">
        <v>32</v>
      </c>
      <c r="H398">
        <v>18408</v>
      </c>
      <c r="I398">
        <v>26433</v>
      </c>
      <c r="J398" s="1" t="s">
        <v>27</v>
      </c>
      <c r="K398" s="3">
        <v>19</v>
      </c>
      <c r="L398" s="1" t="s">
        <v>28</v>
      </c>
      <c r="M398" s="1" t="s">
        <v>29</v>
      </c>
      <c r="N398" s="3">
        <v>2024010123</v>
      </c>
      <c r="O398" s="3">
        <f t="shared" si="54"/>
        <v>1.23</v>
      </c>
      <c r="P398" s="6">
        <f t="shared" si="55"/>
        <v>754580.4</v>
      </c>
      <c r="Q398" s="3" t="str">
        <f t="shared" si="56"/>
        <v>Excellent</v>
      </c>
      <c r="R398" s="3">
        <f t="shared" si="57"/>
        <v>8025</v>
      </c>
      <c r="S398" s="7">
        <f t="shared" si="58"/>
        <v>224700</v>
      </c>
      <c r="T398" s="3" t="str">
        <f t="shared" si="59"/>
        <v>High Profit</v>
      </c>
      <c r="U398" s="3" t="str">
        <f t="shared" si="60"/>
        <v>High Discount</v>
      </c>
      <c r="V398" s="3" t="str">
        <f t="shared" si="61"/>
        <v>Priority B</v>
      </c>
      <c r="W398">
        <f t="shared" si="62"/>
        <v>92022</v>
      </c>
      <c r="X398" t="s">
        <v>23</v>
      </c>
      <c r="Y398" t="s">
        <v>23</v>
      </c>
      <c r="Z398" t="s">
        <v>23</v>
      </c>
      <c r="AA398" t="s">
        <v>23</v>
      </c>
      <c r="AB398" t="s">
        <v>23</v>
      </c>
      <c r="AC398" t="s">
        <v>23</v>
      </c>
      <c r="AD398" t="s">
        <v>23</v>
      </c>
      <c r="AE398" t="s">
        <v>23</v>
      </c>
      <c r="AF398" t="s">
        <v>23</v>
      </c>
      <c r="AG398" t="s">
        <v>23</v>
      </c>
      <c r="AH398" t="s">
        <v>23</v>
      </c>
      <c r="AI398" t="s">
        <v>23</v>
      </c>
      <c r="AJ398" t="s">
        <v>23</v>
      </c>
    </row>
    <row r="399" spans="1:36" x14ac:dyDescent="0.35">
      <c r="A399" s="2">
        <v>1397</v>
      </c>
      <c r="B399" s="4">
        <v>45267</v>
      </c>
      <c r="C399" s="1" t="s">
        <v>38</v>
      </c>
      <c r="D399" s="1" t="s">
        <v>31</v>
      </c>
      <c r="E399">
        <v>867650</v>
      </c>
      <c r="F399">
        <v>12</v>
      </c>
      <c r="G399" s="1" t="s">
        <v>32</v>
      </c>
      <c r="H399">
        <v>16589</v>
      </c>
      <c r="I399">
        <v>26383</v>
      </c>
      <c r="J399" s="1" t="s">
        <v>33</v>
      </c>
      <c r="K399" s="3">
        <v>16</v>
      </c>
      <c r="L399" s="1" t="s">
        <v>40</v>
      </c>
      <c r="M399" s="1" t="s">
        <v>37</v>
      </c>
      <c r="N399" s="3">
        <v>2024010123</v>
      </c>
      <c r="O399" s="3">
        <f t="shared" si="54"/>
        <v>1.23</v>
      </c>
      <c r="P399" s="6">
        <f t="shared" si="55"/>
        <v>1067209.5</v>
      </c>
      <c r="Q399" s="3" t="str">
        <f t="shared" si="56"/>
        <v>Excellent</v>
      </c>
      <c r="R399" s="3">
        <f t="shared" si="57"/>
        <v>9794</v>
      </c>
      <c r="S399" s="7">
        <f t="shared" si="58"/>
        <v>117528</v>
      </c>
      <c r="T399" s="3" t="str">
        <f t="shared" si="59"/>
        <v>High Profit</v>
      </c>
      <c r="U399" s="3" t="str">
        <f t="shared" si="60"/>
        <v>High Discount</v>
      </c>
      <c r="V399" s="3" t="str">
        <f t="shared" si="61"/>
        <v>Priority C</v>
      </c>
      <c r="W399">
        <f t="shared" si="62"/>
        <v>86765</v>
      </c>
      <c r="X399" t="s">
        <v>23</v>
      </c>
      <c r="Y399" t="s">
        <v>23</v>
      </c>
      <c r="Z399" t="s">
        <v>23</v>
      </c>
      <c r="AA399" t="s">
        <v>23</v>
      </c>
      <c r="AB399" t="s">
        <v>23</v>
      </c>
      <c r="AC399" t="s">
        <v>23</v>
      </c>
      <c r="AD399" t="s">
        <v>23</v>
      </c>
      <c r="AE399" t="s">
        <v>23</v>
      </c>
      <c r="AF399" t="s">
        <v>23</v>
      </c>
      <c r="AG399" t="s">
        <v>23</v>
      </c>
      <c r="AH399" t="s">
        <v>23</v>
      </c>
      <c r="AI399" t="s">
        <v>23</v>
      </c>
      <c r="AJ399" t="s">
        <v>23</v>
      </c>
    </row>
    <row r="400" spans="1:36" x14ac:dyDescent="0.35">
      <c r="A400" s="2">
        <v>1398</v>
      </c>
      <c r="B400" s="4">
        <v>45221</v>
      </c>
      <c r="C400" s="1" t="s">
        <v>41</v>
      </c>
      <c r="D400" s="1" t="s">
        <v>43</v>
      </c>
      <c r="E400">
        <v>267213</v>
      </c>
      <c r="F400">
        <v>34</v>
      </c>
      <c r="G400" s="1" t="s">
        <v>39</v>
      </c>
      <c r="H400">
        <v>29448</v>
      </c>
      <c r="I400">
        <v>42908</v>
      </c>
      <c r="J400" s="1" t="s">
        <v>27</v>
      </c>
      <c r="K400" s="3">
        <v>30</v>
      </c>
      <c r="L400" s="1" t="s">
        <v>28</v>
      </c>
      <c r="M400" s="1" t="s">
        <v>37</v>
      </c>
      <c r="N400" s="3">
        <v>2024010123</v>
      </c>
      <c r="O400" s="3">
        <f t="shared" si="54"/>
        <v>1.23</v>
      </c>
      <c r="P400" s="6">
        <f t="shared" si="55"/>
        <v>328671.99</v>
      </c>
      <c r="Q400" s="3" t="str">
        <f t="shared" si="56"/>
        <v>Excellent</v>
      </c>
      <c r="R400" s="3">
        <f t="shared" si="57"/>
        <v>13460</v>
      </c>
      <c r="S400" s="7">
        <f t="shared" si="58"/>
        <v>457640</v>
      </c>
      <c r="T400" s="3" t="str">
        <f t="shared" si="59"/>
        <v>High Profit</v>
      </c>
      <c r="U400" s="3" t="str">
        <f t="shared" si="60"/>
        <v>High Discount</v>
      </c>
      <c r="V400" s="3" t="str">
        <f t="shared" si="61"/>
        <v>Priority A</v>
      </c>
      <c r="W400">
        <f t="shared" si="62"/>
        <v>40081.949999999997</v>
      </c>
      <c r="X400" t="s">
        <v>23</v>
      </c>
      <c r="Y400" t="s">
        <v>23</v>
      </c>
      <c r="Z400" t="s">
        <v>23</v>
      </c>
      <c r="AA400" t="s">
        <v>23</v>
      </c>
      <c r="AB400" t="s">
        <v>23</v>
      </c>
      <c r="AC400" t="s">
        <v>23</v>
      </c>
      <c r="AD400" t="s">
        <v>23</v>
      </c>
      <c r="AE400" t="s">
        <v>23</v>
      </c>
      <c r="AF400" t="s">
        <v>23</v>
      </c>
      <c r="AG400" t="s">
        <v>23</v>
      </c>
      <c r="AH400" t="s">
        <v>23</v>
      </c>
      <c r="AI400" t="s">
        <v>23</v>
      </c>
      <c r="AJ400" t="s">
        <v>23</v>
      </c>
    </row>
    <row r="401" spans="1:36" x14ac:dyDescent="0.35">
      <c r="A401" s="2">
        <v>1399</v>
      </c>
      <c r="B401" s="4">
        <v>44959</v>
      </c>
      <c r="C401" s="1" t="s">
        <v>24</v>
      </c>
      <c r="D401" s="1" t="s">
        <v>31</v>
      </c>
      <c r="E401">
        <v>381766</v>
      </c>
      <c r="F401">
        <v>49</v>
      </c>
      <c r="G401" s="1" t="s">
        <v>26</v>
      </c>
      <c r="H401">
        <v>19569</v>
      </c>
      <c r="I401">
        <v>31077</v>
      </c>
      <c r="J401" s="1" t="s">
        <v>27</v>
      </c>
      <c r="K401" s="3">
        <v>30</v>
      </c>
      <c r="L401" s="1" t="s">
        <v>28</v>
      </c>
      <c r="M401" s="1" t="s">
        <v>29</v>
      </c>
      <c r="N401" s="3">
        <v>2024010123</v>
      </c>
      <c r="O401" s="3">
        <f t="shared" si="54"/>
        <v>1.23</v>
      </c>
      <c r="P401" s="6">
        <f t="shared" si="55"/>
        <v>469572.18</v>
      </c>
      <c r="Q401" s="3" t="str">
        <f t="shared" si="56"/>
        <v>Excellent</v>
      </c>
      <c r="R401" s="3">
        <f t="shared" si="57"/>
        <v>11508</v>
      </c>
      <c r="S401" s="7">
        <f t="shared" si="58"/>
        <v>563892</v>
      </c>
      <c r="T401" s="3" t="str">
        <f t="shared" si="59"/>
        <v>High Profit</v>
      </c>
      <c r="U401" s="3" t="str">
        <f t="shared" si="60"/>
        <v>High Discount</v>
      </c>
      <c r="V401" s="3" t="str">
        <f t="shared" si="61"/>
        <v>Priority C</v>
      </c>
      <c r="W401">
        <f t="shared" si="62"/>
        <v>57264.9</v>
      </c>
      <c r="X401" t="s">
        <v>23</v>
      </c>
      <c r="Y401" t="s">
        <v>23</v>
      </c>
      <c r="Z401" t="s">
        <v>23</v>
      </c>
      <c r="AA401" t="s">
        <v>23</v>
      </c>
      <c r="AB401" t="s">
        <v>23</v>
      </c>
      <c r="AC401" t="s">
        <v>23</v>
      </c>
      <c r="AD401" t="s">
        <v>23</v>
      </c>
      <c r="AE401" t="s">
        <v>23</v>
      </c>
      <c r="AF401" t="s">
        <v>23</v>
      </c>
      <c r="AG401" t="s">
        <v>23</v>
      </c>
      <c r="AH401" t="s">
        <v>23</v>
      </c>
      <c r="AI401" t="s">
        <v>23</v>
      </c>
      <c r="AJ401" t="s">
        <v>23</v>
      </c>
    </row>
    <row r="402" spans="1:36" x14ac:dyDescent="0.35">
      <c r="A402" s="2">
        <v>1400</v>
      </c>
      <c r="B402" s="4">
        <v>45154</v>
      </c>
      <c r="C402" s="1" t="s">
        <v>38</v>
      </c>
      <c r="D402" s="1" t="s">
        <v>43</v>
      </c>
      <c r="E402">
        <v>777875</v>
      </c>
      <c r="F402">
        <v>12</v>
      </c>
      <c r="G402" s="1" t="s">
        <v>39</v>
      </c>
      <c r="H402">
        <v>12000</v>
      </c>
      <c r="I402">
        <v>23000</v>
      </c>
      <c r="J402" s="1" t="s">
        <v>27</v>
      </c>
      <c r="K402" s="3">
        <v>0</v>
      </c>
      <c r="L402" s="1" t="s">
        <v>36</v>
      </c>
      <c r="M402" s="1" t="s">
        <v>37</v>
      </c>
      <c r="N402" s="3">
        <v>2024010123</v>
      </c>
      <c r="O402" s="3">
        <f t="shared" si="54"/>
        <v>1.23</v>
      </c>
      <c r="P402" s="6">
        <f t="shared" si="55"/>
        <v>956786.25</v>
      </c>
      <c r="Q402" s="3" t="str">
        <f t="shared" si="56"/>
        <v>Excellent</v>
      </c>
      <c r="R402" s="3">
        <f t="shared" si="57"/>
        <v>11000</v>
      </c>
      <c r="S402" s="7">
        <f t="shared" si="58"/>
        <v>132000</v>
      </c>
      <c r="T402" s="3" t="str">
        <f t="shared" si="59"/>
        <v>High Profit</v>
      </c>
      <c r="U402" s="3" t="str">
        <f t="shared" si="60"/>
        <v>No Discount</v>
      </c>
      <c r="V402" s="3" t="str">
        <f t="shared" si="61"/>
        <v>Priority C</v>
      </c>
      <c r="W402">
        <f t="shared" si="62"/>
        <v>116681.25</v>
      </c>
      <c r="X402" t="s">
        <v>23</v>
      </c>
      <c r="Y402" t="s">
        <v>23</v>
      </c>
      <c r="Z402" t="s">
        <v>23</v>
      </c>
      <c r="AA402" t="s">
        <v>23</v>
      </c>
      <c r="AB402" t="s">
        <v>23</v>
      </c>
      <c r="AC402" t="s">
        <v>23</v>
      </c>
      <c r="AD402" t="s">
        <v>23</v>
      </c>
      <c r="AE402" t="s">
        <v>23</v>
      </c>
      <c r="AF402" t="s">
        <v>23</v>
      </c>
      <c r="AG402" t="s">
        <v>23</v>
      </c>
      <c r="AH402" t="s">
        <v>23</v>
      </c>
      <c r="AI402" t="s">
        <v>23</v>
      </c>
      <c r="AJ402" t="s">
        <v>23</v>
      </c>
    </row>
    <row r="403" spans="1:36" x14ac:dyDescent="0.35">
      <c r="A403" s="2">
        <v>1401</v>
      </c>
      <c r="B403" s="4">
        <v>45263</v>
      </c>
      <c r="C403" s="1" t="s">
        <v>38</v>
      </c>
      <c r="D403" s="1" t="s">
        <v>25</v>
      </c>
      <c r="E403">
        <v>890734</v>
      </c>
      <c r="F403">
        <v>18</v>
      </c>
      <c r="G403" s="1" t="s">
        <v>26</v>
      </c>
      <c r="H403">
        <v>33957</v>
      </c>
      <c r="I403">
        <v>41054</v>
      </c>
      <c r="J403" s="1" t="s">
        <v>33</v>
      </c>
      <c r="K403" s="3">
        <v>3</v>
      </c>
      <c r="L403" s="1" t="s">
        <v>36</v>
      </c>
      <c r="M403" s="1" t="s">
        <v>29</v>
      </c>
      <c r="N403" s="3">
        <v>2024010123</v>
      </c>
      <c r="O403" s="3">
        <f t="shared" si="54"/>
        <v>1.23</v>
      </c>
      <c r="P403" s="6">
        <f t="shared" si="55"/>
        <v>1095602.82</v>
      </c>
      <c r="Q403" s="3" t="str">
        <f t="shared" si="56"/>
        <v>Excellent</v>
      </c>
      <c r="R403" s="3">
        <f t="shared" si="57"/>
        <v>7097</v>
      </c>
      <c r="S403" s="7">
        <f t="shared" si="58"/>
        <v>127746</v>
      </c>
      <c r="T403" s="3" t="str">
        <f t="shared" si="59"/>
        <v>High Profit</v>
      </c>
      <c r="U403" s="3" t="str">
        <f t="shared" si="60"/>
        <v>Low Discount</v>
      </c>
      <c r="V403" s="3" t="str">
        <f t="shared" si="61"/>
        <v>Priority C</v>
      </c>
      <c r="W403">
        <f t="shared" si="62"/>
        <v>89073.400000000009</v>
      </c>
      <c r="X403" t="s">
        <v>23</v>
      </c>
      <c r="Y403" t="s">
        <v>23</v>
      </c>
      <c r="Z403" t="s">
        <v>23</v>
      </c>
      <c r="AA403" t="s">
        <v>23</v>
      </c>
      <c r="AB403" t="s">
        <v>23</v>
      </c>
      <c r="AC403" t="s">
        <v>23</v>
      </c>
      <c r="AD403" t="s">
        <v>23</v>
      </c>
      <c r="AE403" t="s">
        <v>23</v>
      </c>
      <c r="AF403" t="s">
        <v>23</v>
      </c>
      <c r="AG403" t="s">
        <v>23</v>
      </c>
      <c r="AH403" t="s">
        <v>23</v>
      </c>
      <c r="AI403" t="s">
        <v>23</v>
      </c>
      <c r="AJ403" t="s">
        <v>23</v>
      </c>
    </row>
    <row r="404" spans="1:36" x14ac:dyDescent="0.35">
      <c r="A404" s="2">
        <v>1402</v>
      </c>
      <c r="B404" s="4">
        <v>45241</v>
      </c>
      <c r="C404" s="1" t="s">
        <v>38</v>
      </c>
      <c r="D404" s="1" t="s">
        <v>31</v>
      </c>
      <c r="E404">
        <v>431767</v>
      </c>
      <c r="F404">
        <v>18</v>
      </c>
      <c r="G404" s="1" t="s">
        <v>39</v>
      </c>
      <c r="H404">
        <v>41530</v>
      </c>
      <c r="I404">
        <v>45069</v>
      </c>
      <c r="J404" s="1" t="s">
        <v>33</v>
      </c>
      <c r="K404" s="3">
        <v>2</v>
      </c>
      <c r="L404" s="1" t="s">
        <v>36</v>
      </c>
      <c r="M404" s="1" t="s">
        <v>29</v>
      </c>
      <c r="N404" s="3">
        <v>2024010123</v>
      </c>
      <c r="O404" s="3">
        <f t="shared" si="54"/>
        <v>1.23</v>
      </c>
      <c r="P404" s="6">
        <f t="shared" si="55"/>
        <v>531073.41</v>
      </c>
      <c r="Q404" s="3" t="str">
        <f t="shared" si="56"/>
        <v>Excellent</v>
      </c>
      <c r="R404" s="3">
        <f t="shared" si="57"/>
        <v>3539</v>
      </c>
      <c r="S404" s="7">
        <f t="shared" si="58"/>
        <v>63702</v>
      </c>
      <c r="T404" s="3" t="str">
        <f t="shared" si="59"/>
        <v>High Profit</v>
      </c>
      <c r="U404" s="3" t="str">
        <f t="shared" si="60"/>
        <v>Low Discount</v>
      </c>
      <c r="V404" s="3" t="str">
        <f t="shared" si="61"/>
        <v>Priority C</v>
      </c>
      <c r="W404">
        <f t="shared" si="62"/>
        <v>43176.700000000004</v>
      </c>
      <c r="X404" t="s">
        <v>23</v>
      </c>
      <c r="Y404" t="s">
        <v>23</v>
      </c>
      <c r="Z404" t="s">
        <v>23</v>
      </c>
      <c r="AA404" t="s">
        <v>23</v>
      </c>
      <c r="AB404" t="s">
        <v>23</v>
      </c>
      <c r="AC404" t="s">
        <v>23</v>
      </c>
      <c r="AD404" t="s">
        <v>23</v>
      </c>
      <c r="AE404" t="s">
        <v>23</v>
      </c>
      <c r="AF404" t="s">
        <v>23</v>
      </c>
      <c r="AG404" t="s">
        <v>23</v>
      </c>
      <c r="AH404" t="s">
        <v>23</v>
      </c>
      <c r="AI404" t="s">
        <v>23</v>
      </c>
      <c r="AJ404" t="s">
        <v>23</v>
      </c>
    </row>
    <row r="405" spans="1:36" x14ac:dyDescent="0.35">
      <c r="A405" s="2">
        <v>1403</v>
      </c>
      <c r="B405" s="4">
        <v>45124</v>
      </c>
      <c r="C405" s="1" t="s">
        <v>24</v>
      </c>
      <c r="D405" s="1" t="s">
        <v>42</v>
      </c>
      <c r="E405">
        <v>97157</v>
      </c>
      <c r="F405">
        <v>8</v>
      </c>
      <c r="G405" s="1" t="s">
        <v>35</v>
      </c>
      <c r="H405">
        <v>28036</v>
      </c>
      <c r="I405">
        <v>35739</v>
      </c>
      <c r="J405" s="1" t="s">
        <v>33</v>
      </c>
      <c r="K405" s="3">
        <v>7</v>
      </c>
      <c r="L405" s="1" t="s">
        <v>36</v>
      </c>
      <c r="M405" s="1" t="s">
        <v>29</v>
      </c>
      <c r="N405" s="3">
        <v>2024010123</v>
      </c>
      <c r="O405" s="3">
        <f t="shared" si="54"/>
        <v>1.23</v>
      </c>
      <c r="P405" s="6">
        <f t="shared" si="55"/>
        <v>119503.11</v>
      </c>
      <c r="Q405" s="3" t="str">
        <f t="shared" si="56"/>
        <v>Excellent</v>
      </c>
      <c r="R405" s="3">
        <f t="shared" si="57"/>
        <v>7703</v>
      </c>
      <c r="S405" s="7">
        <f t="shared" si="58"/>
        <v>61624</v>
      </c>
      <c r="T405" s="3" t="str">
        <f t="shared" si="59"/>
        <v>High Profit</v>
      </c>
      <c r="U405" s="3" t="str">
        <f t="shared" si="60"/>
        <v>Medium Discount</v>
      </c>
      <c r="V405" s="3" t="str">
        <f t="shared" si="61"/>
        <v>Priority D</v>
      </c>
      <c r="W405">
        <f t="shared" si="62"/>
        <v>9715.7000000000007</v>
      </c>
      <c r="X405" t="s">
        <v>23</v>
      </c>
      <c r="Y405" t="s">
        <v>23</v>
      </c>
      <c r="Z405" t="s">
        <v>23</v>
      </c>
      <c r="AA405" t="s">
        <v>23</v>
      </c>
      <c r="AB405" t="s">
        <v>23</v>
      </c>
      <c r="AC405" t="s">
        <v>23</v>
      </c>
      <c r="AD405" t="s">
        <v>23</v>
      </c>
      <c r="AE405" t="s">
        <v>23</v>
      </c>
      <c r="AF405" t="s">
        <v>23</v>
      </c>
      <c r="AG405" t="s">
        <v>23</v>
      </c>
      <c r="AH405" t="s">
        <v>23</v>
      </c>
      <c r="AI405" t="s">
        <v>23</v>
      </c>
      <c r="AJ405" t="s">
        <v>23</v>
      </c>
    </row>
    <row r="406" spans="1:36" x14ac:dyDescent="0.35">
      <c r="A406" s="2">
        <v>1404</v>
      </c>
      <c r="B406" s="4">
        <v>45130</v>
      </c>
      <c r="C406" s="1" t="s">
        <v>34</v>
      </c>
      <c r="D406" s="1" t="s">
        <v>25</v>
      </c>
      <c r="E406">
        <v>403732</v>
      </c>
      <c r="F406">
        <v>17</v>
      </c>
      <c r="G406" s="1" t="s">
        <v>39</v>
      </c>
      <c r="H406">
        <v>41138</v>
      </c>
      <c r="I406">
        <v>47401</v>
      </c>
      <c r="J406" s="1" t="s">
        <v>33</v>
      </c>
      <c r="K406" s="3">
        <v>12</v>
      </c>
      <c r="L406" s="1" t="s">
        <v>28</v>
      </c>
      <c r="M406" s="1" t="s">
        <v>37</v>
      </c>
      <c r="N406" s="3">
        <v>2024010123</v>
      </c>
      <c r="O406" s="3">
        <f t="shared" si="54"/>
        <v>1.23</v>
      </c>
      <c r="P406" s="6">
        <f t="shared" si="55"/>
        <v>496590.36</v>
      </c>
      <c r="Q406" s="3" t="str">
        <f t="shared" si="56"/>
        <v>Excellent</v>
      </c>
      <c r="R406" s="3">
        <f t="shared" si="57"/>
        <v>6263</v>
      </c>
      <c r="S406" s="7">
        <f t="shared" si="58"/>
        <v>106471</v>
      </c>
      <c r="T406" s="3" t="str">
        <f t="shared" si="59"/>
        <v>High Profit</v>
      </c>
      <c r="U406" s="3" t="str">
        <f t="shared" si="60"/>
        <v>Medium Discount</v>
      </c>
      <c r="V406" s="3" t="str">
        <f t="shared" si="61"/>
        <v>Priority C</v>
      </c>
      <c r="W406">
        <f t="shared" si="62"/>
        <v>40373.200000000004</v>
      </c>
      <c r="X406" t="s">
        <v>23</v>
      </c>
      <c r="Y406" t="s">
        <v>23</v>
      </c>
      <c r="Z406" t="s">
        <v>23</v>
      </c>
      <c r="AA406" t="s">
        <v>23</v>
      </c>
      <c r="AB406" t="s">
        <v>23</v>
      </c>
      <c r="AC406" t="s">
        <v>23</v>
      </c>
      <c r="AD406" t="s">
        <v>23</v>
      </c>
      <c r="AE406" t="s">
        <v>23</v>
      </c>
      <c r="AF406" t="s">
        <v>23</v>
      </c>
      <c r="AG406" t="s">
        <v>23</v>
      </c>
      <c r="AH406" t="s">
        <v>23</v>
      </c>
      <c r="AI406" t="s">
        <v>23</v>
      </c>
      <c r="AJ406" t="s">
        <v>23</v>
      </c>
    </row>
    <row r="407" spans="1:36" x14ac:dyDescent="0.35">
      <c r="A407" s="2">
        <v>1405</v>
      </c>
      <c r="B407" s="4">
        <v>44947</v>
      </c>
      <c r="C407" s="1" t="s">
        <v>24</v>
      </c>
      <c r="D407" s="1" t="s">
        <v>42</v>
      </c>
      <c r="E407">
        <v>280609</v>
      </c>
      <c r="F407">
        <v>8</v>
      </c>
      <c r="G407" s="1" t="s">
        <v>39</v>
      </c>
      <c r="H407">
        <v>43616</v>
      </c>
      <c r="I407">
        <v>48628</v>
      </c>
      <c r="J407" s="1" t="s">
        <v>33</v>
      </c>
      <c r="K407" s="3">
        <v>6</v>
      </c>
      <c r="L407" s="1" t="s">
        <v>28</v>
      </c>
      <c r="M407" s="1" t="s">
        <v>29</v>
      </c>
      <c r="N407" s="3">
        <v>2024010123</v>
      </c>
      <c r="O407" s="3">
        <f t="shared" si="54"/>
        <v>1.23</v>
      </c>
      <c r="P407" s="6">
        <f t="shared" si="55"/>
        <v>345149.07</v>
      </c>
      <c r="Q407" s="3" t="str">
        <f t="shared" si="56"/>
        <v>Excellent</v>
      </c>
      <c r="R407" s="3">
        <f t="shared" si="57"/>
        <v>5012</v>
      </c>
      <c r="S407" s="7">
        <f t="shared" si="58"/>
        <v>40096</v>
      </c>
      <c r="T407" s="3" t="str">
        <f t="shared" si="59"/>
        <v>High Profit</v>
      </c>
      <c r="U407" s="3" t="str">
        <f t="shared" si="60"/>
        <v>Medium Discount</v>
      </c>
      <c r="V407" s="3" t="str">
        <f t="shared" si="61"/>
        <v>Priority D</v>
      </c>
      <c r="W407">
        <f t="shared" si="62"/>
        <v>28060.9</v>
      </c>
      <c r="X407" t="s">
        <v>23</v>
      </c>
      <c r="Y407" t="s">
        <v>23</v>
      </c>
      <c r="Z407" t="s">
        <v>23</v>
      </c>
      <c r="AA407" t="s">
        <v>23</v>
      </c>
      <c r="AB407" t="s">
        <v>23</v>
      </c>
      <c r="AC407" t="s">
        <v>23</v>
      </c>
      <c r="AD407" t="s">
        <v>23</v>
      </c>
      <c r="AE407" t="s">
        <v>23</v>
      </c>
      <c r="AF407" t="s">
        <v>23</v>
      </c>
      <c r="AG407" t="s">
        <v>23</v>
      </c>
      <c r="AH407" t="s">
        <v>23</v>
      </c>
      <c r="AI407" t="s">
        <v>23</v>
      </c>
      <c r="AJ407" t="s">
        <v>23</v>
      </c>
    </row>
    <row r="408" spans="1:36" x14ac:dyDescent="0.35">
      <c r="A408" s="2">
        <v>1406</v>
      </c>
      <c r="B408" s="4">
        <v>45133</v>
      </c>
      <c r="C408" s="1" t="s">
        <v>38</v>
      </c>
      <c r="D408" s="1" t="s">
        <v>43</v>
      </c>
      <c r="E408">
        <v>179885</v>
      </c>
      <c r="F408">
        <v>12</v>
      </c>
      <c r="G408" s="1" t="s">
        <v>26</v>
      </c>
      <c r="H408">
        <v>15929</v>
      </c>
      <c r="I408">
        <v>21061</v>
      </c>
      <c r="J408" s="1" t="s">
        <v>33</v>
      </c>
      <c r="K408" s="3">
        <v>21</v>
      </c>
      <c r="L408" s="1" t="s">
        <v>40</v>
      </c>
      <c r="M408" s="1" t="s">
        <v>37</v>
      </c>
      <c r="N408" s="3">
        <v>2024010123</v>
      </c>
      <c r="O408" s="3">
        <f t="shared" si="54"/>
        <v>1.23</v>
      </c>
      <c r="P408" s="6">
        <f t="shared" si="55"/>
        <v>221258.55</v>
      </c>
      <c r="Q408" s="3" t="str">
        <f t="shared" si="56"/>
        <v>Excellent</v>
      </c>
      <c r="R408" s="3">
        <f t="shared" si="57"/>
        <v>5132</v>
      </c>
      <c r="S408" s="7">
        <f t="shared" si="58"/>
        <v>61584</v>
      </c>
      <c r="T408" s="3" t="str">
        <f t="shared" si="59"/>
        <v>High Profit</v>
      </c>
      <c r="U408" s="3" t="str">
        <f t="shared" si="60"/>
        <v>High Discount</v>
      </c>
      <c r="V408" s="3" t="str">
        <f t="shared" si="61"/>
        <v>Priority C</v>
      </c>
      <c r="W408">
        <f t="shared" si="62"/>
        <v>17988.5</v>
      </c>
      <c r="X408" t="s">
        <v>23</v>
      </c>
      <c r="Y408" t="s">
        <v>23</v>
      </c>
      <c r="Z408" t="s">
        <v>23</v>
      </c>
      <c r="AA408" t="s">
        <v>23</v>
      </c>
      <c r="AB408" t="s">
        <v>23</v>
      </c>
      <c r="AC408" t="s">
        <v>23</v>
      </c>
      <c r="AD408" t="s">
        <v>23</v>
      </c>
      <c r="AE408" t="s">
        <v>23</v>
      </c>
      <c r="AF408" t="s">
        <v>23</v>
      </c>
      <c r="AG408" t="s">
        <v>23</v>
      </c>
      <c r="AH408" t="s">
        <v>23</v>
      </c>
      <c r="AI408" t="s">
        <v>23</v>
      </c>
      <c r="AJ408" t="s">
        <v>23</v>
      </c>
    </row>
    <row r="409" spans="1:36" x14ac:dyDescent="0.35">
      <c r="A409" s="2">
        <v>1407</v>
      </c>
      <c r="B409" s="4">
        <v>45169</v>
      </c>
      <c r="C409" s="1" t="s">
        <v>24</v>
      </c>
      <c r="D409" s="1" t="s">
        <v>43</v>
      </c>
      <c r="E409">
        <v>820550</v>
      </c>
      <c r="F409">
        <v>12</v>
      </c>
      <c r="G409" s="1" t="s">
        <v>39</v>
      </c>
      <c r="H409">
        <v>39866</v>
      </c>
      <c r="I409">
        <v>47402</v>
      </c>
      <c r="J409" s="1" t="s">
        <v>27</v>
      </c>
      <c r="K409" s="3">
        <v>18</v>
      </c>
      <c r="L409" s="1" t="s">
        <v>36</v>
      </c>
      <c r="M409" s="1" t="s">
        <v>37</v>
      </c>
      <c r="N409" s="3">
        <v>2024010123</v>
      </c>
      <c r="O409" s="3">
        <f t="shared" si="54"/>
        <v>1.23</v>
      </c>
      <c r="P409" s="6">
        <f t="shared" si="55"/>
        <v>1009276.5</v>
      </c>
      <c r="Q409" s="3" t="str">
        <f t="shared" si="56"/>
        <v>Excellent</v>
      </c>
      <c r="R409" s="3">
        <f t="shared" si="57"/>
        <v>7536</v>
      </c>
      <c r="S409" s="7">
        <f t="shared" si="58"/>
        <v>90432</v>
      </c>
      <c r="T409" s="3" t="str">
        <f t="shared" si="59"/>
        <v>High Profit</v>
      </c>
      <c r="U409" s="3" t="str">
        <f t="shared" si="60"/>
        <v>High Discount</v>
      </c>
      <c r="V409" s="3" t="str">
        <f t="shared" si="61"/>
        <v>Priority C</v>
      </c>
      <c r="W409">
        <f t="shared" si="62"/>
        <v>123082.5</v>
      </c>
      <c r="X409" t="s">
        <v>23</v>
      </c>
      <c r="Y409" t="s">
        <v>23</v>
      </c>
      <c r="Z409" t="s">
        <v>23</v>
      </c>
      <c r="AA409" t="s">
        <v>23</v>
      </c>
      <c r="AB409" t="s">
        <v>23</v>
      </c>
      <c r="AC409" t="s">
        <v>23</v>
      </c>
      <c r="AD409" t="s">
        <v>23</v>
      </c>
      <c r="AE409" t="s">
        <v>23</v>
      </c>
      <c r="AF409" t="s">
        <v>23</v>
      </c>
      <c r="AG409" t="s">
        <v>23</v>
      </c>
      <c r="AH409" t="s">
        <v>23</v>
      </c>
      <c r="AI409" t="s">
        <v>23</v>
      </c>
      <c r="AJ409" t="s">
        <v>23</v>
      </c>
    </row>
    <row r="410" spans="1:36" x14ac:dyDescent="0.35">
      <c r="A410" s="2">
        <v>1408</v>
      </c>
      <c r="B410" s="4">
        <v>45152</v>
      </c>
      <c r="C410" s="1" t="s">
        <v>41</v>
      </c>
      <c r="D410" s="1" t="s">
        <v>42</v>
      </c>
      <c r="E410">
        <v>622007</v>
      </c>
      <c r="F410">
        <v>11</v>
      </c>
      <c r="G410" s="1" t="s">
        <v>32</v>
      </c>
      <c r="H410">
        <v>32467</v>
      </c>
      <c r="I410">
        <v>40408</v>
      </c>
      <c r="J410" s="1" t="s">
        <v>27</v>
      </c>
      <c r="K410" s="3">
        <v>17</v>
      </c>
      <c r="L410" s="1" t="s">
        <v>28</v>
      </c>
      <c r="M410" s="1" t="s">
        <v>37</v>
      </c>
      <c r="N410" s="3">
        <v>2024010123</v>
      </c>
      <c r="O410" s="3">
        <f t="shared" si="54"/>
        <v>1.23</v>
      </c>
      <c r="P410" s="6">
        <f t="shared" si="55"/>
        <v>765068.61</v>
      </c>
      <c r="Q410" s="3" t="str">
        <f t="shared" si="56"/>
        <v>Excellent</v>
      </c>
      <c r="R410" s="3">
        <f t="shared" si="57"/>
        <v>7941</v>
      </c>
      <c r="S410" s="7">
        <f t="shared" si="58"/>
        <v>87351</v>
      </c>
      <c r="T410" s="3" t="str">
        <f t="shared" si="59"/>
        <v>High Profit</v>
      </c>
      <c r="U410" s="3" t="str">
        <f t="shared" si="60"/>
        <v>High Discount</v>
      </c>
      <c r="V410" s="3" t="str">
        <f t="shared" si="61"/>
        <v>Priority C</v>
      </c>
      <c r="W410">
        <f t="shared" si="62"/>
        <v>93301.05</v>
      </c>
      <c r="X410" t="s">
        <v>23</v>
      </c>
      <c r="Y410" t="s">
        <v>23</v>
      </c>
      <c r="Z410" t="s">
        <v>23</v>
      </c>
      <c r="AA410" t="s">
        <v>23</v>
      </c>
      <c r="AB410" t="s">
        <v>23</v>
      </c>
      <c r="AC410" t="s">
        <v>23</v>
      </c>
      <c r="AD410" t="s">
        <v>23</v>
      </c>
      <c r="AE410" t="s">
        <v>23</v>
      </c>
      <c r="AF410" t="s">
        <v>23</v>
      </c>
      <c r="AG410" t="s">
        <v>23</v>
      </c>
      <c r="AH410" t="s">
        <v>23</v>
      </c>
      <c r="AI410" t="s">
        <v>23</v>
      </c>
      <c r="AJ410" t="s">
        <v>23</v>
      </c>
    </row>
    <row r="411" spans="1:36" x14ac:dyDescent="0.35">
      <c r="A411" s="2">
        <v>1409</v>
      </c>
      <c r="B411" s="4">
        <v>45130</v>
      </c>
      <c r="C411" s="1" t="s">
        <v>41</v>
      </c>
      <c r="D411" s="1" t="s">
        <v>25</v>
      </c>
      <c r="E411">
        <v>582519</v>
      </c>
      <c r="F411">
        <v>18</v>
      </c>
      <c r="G411" s="1" t="s">
        <v>39</v>
      </c>
      <c r="H411">
        <v>34056</v>
      </c>
      <c r="I411">
        <v>41342</v>
      </c>
      <c r="J411" s="1" t="s">
        <v>27</v>
      </c>
      <c r="K411" s="3">
        <v>20</v>
      </c>
      <c r="L411" s="1" t="s">
        <v>40</v>
      </c>
      <c r="M411" s="1" t="s">
        <v>37</v>
      </c>
      <c r="N411" s="3">
        <v>2024010123</v>
      </c>
      <c r="O411" s="3">
        <f t="shared" si="54"/>
        <v>1.23</v>
      </c>
      <c r="P411" s="6">
        <f t="shared" si="55"/>
        <v>716498.37</v>
      </c>
      <c r="Q411" s="3" t="str">
        <f t="shared" si="56"/>
        <v>Excellent</v>
      </c>
      <c r="R411" s="3">
        <f t="shared" si="57"/>
        <v>7286</v>
      </c>
      <c r="S411" s="7">
        <f t="shared" si="58"/>
        <v>131148</v>
      </c>
      <c r="T411" s="3" t="str">
        <f t="shared" si="59"/>
        <v>High Profit</v>
      </c>
      <c r="U411" s="3" t="str">
        <f t="shared" si="60"/>
        <v>High Discount</v>
      </c>
      <c r="V411" s="3" t="str">
        <f t="shared" si="61"/>
        <v>Priority C</v>
      </c>
      <c r="W411">
        <f t="shared" si="62"/>
        <v>87377.849999999991</v>
      </c>
      <c r="X411" t="s">
        <v>23</v>
      </c>
      <c r="Y411" t="s">
        <v>23</v>
      </c>
      <c r="Z411" t="s">
        <v>23</v>
      </c>
      <c r="AA411" t="s">
        <v>23</v>
      </c>
      <c r="AB411" t="s">
        <v>23</v>
      </c>
      <c r="AC411" t="s">
        <v>23</v>
      </c>
      <c r="AD411" t="s">
        <v>23</v>
      </c>
      <c r="AE411" t="s">
        <v>23</v>
      </c>
      <c r="AF411" t="s">
        <v>23</v>
      </c>
      <c r="AG411" t="s">
        <v>23</v>
      </c>
      <c r="AH411" t="s">
        <v>23</v>
      </c>
      <c r="AI411" t="s">
        <v>23</v>
      </c>
      <c r="AJ411" t="s">
        <v>23</v>
      </c>
    </row>
    <row r="412" spans="1:36" x14ac:dyDescent="0.35">
      <c r="A412" s="2">
        <v>1410</v>
      </c>
      <c r="B412" s="4">
        <v>45284</v>
      </c>
      <c r="C412" s="1" t="s">
        <v>41</v>
      </c>
      <c r="D412" s="1" t="s">
        <v>25</v>
      </c>
      <c r="E412">
        <v>380489</v>
      </c>
      <c r="F412">
        <v>12</v>
      </c>
      <c r="G412" s="1" t="s">
        <v>32</v>
      </c>
      <c r="H412">
        <v>31252</v>
      </c>
      <c r="I412">
        <v>32959</v>
      </c>
      <c r="J412" s="1" t="s">
        <v>27</v>
      </c>
      <c r="K412" s="3">
        <v>0</v>
      </c>
      <c r="L412" s="1" t="s">
        <v>28</v>
      </c>
      <c r="M412" s="1" t="s">
        <v>29</v>
      </c>
      <c r="N412" s="3">
        <v>2024010123</v>
      </c>
      <c r="O412" s="3">
        <f t="shared" si="54"/>
        <v>1.23</v>
      </c>
      <c r="P412" s="6">
        <f t="shared" si="55"/>
        <v>468001.47</v>
      </c>
      <c r="Q412" s="3" t="str">
        <f t="shared" si="56"/>
        <v>Excellent</v>
      </c>
      <c r="R412" s="3">
        <f t="shared" si="57"/>
        <v>1707</v>
      </c>
      <c r="S412" s="7">
        <f t="shared" si="58"/>
        <v>20484</v>
      </c>
      <c r="T412" s="3" t="str">
        <f t="shared" si="59"/>
        <v>High Profit</v>
      </c>
      <c r="U412" s="3" t="str">
        <f t="shared" si="60"/>
        <v>No Discount</v>
      </c>
      <c r="V412" s="3" t="str">
        <f t="shared" si="61"/>
        <v>Priority D</v>
      </c>
      <c r="W412">
        <f t="shared" si="62"/>
        <v>57073.35</v>
      </c>
      <c r="X412" t="s">
        <v>23</v>
      </c>
      <c r="Y412" t="s">
        <v>23</v>
      </c>
      <c r="Z412" t="s">
        <v>23</v>
      </c>
      <c r="AA412" t="s">
        <v>23</v>
      </c>
      <c r="AB412" t="s">
        <v>23</v>
      </c>
      <c r="AC412" t="s">
        <v>23</v>
      </c>
      <c r="AD412" t="s">
        <v>23</v>
      </c>
      <c r="AE412" t="s">
        <v>23</v>
      </c>
      <c r="AF412" t="s">
        <v>23</v>
      </c>
      <c r="AG412" t="s">
        <v>23</v>
      </c>
      <c r="AH412" t="s">
        <v>23</v>
      </c>
      <c r="AI412" t="s">
        <v>23</v>
      </c>
      <c r="AJ412" t="s">
        <v>23</v>
      </c>
    </row>
    <row r="413" spans="1:36" x14ac:dyDescent="0.35">
      <c r="A413" s="2">
        <v>1411</v>
      </c>
      <c r="B413" s="4">
        <v>44978</v>
      </c>
      <c r="C413" s="1" t="s">
        <v>24</v>
      </c>
      <c r="D413" s="1" t="s">
        <v>43</v>
      </c>
      <c r="E413">
        <v>320152</v>
      </c>
      <c r="F413">
        <v>12</v>
      </c>
      <c r="G413" s="1" t="s">
        <v>39</v>
      </c>
      <c r="H413">
        <v>49156</v>
      </c>
      <c r="I413">
        <v>53477</v>
      </c>
      <c r="J413" s="1" t="s">
        <v>27</v>
      </c>
      <c r="K413" s="3">
        <v>3</v>
      </c>
      <c r="L413" s="1" t="s">
        <v>40</v>
      </c>
      <c r="M413" s="1" t="s">
        <v>29</v>
      </c>
      <c r="N413" s="3">
        <v>2024010123</v>
      </c>
      <c r="O413" s="3">
        <f t="shared" si="54"/>
        <v>1.23</v>
      </c>
      <c r="P413" s="6">
        <f t="shared" si="55"/>
        <v>393786.96</v>
      </c>
      <c r="Q413" s="3" t="str">
        <f t="shared" si="56"/>
        <v>Excellent</v>
      </c>
      <c r="R413" s="3">
        <f t="shared" si="57"/>
        <v>4321</v>
      </c>
      <c r="S413" s="7">
        <f t="shared" si="58"/>
        <v>51852</v>
      </c>
      <c r="T413" s="3" t="str">
        <f t="shared" si="59"/>
        <v>High Profit</v>
      </c>
      <c r="U413" s="3" t="str">
        <f t="shared" si="60"/>
        <v>Low Discount</v>
      </c>
      <c r="V413" s="3" t="str">
        <f t="shared" si="61"/>
        <v>Priority D</v>
      </c>
      <c r="W413">
        <f t="shared" si="62"/>
        <v>48022.799999999996</v>
      </c>
      <c r="X413" t="s">
        <v>23</v>
      </c>
      <c r="Y413" t="s">
        <v>23</v>
      </c>
      <c r="Z413" t="s">
        <v>23</v>
      </c>
      <c r="AA413" t="s">
        <v>23</v>
      </c>
      <c r="AB413" t="s">
        <v>23</v>
      </c>
      <c r="AC413" t="s">
        <v>23</v>
      </c>
      <c r="AD413" t="s">
        <v>23</v>
      </c>
      <c r="AE413" t="s">
        <v>23</v>
      </c>
      <c r="AF413" t="s">
        <v>23</v>
      </c>
      <c r="AG413" t="s">
        <v>23</v>
      </c>
      <c r="AH413" t="s">
        <v>23</v>
      </c>
      <c r="AI413" t="s">
        <v>23</v>
      </c>
      <c r="AJ413" t="s">
        <v>23</v>
      </c>
    </row>
    <row r="414" spans="1:36" x14ac:dyDescent="0.35">
      <c r="A414" s="2">
        <v>1412</v>
      </c>
      <c r="B414" s="4">
        <v>45089</v>
      </c>
      <c r="C414" s="1" t="s">
        <v>38</v>
      </c>
      <c r="D414" s="1" t="s">
        <v>42</v>
      </c>
      <c r="E414">
        <v>989309</v>
      </c>
      <c r="F414">
        <v>12</v>
      </c>
      <c r="G414" s="1" t="s">
        <v>26</v>
      </c>
      <c r="H414">
        <v>39193</v>
      </c>
      <c r="I414">
        <v>41670</v>
      </c>
      <c r="J414" s="1" t="s">
        <v>27</v>
      </c>
      <c r="K414" s="3">
        <v>3</v>
      </c>
      <c r="L414" s="1" t="s">
        <v>36</v>
      </c>
      <c r="M414" s="1" t="s">
        <v>29</v>
      </c>
      <c r="N414" s="3">
        <v>2024010123</v>
      </c>
      <c r="O414" s="3">
        <f t="shared" si="54"/>
        <v>1.23</v>
      </c>
      <c r="P414" s="6">
        <f t="shared" si="55"/>
        <v>1216850.07</v>
      </c>
      <c r="Q414" s="3" t="str">
        <f t="shared" si="56"/>
        <v>Excellent</v>
      </c>
      <c r="R414" s="3">
        <f t="shared" si="57"/>
        <v>2477</v>
      </c>
      <c r="S414" s="7">
        <f t="shared" si="58"/>
        <v>29724</v>
      </c>
      <c r="T414" s="3" t="str">
        <f t="shared" si="59"/>
        <v>High Profit</v>
      </c>
      <c r="U414" s="3" t="str">
        <f t="shared" si="60"/>
        <v>Low Discount</v>
      </c>
      <c r="V414" s="3" t="str">
        <f t="shared" si="61"/>
        <v>Priority D</v>
      </c>
      <c r="W414">
        <f t="shared" si="62"/>
        <v>148396.35</v>
      </c>
      <c r="X414" t="s">
        <v>23</v>
      </c>
      <c r="Y414" t="s">
        <v>23</v>
      </c>
      <c r="Z414" t="s">
        <v>23</v>
      </c>
      <c r="AA414" t="s">
        <v>23</v>
      </c>
      <c r="AB414" t="s">
        <v>23</v>
      </c>
      <c r="AC414" t="s">
        <v>23</v>
      </c>
      <c r="AD414" t="s">
        <v>23</v>
      </c>
      <c r="AE414" t="s">
        <v>23</v>
      </c>
      <c r="AF414" t="s">
        <v>23</v>
      </c>
      <c r="AG414" t="s">
        <v>23</v>
      </c>
      <c r="AH414" t="s">
        <v>23</v>
      </c>
      <c r="AI414" t="s">
        <v>23</v>
      </c>
      <c r="AJ414" t="s">
        <v>23</v>
      </c>
    </row>
    <row r="415" spans="1:36" x14ac:dyDescent="0.35">
      <c r="A415" s="2">
        <v>1413</v>
      </c>
      <c r="B415" s="4">
        <v>44952</v>
      </c>
      <c r="C415" s="1" t="s">
        <v>41</v>
      </c>
      <c r="D415" s="1" t="s">
        <v>25</v>
      </c>
      <c r="E415">
        <v>657813</v>
      </c>
      <c r="F415">
        <v>11</v>
      </c>
      <c r="G415" s="1" t="s">
        <v>26</v>
      </c>
      <c r="H415">
        <v>56444</v>
      </c>
      <c r="I415">
        <v>60792</v>
      </c>
      <c r="J415" s="1" t="s">
        <v>33</v>
      </c>
      <c r="K415" s="3">
        <v>5</v>
      </c>
      <c r="L415" s="1" t="s">
        <v>36</v>
      </c>
      <c r="M415" s="1" t="s">
        <v>37</v>
      </c>
      <c r="N415" s="3">
        <v>2024010123</v>
      </c>
      <c r="O415" s="3">
        <f t="shared" si="54"/>
        <v>1.23</v>
      </c>
      <c r="P415" s="6">
        <f t="shared" si="55"/>
        <v>809109.99</v>
      </c>
      <c r="Q415" s="3" t="str">
        <f t="shared" si="56"/>
        <v>Excellent</v>
      </c>
      <c r="R415" s="3">
        <f t="shared" si="57"/>
        <v>4348</v>
      </c>
      <c r="S415" s="7">
        <f t="shared" si="58"/>
        <v>47828</v>
      </c>
      <c r="T415" s="3" t="str">
        <f t="shared" si="59"/>
        <v>High Profit</v>
      </c>
      <c r="U415" s="3" t="str">
        <f t="shared" si="60"/>
        <v>Medium Discount</v>
      </c>
      <c r="V415" s="3" t="str">
        <f t="shared" si="61"/>
        <v>Priority C</v>
      </c>
      <c r="W415">
        <f t="shared" si="62"/>
        <v>65781.3</v>
      </c>
      <c r="X415" t="s">
        <v>23</v>
      </c>
      <c r="Y415" t="s">
        <v>23</v>
      </c>
      <c r="Z415" t="s">
        <v>23</v>
      </c>
      <c r="AA415" t="s">
        <v>23</v>
      </c>
      <c r="AB415" t="s">
        <v>23</v>
      </c>
      <c r="AC415" t="s">
        <v>23</v>
      </c>
      <c r="AD415" t="s">
        <v>23</v>
      </c>
      <c r="AE415" t="s">
        <v>23</v>
      </c>
      <c r="AF415" t="s">
        <v>23</v>
      </c>
      <c r="AG415" t="s">
        <v>23</v>
      </c>
      <c r="AH415" t="s">
        <v>23</v>
      </c>
      <c r="AI415" t="s">
        <v>23</v>
      </c>
      <c r="AJ415" t="s">
        <v>23</v>
      </c>
    </row>
    <row r="416" spans="1:36" x14ac:dyDescent="0.35">
      <c r="A416" s="2">
        <v>1414</v>
      </c>
      <c r="B416" s="4">
        <v>45060</v>
      </c>
      <c r="C416" s="1" t="s">
        <v>38</v>
      </c>
      <c r="D416" s="1" t="s">
        <v>25</v>
      </c>
      <c r="E416">
        <v>447576</v>
      </c>
      <c r="F416">
        <v>12</v>
      </c>
      <c r="G416" s="1" t="s">
        <v>39</v>
      </c>
      <c r="H416">
        <v>26772</v>
      </c>
      <c r="I416">
        <v>29330</v>
      </c>
      <c r="J416" s="1" t="s">
        <v>27</v>
      </c>
      <c r="K416" s="3">
        <v>5</v>
      </c>
      <c r="L416" s="1" t="s">
        <v>40</v>
      </c>
      <c r="M416" s="1" t="s">
        <v>29</v>
      </c>
      <c r="N416" s="3">
        <v>2024010123</v>
      </c>
      <c r="O416" s="3">
        <f t="shared" si="54"/>
        <v>1.23</v>
      </c>
      <c r="P416" s="6">
        <f t="shared" si="55"/>
        <v>550518.48</v>
      </c>
      <c r="Q416" s="3" t="str">
        <f t="shared" si="56"/>
        <v>Excellent</v>
      </c>
      <c r="R416" s="3">
        <f t="shared" si="57"/>
        <v>2558</v>
      </c>
      <c r="S416" s="7">
        <f t="shared" si="58"/>
        <v>30696</v>
      </c>
      <c r="T416" s="3" t="str">
        <f t="shared" si="59"/>
        <v>High Profit</v>
      </c>
      <c r="U416" s="3" t="str">
        <f t="shared" si="60"/>
        <v>Medium Discount</v>
      </c>
      <c r="V416" s="3" t="str">
        <f t="shared" si="61"/>
        <v>Priority D</v>
      </c>
      <c r="W416">
        <f t="shared" si="62"/>
        <v>67136.399999999994</v>
      </c>
      <c r="X416" t="s">
        <v>23</v>
      </c>
      <c r="Y416" t="s">
        <v>23</v>
      </c>
      <c r="Z416" t="s">
        <v>23</v>
      </c>
      <c r="AA416" t="s">
        <v>23</v>
      </c>
      <c r="AB416" t="s">
        <v>23</v>
      </c>
      <c r="AC416" t="s">
        <v>23</v>
      </c>
      <c r="AD416" t="s">
        <v>23</v>
      </c>
      <c r="AE416" t="s">
        <v>23</v>
      </c>
      <c r="AF416" t="s">
        <v>23</v>
      </c>
      <c r="AG416" t="s">
        <v>23</v>
      </c>
      <c r="AH416" t="s">
        <v>23</v>
      </c>
      <c r="AI416" t="s">
        <v>23</v>
      </c>
      <c r="AJ416" t="s">
        <v>23</v>
      </c>
    </row>
    <row r="417" spans="1:36" x14ac:dyDescent="0.35">
      <c r="A417" s="2">
        <v>1415</v>
      </c>
      <c r="B417" s="4">
        <v>45051</v>
      </c>
      <c r="C417" s="1" t="s">
        <v>41</v>
      </c>
      <c r="D417" s="1" t="s">
        <v>43</v>
      </c>
      <c r="E417">
        <v>817817</v>
      </c>
      <c r="F417">
        <v>12</v>
      </c>
      <c r="G417" s="1" t="s">
        <v>32</v>
      </c>
      <c r="H417">
        <v>26401</v>
      </c>
      <c r="I417">
        <v>30208</v>
      </c>
      <c r="J417" s="1" t="s">
        <v>27</v>
      </c>
      <c r="K417" s="3">
        <v>7</v>
      </c>
      <c r="L417" s="1" t="s">
        <v>40</v>
      </c>
      <c r="M417" s="1" t="s">
        <v>37</v>
      </c>
      <c r="N417" s="3">
        <v>2024010123</v>
      </c>
      <c r="O417" s="3">
        <f t="shared" si="54"/>
        <v>1.23</v>
      </c>
      <c r="P417" s="6">
        <f t="shared" si="55"/>
        <v>1005914.91</v>
      </c>
      <c r="Q417" s="3" t="str">
        <f t="shared" si="56"/>
        <v>Excellent</v>
      </c>
      <c r="R417" s="3">
        <f t="shared" si="57"/>
        <v>3807</v>
      </c>
      <c r="S417" s="7">
        <f t="shared" si="58"/>
        <v>45684</v>
      </c>
      <c r="T417" s="3" t="str">
        <f t="shared" si="59"/>
        <v>High Profit</v>
      </c>
      <c r="U417" s="3" t="str">
        <f t="shared" si="60"/>
        <v>Medium Discount</v>
      </c>
      <c r="V417" s="3" t="str">
        <f t="shared" si="61"/>
        <v>Priority C</v>
      </c>
      <c r="W417">
        <f t="shared" si="62"/>
        <v>122672.54999999999</v>
      </c>
      <c r="X417" t="s">
        <v>23</v>
      </c>
      <c r="Y417" t="s">
        <v>23</v>
      </c>
      <c r="Z417" t="s">
        <v>23</v>
      </c>
      <c r="AA417" t="s">
        <v>23</v>
      </c>
      <c r="AB417" t="s">
        <v>23</v>
      </c>
      <c r="AC417" t="s">
        <v>23</v>
      </c>
      <c r="AD417" t="s">
        <v>23</v>
      </c>
      <c r="AE417" t="s">
        <v>23</v>
      </c>
      <c r="AF417" t="s">
        <v>23</v>
      </c>
      <c r="AG417" t="s">
        <v>23</v>
      </c>
      <c r="AH417" t="s">
        <v>23</v>
      </c>
      <c r="AI417" t="s">
        <v>23</v>
      </c>
      <c r="AJ417" t="s">
        <v>23</v>
      </c>
    </row>
    <row r="418" spans="1:36" x14ac:dyDescent="0.35">
      <c r="A418" s="2">
        <v>1416</v>
      </c>
      <c r="B418" s="4">
        <v>45194</v>
      </c>
      <c r="C418" s="1" t="s">
        <v>24</v>
      </c>
      <c r="D418" s="1" t="s">
        <v>43</v>
      </c>
      <c r="E418">
        <v>473171</v>
      </c>
      <c r="F418">
        <v>12</v>
      </c>
      <c r="G418" s="1" t="s">
        <v>26</v>
      </c>
      <c r="H418">
        <v>39857</v>
      </c>
      <c r="I418">
        <v>42601</v>
      </c>
      <c r="J418" s="1" t="s">
        <v>33</v>
      </c>
      <c r="K418" s="3">
        <v>29</v>
      </c>
      <c r="L418" s="1" t="s">
        <v>36</v>
      </c>
      <c r="M418" s="1" t="s">
        <v>29</v>
      </c>
      <c r="N418" s="3">
        <v>2024010123</v>
      </c>
      <c r="O418" s="3">
        <f t="shared" si="54"/>
        <v>1.23</v>
      </c>
      <c r="P418" s="6">
        <f t="shared" si="55"/>
        <v>582000.32999999996</v>
      </c>
      <c r="Q418" s="3" t="str">
        <f t="shared" si="56"/>
        <v>Excellent</v>
      </c>
      <c r="R418" s="3">
        <f t="shared" si="57"/>
        <v>2744</v>
      </c>
      <c r="S418" s="7">
        <f t="shared" si="58"/>
        <v>32928</v>
      </c>
      <c r="T418" s="3" t="str">
        <f t="shared" si="59"/>
        <v>High Profit</v>
      </c>
      <c r="U418" s="3" t="str">
        <f t="shared" si="60"/>
        <v>High Discount</v>
      </c>
      <c r="V418" s="3" t="str">
        <f t="shared" si="61"/>
        <v>Priority D</v>
      </c>
      <c r="W418">
        <f t="shared" si="62"/>
        <v>47317.100000000006</v>
      </c>
      <c r="X418" t="s">
        <v>23</v>
      </c>
      <c r="Y418" t="s">
        <v>23</v>
      </c>
      <c r="Z418" t="s">
        <v>23</v>
      </c>
      <c r="AA418" t="s">
        <v>23</v>
      </c>
      <c r="AB418" t="s">
        <v>23</v>
      </c>
      <c r="AC418" t="s">
        <v>23</v>
      </c>
      <c r="AD418" t="s">
        <v>23</v>
      </c>
      <c r="AE418" t="s">
        <v>23</v>
      </c>
      <c r="AF418" t="s">
        <v>23</v>
      </c>
      <c r="AG418" t="s">
        <v>23</v>
      </c>
      <c r="AH418" t="s">
        <v>23</v>
      </c>
      <c r="AI418" t="s">
        <v>23</v>
      </c>
      <c r="AJ418" t="s">
        <v>23</v>
      </c>
    </row>
    <row r="419" spans="1:36" x14ac:dyDescent="0.35">
      <c r="A419" s="2">
        <v>1417</v>
      </c>
      <c r="B419" s="4">
        <v>44939</v>
      </c>
      <c r="C419" s="1" t="s">
        <v>38</v>
      </c>
      <c r="D419" s="1" t="s">
        <v>25</v>
      </c>
      <c r="E419">
        <v>543372</v>
      </c>
      <c r="F419">
        <v>8</v>
      </c>
      <c r="G419" s="1" t="s">
        <v>35</v>
      </c>
      <c r="H419">
        <v>40522</v>
      </c>
      <c r="I419">
        <v>44653</v>
      </c>
      <c r="J419" s="1" t="s">
        <v>27</v>
      </c>
      <c r="K419" s="3">
        <v>16</v>
      </c>
      <c r="L419" s="1" t="s">
        <v>28</v>
      </c>
      <c r="M419" s="1" t="s">
        <v>37</v>
      </c>
      <c r="N419" s="3">
        <v>2024010123</v>
      </c>
      <c r="O419" s="3">
        <f t="shared" si="54"/>
        <v>1.23</v>
      </c>
      <c r="P419" s="6">
        <f t="shared" si="55"/>
        <v>668347.55999999994</v>
      </c>
      <c r="Q419" s="3" t="str">
        <f t="shared" si="56"/>
        <v>Excellent</v>
      </c>
      <c r="R419" s="3">
        <f t="shared" si="57"/>
        <v>4131</v>
      </c>
      <c r="S419" s="7">
        <f t="shared" si="58"/>
        <v>33048</v>
      </c>
      <c r="T419" s="3" t="str">
        <f t="shared" si="59"/>
        <v>High Profit</v>
      </c>
      <c r="U419" s="3" t="str">
        <f t="shared" si="60"/>
        <v>High Discount</v>
      </c>
      <c r="V419" s="3" t="str">
        <f t="shared" si="61"/>
        <v>Priority C</v>
      </c>
      <c r="W419">
        <f t="shared" si="62"/>
        <v>81505.8</v>
      </c>
      <c r="X419" t="s">
        <v>23</v>
      </c>
      <c r="Y419" t="s">
        <v>23</v>
      </c>
      <c r="Z419" t="s">
        <v>23</v>
      </c>
      <c r="AA419" t="s">
        <v>23</v>
      </c>
      <c r="AB419" t="s">
        <v>23</v>
      </c>
      <c r="AC419" t="s">
        <v>23</v>
      </c>
      <c r="AD419" t="s">
        <v>23</v>
      </c>
      <c r="AE419" t="s">
        <v>23</v>
      </c>
      <c r="AF419" t="s">
        <v>23</v>
      </c>
      <c r="AG419" t="s">
        <v>23</v>
      </c>
      <c r="AH419" t="s">
        <v>23</v>
      </c>
      <c r="AI419" t="s">
        <v>23</v>
      </c>
      <c r="AJ419" t="s">
        <v>23</v>
      </c>
    </row>
    <row r="420" spans="1:36" x14ac:dyDescent="0.35">
      <c r="A420" s="2">
        <v>1418</v>
      </c>
      <c r="B420" s="4">
        <v>45171</v>
      </c>
      <c r="C420" s="1" t="s">
        <v>30</v>
      </c>
      <c r="D420" s="1" t="s">
        <v>25</v>
      </c>
      <c r="E420">
        <v>536460</v>
      </c>
      <c r="F420">
        <v>12</v>
      </c>
      <c r="G420" s="1" t="s">
        <v>26</v>
      </c>
      <c r="H420">
        <v>39681</v>
      </c>
      <c r="I420">
        <v>42141</v>
      </c>
      <c r="J420" s="1" t="s">
        <v>27</v>
      </c>
      <c r="K420" s="3">
        <v>16</v>
      </c>
      <c r="L420" s="1" t="s">
        <v>36</v>
      </c>
      <c r="M420" s="1" t="s">
        <v>37</v>
      </c>
      <c r="N420" s="3">
        <v>2024010123</v>
      </c>
      <c r="O420" s="3">
        <f t="shared" si="54"/>
        <v>1.23</v>
      </c>
      <c r="P420" s="6">
        <f t="shared" si="55"/>
        <v>659845.80000000005</v>
      </c>
      <c r="Q420" s="3" t="str">
        <f t="shared" si="56"/>
        <v>Excellent</v>
      </c>
      <c r="R420" s="3">
        <f t="shared" si="57"/>
        <v>2460</v>
      </c>
      <c r="S420" s="7">
        <f t="shared" si="58"/>
        <v>29520</v>
      </c>
      <c r="T420" s="3" t="str">
        <f t="shared" si="59"/>
        <v>High Profit</v>
      </c>
      <c r="U420" s="3" t="str">
        <f t="shared" si="60"/>
        <v>High Discount</v>
      </c>
      <c r="V420" s="3" t="str">
        <f t="shared" si="61"/>
        <v>Priority C</v>
      </c>
      <c r="W420">
        <f t="shared" si="62"/>
        <v>80469</v>
      </c>
      <c r="X420" t="s">
        <v>23</v>
      </c>
      <c r="Y420" t="s">
        <v>23</v>
      </c>
      <c r="Z420" t="s">
        <v>23</v>
      </c>
      <c r="AA420" t="s">
        <v>23</v>
      </c>
      <c r="AB420" t="s">
        <v>23</v>
      </c>
      <c r="AC420" t="s">
        <v>23</v>
      </c>
      <c r="AD420" t="s">
        <v>23</v>
      </c>
      <c r="AE420" t="s">
        <v>23</v>
      </c>
      <c r="AF420" t="s">
        <v>23</v>
      </c>
      <c r="AG420" t="s">
        <v>23</v>
      </c>
      <c r="AH420" t="s">
        <v>23</v>
      </c>
      <c r="AI420" t="s">
        <v>23</v>
      </c>
      <c r="AJ420" t="s">
        <v>23</v>
      </c>
    </row>
    <row r="421" spans="1:36" x14ac:dyDescent="0.35">
      <c r="A421" s="2">
        <v>1419</v>
      </c>
      <c r="B421" s="4">
        <v>45023</v>
      </c>
      <c r="C421" s="1" t="s">
        <v>34</v>
      </c>
      <c r="D421" s="1" t="s">
        <v>43</v>
      </c>
      <c r="E421">
        <v>518270</v>
      </c>
      <c r="F421">
        <v>12</v>
      </c>
      <c r="G421" s="1" t="s">
        <v>39</v>
      </c>
      <c r="H421">
        <v>43276</v>
      </c>
      <c r="I421">
        <v>47831</v>
      </c>
      <c r="J421" s="1" t="s">
        <v>27</v>
      </c>
      <c r="K421" s="3">
        <v>15</v>
      </c>
      <c r="L421" s="1" t="s">
        <v>36</v>
      </c>
      <c r="M421" s="1" t="s">
        <v>29</v>
      </c>
      <c r="N421" s="3">
        <v>2024010123</v>
      </c>
      <c r="O421" s="3">
        <f t="shared" si="54"/>
        <v>1.23</v>
      </c>
      <c r="P421" s="6">
        <f t="shared" si="55"/>
        <v>637472.1</v>
      </c>
      <c r="Q421" s="3" t="str">
        <f t="shared" si="56"/>
        <v>Excellent</v>
      </c>
      <c r="R421" s="3">
        <f t="shared" si="57"/>
        <v>4555</v>
      </c>
      <c r="S421" s="7">
        <f t="shared" si="58"/>
        <v>54660</v>
      </c>
      <c r="T421" s="3" t="str">
        <f t="shared" si="59"/>
        <v>High Profit</v>
      </c>
      <c r="U421" s="3" t="str">
        <f t="shared" si="60"/>
        <v>High Discount</v>
      </c>
      <c r="V421" s="3" t="str">
        <f t="shared" si="61"/>
        <v>Priority D</v>
      </c>
      <c r="W421">
        <f t="shared" si="62"/>
        <v>77740.5</v>
      </c>
      <c r="X421" t="s">
        <v>23</v>
      </c>
      <c r="Y421" t="s">
        <v>23</v>
      </c>
      <c r="Z421" t="s">
        <v>23</v>
      </c>
      <c r="AA421" t="s">
        <v>23</v>
      </c>
      <c r="AB421" t="s">
        <v>23</v>
      </c>
      <c r="AC421" t="s">
        <v>23</v>
      </c>
      <c r="AD421" t="s">
        <v>23</v>
      </c>
      <c r="AE421" t="s">
        <v>23</v>
      </c>
      <c r="AF421" t="s">
        <v>23</v>
      </c>
      <c r="AG421" t="s">
        <v>23</v>
      </c>
      <c r="AH421" t="s">
        <v>23</v>
      </c>
      <c r="AI421" t="s">
        <v>23</v>
      </c>
      <c r="AJ421" t="s">
        <v>23</v>
      </c>
    </row>
    <row r="422" spans="1:36" x14ac:dyDescent="0.35">
      <c r="A422" s="2">
        <v>1420</v>
      </c>
      <c r="B422" s="4">
        <v>45143</v>
      </c>
      <c r="C422" s="1" t="s">
        <v>34</v>
      </c>
      <c r="D422" s="1" t="s">
        <v>42</v>
      </c>
      <c r="E422">
        <v>602888</v>
      </c>
      <c r="F422">
        <v>12</v>
      </c>
      <c r="G422" s="1" t="s">
        <v>35</v>
      </c>
      <c r="H422">
        <v>26191</v>
      </c>
      <c r="I422">
        <v>33889</v>
      </c>
      <c r="J422" s="1" t="s">
        <v>33</v>
      </c>
      <c r="K422" s="3">
        <v>0</v>
      </c>
      <c r="L422" s="1" t="s">
        <v>28</v>
      </c>
      <c r="M422" s="1" t="s">
        <v>37</v>
      </c>
      <c r="N422" s="3">
        <v>2024010123</v>
      </c>
      <c r="O422" s="3">
        <f t="shared" si="54"/>
        <v>1.23</v>
      </c>
      <c r="P422" s="6">
        <f t="shared" si="55"/>
        <v>741552.24</v>
      </c>
      <c r="Q422" s="3" t="str">
        <f t="shared" si="56"/>
        <v>Excellent</v>
      </c>
      <c r="R422" s="3">
        <f t="shared" si="57"/>
        <v>7698</v>
      </c>
      <c r="S422" s="7">
        <f t="shared" si="58"/>
        <v>92376</v>
      </c>
      <c r="T422" s="3" t="str">
        <f t="shared" si="59"/>
        <v>High Profit</v>
      </c>
      <c r="U422" s="3" t="str">
        <f t="shared" si="60"/>
        <v>No Discount</v>
      </c>
      <c r="V422" s="3" t="str">
        <f t="shared" si="61"/>
        <v>Priority C</v>
      </c>
      <c r="W422">
        <f t="shared" si="62"/>
        <v>60288.800000000003</v>
      </c>
      <c r="X422" t="s">
        <v>23</v>
      </c>
      <c r="Y422" t="s">
        <v>23</v>
      </c>
      <c r="Z422" t="s">
        <v>23</v>
      </c>
      <c r="AA422" t="s">
        <v>23</v>
      </c>
      <c r="AB422" t="s">
        <v>23</v>
      </c>
      <c r="AC422" t="s">
        <v>23</v>
      </c>
      <c r="AD422" t="s">
        <v>23</v>
      </c>
      <c r="AE422" t="s">
        <v>23</v>
      </c>
      <c r="AF422" t="s">
        <v>23</v>
      </c>
      <c r="AG422" t="s">
        <v>23</v>
      </c>
      <c r="AH422" t="s">
        <v>23</v>
      </c>
      <c r="AI422" t="s">
        <v>23</v>
      </c>
      <c r="AJ422" t="s">
        <v>23</v>
      </c>
    </row>
    <row r="423" spans="1:36" x14ac:dyDescent="0.35">
      <c r="A423" s="2">
        <v>1421</v>
      </c>
      <c r="B423" s="4">
        <v>45119</v>
      </c>
      <c r="C423" s="1" t="s">
        <v>24</v>
      </c>
      <c r="D423" s="1" t="s">
        <v>42</v>
      </c>
      <c r="E423">
        <v>408195</v>
      </c>
      <c r="F423">
        <v>50</v>
      </c>
      <c r="G423" s="1" t="s">
        <v>35</v>
      </c>
      <c r="H423">
        <v>24728</v>
      </c>
      <c r="I423">
        <v>35211</v>
      </c>
      <c r="J423" s="1" t="s">
        <v>33</v>
      </c>
      <c r="K423" s="3">
        <v>2</v>
      </c>
      <c r="L423" s="1" t="s">
        <v>40</v>
      </c>
      <c r="M423" s="1" t="s">
        <v>37</v>
      </c>
      <c r="N423" s="3">
        <v>2024010123</v>
      </c>
      <c r="O423" s="3">
        <f t="shared" si="54"/>
        <v>1.23</v>
      </c>
      <c r="P423" s="6">
        <f t="shared" si="55"/>
        <v>502079.85</v>
      </c>
      <c r="Q423" s="3" t="str">
        <f t="shared" si="56"/>
        <v>Excellent</v>
      </c>
      <c r="R423" s="3">
        <f t="shared" si="57"/>
        <v>10483</v>
      </c>
      <c r="S423" s="7">
        <f t="shared" si="58"/>
        <v>524150</v>
      </c>
      <c r="T423" s="3" t="str">
        <f t="shared" si="59"/>
        <v>High Profit</v>
      </c>
      <c r="U423" s="3" t="str">
        <f t="shared" si="60"/>
        <v>Low Discount</v>
      </c>
      <c r="V423" s="3" t="str">
        <f t="shared" si="61"/>
        <v>Priority C</v>
      </c>
      <c r="W423">
        <f t="shared" si="62"/>
        <v>40819.5</v>
      </c>
      <c r="X423" t="s">
        <v>23</v>
      </c>
      <c r="Y423" t="s">
        <v>23</v>
      </c>
      <c r="Z423" t="s">
        <v>23</v>
      </c>
      <c r="AA423" t="s">
        <v>23</v>
      </c>
      <c r="AB423" t="s">
        <v>23</v>
      </c>
      <c r="AC423" t="s">
        <v>23</v>
      </c>
      <c r="AD423" t="s">
        <v>23</v>
      </c>
      <c r="AE423" t="s">
        <v>23</v>
      </c>
      <c r="AF423" t="s">
        <v>23</v>
      </c>
      <c r="AG423" t="s">
        <v>23</v>
      </c>
      <c r="AH423" t="s">
        <v>23</v>
      </c>
      <c r="AI423" t="s">
        <v>23</v>
      </c>
      <c r="AJ423" t="s">
        <v>23</v>
      </c>
    </row>
    <row r="424" spans="1:36" x14ac:dyDescent="0.35">
      <c r="A424" s="2">
        <v>1422</v>
      </c>
      <c r="B424" s="4">
        <v>45027</v>
      </c>
      <c r="C424" s="1" t="s">
        <v>30</v>
      </c>
      <c r="D424" s="1" t="s">
        <v>42</v>
      </c>
      <c r="E424">
        <v>944299</v>
      </c>
      <c r="F424">
        <v>15</v>
      </c>
      <c r="G424" s="1" t="s">
        <v>26</v>
      </c>
      <c r="H424">
        <v>16235</v>
      </c>
      <c r="I424">
        <v>24936</v>
      </c>
      <c r="J424" s="1" t="s">
        <v>27</v>
      </c>
      <c r="K424" s="3">
        <v>4</v>
      </c>
      <c r="L424" s="1" t="s">
        <v>36</v>
      </c>
      <c r="M424" s="1" t="s">
        <v>29</v>
      </c>
      <c r="N424" s="3">
        <v>2024010123</v>
      </c>
      <c r="O424" s="3">
        <f t="shared" si="54"/>
        <v>1.23</v>
      </c>
      <c r="P424" s="6">
        <f t="shared" si="55"/>
        <v>1161487.77</v>
      </c>
      <c r="Q424" s="3" t="str">
        <f t="shared" si="56"/>
        <v>Excellent</v>
      </c>
      <c r="R424" s="3">
        <f t="shared" si="57"/>
        <v>8701</v>
      </c>
      <c r="S424" s="7">
        <f t="shared" si="58"/>
        <v>130515</v>
      </c>
      <c r="T424" s="3" t="str">
        <f t="shared" si="59"/>
        <v>High Profit</v>
      </c>
      <c r="U424" s="3" t="str">
        <f t="shared" si="60"/>
        <v>Low Discount</v>
      </c>
      <c r="V424" s="3" t="str">
        <f t="shared" si="61"/>
        <v>Priority C</v>
      </c>
      <c r="W424">
        <f t="shared" si="62"/>
        <v>141644.85</v>
      </c>
      <c r="X424" t="s">
        <v>23</v>
      </c>
      <c r="Y424" t="s">
        <v>23</v>
      </c>
      <c r="Z424" t="s">
        <v>23</v>
      </c>
      <c r="AA424" t="s">
        <v>23</v>
      </c>
      <c r="AB424" t="s">
        <v>23</v>
      </c>
      <c r="AC424" t="s">
        <v>23</v>
      </c>
      <c r="AD424" t="s">
        <v>23</v>
      </c>
      <c r="AE424" t="s">
        <v>23</v>
      </c>
      <c r="AF424" t="s">
        <v>23</v>
      </c>
      <c r="AG424" t="s">
        <v>23</v>
      </c>
      <c r="AH424" t="s">
        <v>23</v>
      </c>
      <c r="AI424" t="s">
        <v>23</v>
      </c>
      <c r="AJ424" t="s">
        <v>23</v>
      </c>
    </row>
    <row r="425" spans="1:36" x14ac:dyDescent="0.35">
      <c r="A425" s="2">
        <v>1423</v>
      </c>
      <c r="B425" s="4">
        <v>45007</v>
      </c>
      <c r="C425" s="1" t="s">
        <v>24</v>
      </c>
      <c r="D425" s="1" t="s">
        <v>31</v>
      </c>
      <c r="E425">
        <v>352616</v>
      </c>
      <c r="F425">
        <v>45</v>
      </c>
      <c r="G425" s="1" t="s">
        <v>32</v>
      </c>
      <c r="H425">
        <v>24774</v>
      </c>
      <c r="I425">
        <v>38572</v>
      </c>
      <c r="J425" s="1" t="s">
        <v>33</v>
      </c>
      <c r="K425" s="3">
        <v>6</v>
      </c>
      <c r="L425" s="1" t="s">
        <v>40</v>
      </c>
      <c r="M425" s="1" t="s">
        <v>37</v>
      </c>
      <c r="N425" s="3">
        <v>2024010123</v>
      </c>
      <c r="O425" s="3">
        <f t="shared" si="54"/>
        <v>1.23</v>
      </c>
      <c r="P425" s="6">
        <f t="shared" si="55"/>
        <v>433717.68</v>
      </c>
      <c r="Q425" s="3" t="str">
        <f t="shared" si="56"/>
        <v>Excellent</v>
      </c>
      <c r="R425" s="3">
        <f t="shared" si="57"/>
        <v>13798</v>
      </c>
      <c r="S425" s="7">
        <f t="shared" si="58"/>
        <v>620910</v>
      </c>
      <c r="T425" s="3" t="str">
        <f t="shared" si="59"/>
        <v>High Profit</v>
      </c>
      <c r="U425" s="3" t="str">
        <f t="shared" si="60"/>
        <v>Medium Discount</v>
      </c>
      <c r="V425" s="3" t="str">
        <f t="shared" si="61"/>
        <v>Priority B</v>
      </c>
      <c r="W425">
        <f t="shared" si="62"/>
        <v>35261.599999999999</v>
      </c>
      <c r="X425" t="s">
        <v>23</v>
      </c>
      <c r="Y425" t="s">
        <v>23</v>
      </c>
      <c r="Z425" t="s">
        <v>23</v>
      </c>
      <c r="AA425" t="s">
        <v>23</v>
      </c>
      <c r="AB425" t="s">
        <v>23</v>
      </c>
      <c r="AC425" t="s">
        <v>23</v>
      </c>
      <c r="AD425" t="s">
        <v>23</v>
      </c>
      <c r="AE425" t="s">
        <v>23</v>
      </c>
      <c r="AF425" t="s">
        <v>23</v>
      </c>
      <c r="AG425" t="s">
        <v>23</v>
      </c>
      <c r="AH425" t="s">
        <v>23</v>
      </c>
      <c r="AI425" t="s">
        <v>23</v>
      </c>
      <c r="AJ425" t="s">
        <v>23</v>
      </c>
    </row>
    <row r="426" spans="1:36" x14ac:dyDescent="0.35">
      <c r="A426" s="2">
        <v>1424</v>
      </c>
      <c r="B426" s="4">
        <v>45189</v>
      </c>
      <c r="C426" s="1" t="s">
        <v>38</v>
      </c>
      <c r="D426" s="1" t="s">
        <v>25</v>
      </c>
      <c r="E426">
        <v>155684</v>
      </c>
      <c r="F426">
        <v>12</v>
      </c>
      <c r="G426" s="1" t="s">
        <v>39</v>
      </c>
      <c r="H426">
        <v>26555</v>
      </c>
      <c r="I426">
        <v>34914</v>
      </c>
      <c r="J426" s="1" t="s">
        <v>27</v>
      </c>
      <c r="K426" s="3">
        <v>8</v>
      </c>
      <c r="L426" s="1" t="s">
        <v>40</v>
      </c>
      <c r="M426" s="1" t="s">
        <v>37</v>
      </c>
      <c r="N426" s="3">
        <v>2024010123</v>
      </c>
      <c r="O426" s="3">
        <f t="shared" si="54"/>
        <v>1.23</v>
      </c>
      <c r="P426" s="6">
        <f t="shared" si="55"/>
        <v>191491.32</v>
      </c>
      <c r="Q426" s="3" t="str">
        <f t="shared" si="56"/>
        <v>Excellent</v>
      </c>
      <c r="R426" s="3">
        <f t="shared" si="57"/>
        <v>8359</v>
      </c>
      <c r="S426" s="7">
        <f t="shared" si="58"/>
        <v>100308</v>
      </c>
      <c r="T426" s="3" t="str">
        <f t="shared" si="59"/>
        <v>High Profit</v>
      </c>
      <c r="U426" s="3" t="str">
        <f t="shared" si="60"/>
        <v>Medium Discount</v>
      </c>
      <c r="V426" s="3" t="str">
        <f t="shared" si="61"/>
        <v>Priority C</v>
      </c>
      <c r="W426">
        <f t="shared" si="62"/>
        <v>23352.6</v>
      </c>
      <c r="X426" t="s">
        <v>23</v>
      </c>
      <c r="Y426" t="s">
        <v>23</v>
      </c>
      <c r="Z426" t="s">
        <v>23</v>
      </c>
      <c r="AA426" t="s">
        <v>23</v>
      </c>
      <c r="AB426" t="s">
        <v>23</v>
      </c>
      <c r="AC426" t="s">
        <v>23</v>
      </c>
      <c r="AD426" t="s">
        <v>23</v>
      </c>
      <c r="AE426" t="s">
        <v>23</v>
      </c>
      <c r="AF426" t="s">
        <v>23</v>
      </c>
      <c r="AG426" t="s">
        <v>23</v>
      </c>
      <c r="AH426" t="s">
        <v>23</v>
      </c>
      <c r="AI426" t="s">
        <v>23</v>
      </c>
      <c r="AJ426" t="s">
        <v>23</v>
      </c>
    </row>
    <row r="427" spans="1:36" x14ac:dyDescent="0.35">
      <c r="A427" s="2">
        <v>1425</v>
      </c>
      <c r="B427" s="4">
        <v>45166</v>
      </c>
      <c r="C427" s="1" t="s">
        <v>30</v>
      </c>
      <c r="D427" s="1" t="s">
        <v>43</v>
      </c>
      <c r="E427">
        <v>802532</v>
      </c>
      <c r="F427">
        <v>12</v>
      </c>
      <c r="G427" s="1" t="s">
        <v>35</v>
      </c>
      <c r="H427">
        <v>14231</v>
      </c>
      <c r="I427">
        <v>24372</v>
      </c>
      <c r="J427" s="1" t="s">
        <v>33</v>
      </c>
      <c r="K427" s="3">
        <v>13</v>
      </c>
      <c r="L427" s="1" t="s">
        <v>28</v>
      </c>
      <c r="M427" s="1" t="s">
        <v>37</v>
      </c>
      <c r="N427" s="3">
        <v>2024010123</v>
      </c>
      <c r="O427" s="3">
        <f t="shared" si="54"/>
        <v>1.23</v>
      </c>
      <c r="P427" s="6">
        <f t="shared" si="55"/>
        <v>987114.36</v>
      </c>
      <c r="Q427" s="3" t="str">
        <f t="shared" si="56"/>
        <v>Excellent</v>
      </c>
      <c r="R427" s="3">
        <f t="shared" si="57"/>
        <v>10141</v>
      </c>
      <c r="S427" s="7">
        <f t="shared" si="58"/>
        <v>121692</v>
      </c>
      <c r="T427" s="3" t="str">
        <f t="shared" si="59"/>
        <v>High Profit</v>
      </c>
      <c r="U427" s="3" t="str">
        <f t="shared" si="60"/>
        <v>Medium Discount</v>
      </c>
      <c r="V427" s="3" t="str">
        <f t="shared" si="61"/>
        <v>Priority C</v>
      </c>
      <c r="W427">
        <f t="shared" si="62"/>
        <v>80253.200000000012</v>
      </c>
      <c r="X427" t="s">
        <v>23</v>
      </c>
      <c r="Y427" t="s">
        <v>23</v>
      </c>
      <c r="Z427" t="s">
        <v>23</v>
      </c>
      <c r="AA427" t="s">
        <v>23</v>
      </c>
      <c r="AB427" t="s">
        <v>23</v>
      </c>
      <c r="AC427" t="s">
        <v>23</v>
      </c>
      <c r="AD427" t="s">
        <v>23</v>
      </c>
      <c r="AE427" t="s">
        <v>23</v>
      </c>
      <c r="AF427" t="s">
        <v>23</v>
      </c>
      <c r="AG427" t="s">
        <v>23</v>
      </c>
      <c r="AH427" t="s">
        <v>23</v>
      </c>
      <c r="AI427" t="s">
        <v>23</v>
      </c>
      <c r="AJ427" t="s">
        <v>23</v>
      </c>
    </row>
    <row r="428" spans="1:36" x14ac:dyDescent="0.35">
      <c r="A428" s="2">
        <v>1426</v>
      </c>
      <c r="B428" s="4">
        <v>45209</v>
      </c>
      <c r="C428" s="1" t="s">
        <v>24</v>
      </c>
      <c r="D428" s="1" t="s">
        <v>31</v>
      </c>
      <c r="E428">
        <v>564227</v>
      </c>
      <c r="F428">
        <v>12</v>
      </c>
      <c r="G428" s="1" t="s">
        <v>35</v>
      </c>
      <c r="H428">
        <v>18284</v>
      </c>
      <c r="I428">
        <v>29409</v>
      </c>
      <c r="J428" s="1" t="s">
        <v>27</v>
      </c>
      <c r="K428" s="3">
        <v>19</v>
      </c>
      <c r="L428" s="1" t="s">
        <v>36</v>
      </c>
      <c r="M428" s="1" t="s">
        <v>29</v>
      </c>
      <c r="N428" s="3">
        <v>2024010123</v>
      </c>
      <c r="O428" s="3">
        <f t="shared" si="54"/>
        <v>1.23</v>
      </c>
      <c r="P428" s="6">
        <f t="shared" si="55"/>
        <v>693999.21</v>
      </c>
      <c r="Q428" s="3" t="str">
        <f t="shared" si="56"/>
        <v>Excellent</v>
      </c>
      <c r="R428" s="3">
        <f t="shared" si="57"/>
        <v>11125</v>
      </c>
      <c r="S428" s="7">
        <f t="shared" si="58"/>
        <v>133500</v>
      </c>
      <c r="T428" s="3" t="str">
        <f t="shared" si="59"/>
        <v>High Profit</v>
      </c>
      <c r="U428" s="3" t="str">
        <f t="shared" si="60"/>
        <v>High Discount</v>
      </c>
      <c r="V428" s="3" t="str">
        <f t="shared" si="61"/>
        <v>Priority D</v>
      </c>
      <c r="W428">
        <f t="shared" si="62"/>
        <v>84634.05</v>
      </c>
      <c r="X428" t="s">
        <v>23</v>
      </c>
      <c r="Y428" t="s">
        <v>23</v>
      </c>
      <c r="Z428" t="s">
        <v>23</v>
      </c>
      <c r="AA428" t="s">
        <v>23</v>
      </c>
      <c r="AB428" t="s">
        <v>23</v>
      </c>
      <c r="AC428" t="s">
        <v>23</v>
      </c>
      <c r="AD428" t="s">
        <v>23</v>
      </c>
      <c r="AE428" t="s">
        <v>23</v>
      </c>
      <c r="AF428" t="s">
        <v>23</v>
      </c>
      <c r="AG428" t="s">
        <v>23</v>
      </c>
      <c r="AH428" t="s">
        <v>23</v>
      </c>
      <c r="AI428" t="s">
        <v>23</v>
      </c>
      <c r="AJ428" t="s">
        <v>23</v>
      </c>
    </row>
    <row r="429" spans="1:36" x14ac:dyDescent="0.35">
      <c r="A429" s="2">
        <v>1427</v>
      </c>
      <c r="B429" s="4">
        <v>45134</v>
      </c>
      <c r="C429" s="1" t="s">
        <v>30</v>
      </c>
      <c r="D429" s="1" t="s">
        <v>42</v>
      </c>
      <c r="E429">
        <v>504201</v>
      </c>
      <c r="F429">
        <v>27</v>
      </c>
      <c r="G429" s="1" t="s">
        <v>32</v>
      </c>
      <c r="H429">
        <v>27581</v>
      </c>
      <c r="I429">
        <v>37212</v>
      </c>
      <c r="J429" s="1" t="s">
        <v>27</v>
      </c>
      <c r="K429" s="3">
        <v>19</v>
      </c>
      <c r="L429" s="1" t="s">
        <v>28</v>
      </c>
      <c r="M429" s="1" t="s">
        <v>37</v>
      </c>
      <c r="N429" s="3">
        <v>2024010123</v>
      </c>
      <c r="O429" s="3">
        <f t="shared" si="54"/>
        <v>1.23</v>
      </c>
      <c r="P429" s="6">
        <f t="shared" si="55"/>
        <v>620167.23</v>
      </c>
      <c r="Q429" s="3" t="str">
        <f t="shared" si="56"/>
        <v>Excellent</v>
      </c>
      <c r="R429" s="3">
        <f t="shared" si="57"/>
        <v>9631</v>
      </c>
      <c r="S429" s="7">
        <f t="shared" si="58"/>
        <v>260037</v>
      </c>
      <c r="T429" s="3" t="str">
        <f t="shared" si="59"/>
        <v>High Profit</v>
      </c>
      <c r="U429" s="3" t="str">
        <f t="shared" si="60"/>
        <v>High Discount</v>
      </c>
      <c r="V429" s="3" t="str">
        <f t="shared" si="61"/>
        <v>Priority B</v>
      </c>
      <c r="W429">
        <f t="shared" si="62"/>
        <v>75630.149999999994</v>
      </c>
      <c r="X429" t="s">
        <v>23</v>
      </c>
      <c r="Y429" t="s">
        <v>23</v>
      </c>
      <c r="Z429" t="s">
        <v>23</v>
      </c>
      <c r="AA429" t="s">
        <v>23</v>
      </c>
      <c r="AB429" t="s">
        <v>23</v>
      </c>
      <c r="AC429" t="s">
        <v>23</v>
      </c>
      <c r="AD429" t="s">
        <v>23</v>
      </c>
      <c r="AE429" t="s">
        <v>23</v>
      </c>
      <c r="AF429" t="s">
        <v>23</v>
      </c>
      <c r="AG429" t="s">
        <v>23</v>
      </c>
      <c r="AH429" t="s">
        <v>23</v>
      </c>
      <c r="AI429" t="s">
        <v>23</v>
      </c>
      <c r="AJ429" t="s">
        <v>23</v>
      </c>
    </row>
    <row r="430" spans="1:36" x14ac:dyDescent="0.35">
      <c r="A430" s="2">
        <v>1428</v>
      </c>
      <c r="B430" s="4">
        <v>45119</v>
      </c>
      <c r="C430" s="1" t="s">
        <v>34</v>
      </c>
      <c r="D430" s="1" t="s">
        <v>43</v>
      </c>
      <c r="E430">
        <v>264412</v>
      </c>
      <c r="F430">
        <v>34</v>
      </c>
      <c r="G430" s="1" t="s">
        <v>32</v>
      </c>
      <c r="H430">
        <v>11019</v>
      </c>
      <c r="I430">
        <v>24015</v>
      </c>
      <c r="J430" s="1" t="s">
        <v>27</v>
      </c>
      <c r="K430" s="3">
        <v>17</v>
      </c>
      <c r="L430" s="1" t="s">
        <v>36</v>
      </c>
      <c r="M430" s="1" t="s">
        <v>29</v>
      </c>
      <c r="N430" s="3">
        <v>2024010123</v>
      </c>
      <c r="O430" s="3">
        <f t="shared" si="54"/>
        <v>1.23</v>
      </c>
      <c r="P430" s="6">
        <f t="shared" si="55"/>
        <v>325226.76</v>
      </c>
      <c r="Q430" s="3" t="str">
        <f t="shared" si="56"/>
        <v>Excellent</v>
      </c>
      <c r="R430" s="3">
        <f t="shared" si="57"/>
        <v>12996</v>
      </c>
      <c r="S430" s="7">
        <f t="shared" si="58"/>
        <v>441864</v>
      </c>
      <c r="T430" s="3" t="str">
        <f t="shared" si="59"/>
        <v>High Profit</v>
      </c>
      <c r="U430" s="3" t="str">
        <f t="shared" si="60"/>
        <v>High Discount</v>
      </c>
      <c r="V430" s="3" t="str">
        <f t="shared" si="61"/>
        <v>Priority B</v>
      </c>
      <c r="W430">
        <f t="shared" si="62"/>
        <v>39661.799999999996</v>
      </c>
      <c r="X430" t="s">
        <v>23</v>
      </c>
      <c r="Y430" t="s">
        <v>23</v>
      </c>
      <c r="Z430" t="s">
        <v>23</v>
      </c>
      <c r="AA430" t="s">
        <v>23</v>
      </c>
      <c r="AB430" t="s">
        <v>23</v>
      </c>
      <c r="AC430" t="s">
        <v>23</v>
      </c>
      <c r="AD430" t="s">
        <v>23</v>
      </c>
      <c r="AE430" t="s">
        <v>23</v>
      </c>
      <c r="AF430" t="s">
        <v>23</v>
      </c>
      <c r="AG430" t="s">
        <v>23</v>
      </c>
      <c r="AH430" t="s">
        <v>23</v>
      </c>
      <c r="AI430" t="s">
        <v>23</v>
      </c>
      <c r="AJ430" t="s">
        <v>23</v>
      </c>
    </row>
    <row r="431" spans="1:36" x14ac:dyDescent="0.35">
      <c r="A431" s="2">
        <v>1429</v>
      </c>
      <c r="B431" s="4">
        <v>44982</v>
      </c>
      <c r="C431" s="1" t="s">
        <v>41</v>
      </c>
      <c r="D431" s="1" t="s">
        <v>31</v>
      </c>
      <c r="E431">
        <v>70144</v>
      </c>
      <c r="F431">
        <v>45</v>
      </c>
      <c r="G431" s="1" t="s">
        <v>32</v>
      </c>
      <c r="H431">
        <v>26341</v>
      </c>
      <c r="I431">
        <v>37024</v>
      </c>
      <c r="J431" s="1" t="s">
        <v>27</v>
      </c>
      <c r="K431" s="3">
        <v>20</v>
      </c>
      <c r="L431" s="1" t="s">
        <v>36</v>
      </c>
      <c r="M431" s="1" t="s">
        <v>29</v>
      </c>
      <c r="N431" s="3">
        <v>2024010123</v>
      </c>
      <c r="O431" s="3">
        <f t="shared" si="54"/>
        <v>1.23</v>
      </c>
      <c r="P431" s="6">
        <f t="shared" si="55"/>
        <v>86277.119999999995</v>
      </c>
      <c r="Q431" s="3" t="str">
        <f t="shared" si="56"/>
        <v>Excellent</v>
      </c>
      <c r="R431" s="3">
        <f t="shared" si="57"/>
        <v>10683</v>
      </c>
      <c r="S431" s="7">
        <f t="shared" si="58"/>
        <v>480735</v>
      </c>
      <c r="T431" s="3" t="str">
        <f t="shared" si="59"/>
        <v>High Profit</v>
      </c>
      <c r="U431" s="3" t="str">
        <f t="shared" si="60"/>
        <v>High Discount</v>
      </c>
      <c r="V431" s="3" t="str">
        <f t="shared" si="61"/>
        <v>Priority B</v>
      </c>
      <c r="W431">
        <f t="shared" si="62"/>
        <v>10521.6</v>
      </c>
      <c r="X431" t="s">
        <v>23</v>
      </c>
      <c r="Y431" t="s">
        <v>23</v>
      </c>
      <c r="Z431" t="s">
        <v>23</v>
      </c>
      <c r="AA431" t="s">
        <v>23</v>
      </c>
      <c r="AB431" t="s">
        <v>23</v>
      </c>
      <c r="AC431" t="s">
        <v>23</v>
      </c>
      <c r="AD431" t="s">
        <v>23</v>
      </c>
      <c r="AE431" t="s">
        <v>23</v>
      </c>
      <c r="AF431" t="s">
        <v>23</v>
      </c>
      <c r="AG431" t="s">
        <v>23</v>
      </c>
      <c r="AH431" t="s">
        <v>23</v>
      </c>
      <c r="AI431" t="s">
        <v>23</v>
      </c>
      <c r="AJ431" t="s">
        <v>23</v>
      </c>
    </row>
    <row r="432" spans="1:36" x14ac:dyDescent="0.35">
      <c r="A432" s="2">
        <v>1430</v>
      </c>
      <c r="B432" s="4">
        <v>45274</v>
      </c>
      <c r="C432" s="1" t="s">
        <v>24</v>
      </c>
      <c r="D432" s="1" t="s">
        <v>42</v>
      </c>
      <c r="E432">
        <v>36872</v>
      </c>
      <c r="F432">
        <v>18</v>
      </c>
      <c r="G432" s="1" t="s">
        <v>26</v>
      </c>
      <c r="H432">
        <v>21627</v>
      </c>
      <c r="I432">
        <v>26832</v>
      </c>
      <c r="J432" s="1" t="s">
        <v>33</v>
      </c>
      <c r="K432" s="3">
        <v>0</v>
      </c>
      <c r="L432" s="1" t="s">
        <v>36</v>
      </c>
      <c r="M432" s="1" t="s">
        <v>37</v>
      </c>
      <c r="N432" s="3">
        <v>2024010123</v>
      </c>
      <c r="O432" s="3">
        <f t="shared" si="54"/>
        <v>1.23</v>
      </c>
      <c r="P432" s="6">
        <f t="shared" si="55"/>
        <v>45352.56</v>
      </c>
      <c r="Q432" s="3" t="str">
        <f t="shared" si="56"/>
        <v>Excellent</v>
      </c>
      <c r="R432" s="3">
        <f t="shared" si="57"/>
        <v>5205</v>
      </c>
      <c r="S432" s="7">
        <f t="shared" si="58"/>
        <v>93690</v>
      </c>
      <c r="T432" s="3" t="str">
        <f t="shared" si="59"/>
        <v>High Profit</v>
      </c>
      <c r="U432" s="3" t="str">
        <f t="shared" si="60"/>
        <v>No Discount</v>
      </c>
      <c r="V432" s="3" t="str">
        <f t="shared" si="61"/>
        <v>Priority C</v>
      </c>
      <c r="W432">
        <f t="shared" si="62"/>
        <v>3687.2000000000003</v>
      </c>
      <c r="X432" t="s">
        <v>23</v>
      </c>
      <c r="Y432" t="s">
        <v>23</v>
      </c>
      <c r="Z432" t="s">
        <v>23</v>
      </c>
      <c r="AA432" t="s">
        <v>23</v>
      </c>
      <c r="AB432" t="s">
        <v>23</v>
      </c>
      <c r="AC432" t="s">
        <v>23</v>
      </c>
      <c r="AD432" t="s">
        <v>23</v>
      </c>
      <c r="AE432" t="s">
        <v>23</v>
      </c>
      <c r="AF432" t="s">
        <v>23</v>
      </c>
      <c r="AG432" t="s">
        <v>23</v>
      </c>
      <c r="AH432" t="s">
        <v>23</v>
      </c>
      <c r="AI432" t="s">
        <v>23</v>
      </c>
      <c r="AJ432" t="s">
        <v>23</v>
      </c>
    </row>
    <row r="433" spans="1:36" x14ac:dyDescent="0.35">
      <c r="A433" s="2">
        <v>1431</v>
      </c>
      <c r="B433" s="4">
        <v>44955</v>
      </c>
      <c r="C433" s="1" t="s">
        <v>41</v>
      </c>
      <c r="D433" s="1" t="s">
        <v>42</v>
      </c>
      <c r="E433">
        <v>224423</v>
      </c>
      <c r="F433">
        <v>18</v>
      </c>
      <c r="G433" s="1" t="s">
        <v>35</v>
      </c>
      <c r="H433">
        <v>33554</v>
      </c>
      <c r="I433">
        <v>39543</v>
      </c>
      <c r="J433" s="1" t="s">
        <v>27</v>
      </c>
      <c r="K433" s="3">
        <v>2</v>
      </c>
      <c r="L433" s="1" t="s">
        <v>36</v>
      </c>
      <c r="M433" s="1" t="s">
        <v>37</v>
      </c>
      <c r="N433" s="3">
        <v>2024010123</v>
      </c>
      <c r="O433" s="3">
        <f t="shared" si="54"/>
        <v>1.23</v>
      </c>
      <c r="P433" s="6">
        <f t="shared" si="55"/>
        <v>276040.28999999998</v>
      </c>
      <c r="Q433" s="3" t="str">
        <f t="shared" si="56"/>
        <v>Excellent</v>
      </c>
      <c r="R433" s="3">
        <f t="shared" si="57"/>
        <v>5989</v>
      </c>
      <c r="S433" s="7">
        <f t="shared" si="58"/>
        <v>107802</v>
      </c>
      <c r="T433" s="3" t="str">
        <f t="shared" si="59"/>
        <v>High Profit</v>
      </c>
      <c r="U433" s="3" t="str">
        <f t="shared" si="60"/>
        <v>Low Discount</v>
      </c>
      <c r="V433" s="3" t="str">
        <f t="shared" si="61"/>
        <v>Priority C</v>
      </c>
      <c r="W433">
        <f t="shared" si="62"/>
        <v>33663.449999999997</v>
      </c>
      <c r="X433" t="s">
        <v>23</v>
      </c>
      <c r="Y433" t="s">
        <v>23</v>
      </c>
      <c r="Z433" t="s">
        <v>23</v>
      </c>
      <c r="AA433" t="s">
        <v>23</v>
      </c>
      <c r="AB433" t="s">
        <v>23</v>
      </c>
      <c r="AC433" t="s">
        <v>23</v>
      </c>
      <c r="AD433" t="s">
        <v>23</v>
      </c>
      <c r="AE433" t="s">
        <v>23</v>
      </c>
      <c r="AF433" t="s">
        <v>23</v>
      </c>
      <c r="AG433" t="s">
        <v>23</v>
      </c>
      <c r="AH433" t="s">
        <v>23</v>
      </c>
      <c r="AI433" t="s">
        <v>23</v>
      </c>
      <c r="AJ433" t="s">
        <v>23</v>
      </c>
    </row>
    <row r="434" spans="1:36" x14ac:dyDescent="0.35">
      <c r="A434" s="2">
        <v>1432</v>
      </c>
      <c r="B434" s="4">
        <v>45163</v>
      </c>
      <c r="C434" s="1" t="s">
        <v>38</v>
      </c>
      <c r="D434" s="1" t="s">
        <v>31</v>
      </c>
      <c r="E434">
        <v>588655</v>
      </c>
      <c r="F434">
        <v>18</v>
      </c>
      <c r="G434" s="1" t="s">
        <v>39</v>
      </c>
      <c r="H434">
        <v>44733</v>
      </c>
      <c r="I434">
        <v>48784</v>
      </c>
      <c r="J434" s="1" t="s">
        <v>27</v>
      </c>
      <c r="K434" s="3">
        <v>2</v>
      </c>
      <c r="L434" s="1" t="s">
        <v>36</v>
      </c>
      <c r="M434" s="1" t="s">
        <v>37</v>
      </c>
      <c r="N434" s="3">
        <v>2024010123</v>
      </c>
      <c r="O434" s="3">
        <f t="shared" si="54"/>
        <v>1.23</v>
      </c>
      <c r="P434" s="6">
        <f t="shared" si="55"/>
        <v>724045.65</v>
      </c>
      <c r="Q434" s="3" t="str">
        <f t="shared" si="56"/>
        <v>Excellent</v>
      </c>
      <c r="R434" s="3">
        <f t="shared" si="57"/>
        <v>4051</v>
      </c>
      <c r="S434" s="7">
        <f t="shared" si="58"/>
        <v>72918</v>
      </c>
      <c r="T434" s="3" t="str">
        <f t="shared" si="59"/>
        <v>High Profit</v>
      </c>
      <c r="U434" s="3" t="str">
        <f t="shared" si="60"/>
        <v>Low Discount</v>
      </c>
      <c r="V434" s="3" t="str">
        <f t="shared" si="61"/>
        <v>Priority C</v>
      </c>
      <c r="W434">
        <f t="shared" si="62"/>
        <v>88298.25</v>
      </c>
      <c r="X434" t="s">
        <v>23</v>
      </c>
      <c r="Y434" t="s">
        <v>23</v>
      </c>
      <c r="Z434" t="s">
        <v>23</v>
      </c>
      <c r="AA434" t="s">
        <v>23</v>
      </c>
      <c r="AB434" t="s">
        <v>23</v>
      </c>
      <c r="AC434" t="s">
        <v>23</v>
      </c>
      <c r="AD434" t="s">
        <v>23</v>
      </c>
      <c r="AE434" t="s">
        <v>23</v>
      </c>
      <c r="AF434" t="s">
        <v>23</v>
      </c>
      <c r="AG434" t="s">
        <v>23</v>
      </c>
      <c r="AH434" t="s">
        <v>23</v>
      </c>
      <c r="AI434" t="s">
        <v>23</v>
      </c>
      <c r="AJ434" t="s">
        <v>23</v>
      </c>
    </row>
    <row r="435" spans="1:36" x14ac:dyDescent="0.35">
      <c r="A435" s="2">
        <v>1433</v>
      </c>
      <c r="B435" s="4">
        <v>45287</v>
      </c>
      <c r="C435" s="1" t="s">
        <v>30</v>
      </c>
      <c r="D435" s="1" t="s">
        <v>25</v>
      </c>
      <c r="E435">
        <v>236392</v>
      </c>
      <c r="F435">
        <v>18</v>
      </c>
      <c r="G435" s="1" t="s">
        <v>39</v>
      </c>
      <c r="H435">
        <v>18150</v>
      </c>
      <c r="I435">
        <v>23548</v>
      </c>
      <c r="J435" s="1" t="s">
        <v>27</v>
      </c>
      <c r="K435" s="3">
        <v>13</v>
      </c>
      <c r="L435" s="1" t="s">
        <v>40</v>
      </c>
      <c r="M435" s="1" t="s">
        <v>29</v>
      </c>
      <c r="N435" s="3">
        <v>2024010123</v>
      </c>
      <c r="O435" s="3">
        <f t="shared" si="54"/>
        <v>1.23</v>
      </c>
      <c r="P435" s="6">
        <f t="shared" si="55"/>
        <v>290762.15999999997</v>
      </c>
      <c r="Q435" s="3" t="str">
        <f t="shared" si="56"/>
        <v>Excellent</v>
      </c>
      <c r="R435" s="3">
        <f t="shared" si="57"/>
        <v>5398</v>
      </c>
      <c r="S435" s="7">
        <f t="shared" si="58"/>
        <v>97164</v>
      </c>
      <c r="T435" s="3" t="str">
        <f t="shared" si="59"/>
        <v>High Profit</v>
      </c>
      <c r="U435" s="3" t="str">
        <f t="shared" si="60"/>
        <v>Medium Discount</v>
      </c>
      <c r="V435" s="3" t="str">
        <f t="shared" si="61"/>
        <v>Priority C</v>
      </c>
      <c r="W435">
        <f t="shared" si="62"/>
        <v>35458.799999999996</v>
      </c>
      <c r="X435" t="s">
        <v>23</v>
      </c>
      <c r="Y435" t="s">
        <v>23</v>
      </c>
      <c r="Z435" t="s">
        <v>23</v>
      </c>
      <c r="AA435" t="s">
        <v>23</v>
      </c>
      <c r="AB435" t="s">
        <v>23</v>
      </c>
      <c r="AC435" t="s">
        <v>23</v>
      </c>
      <c r="AD435" t="s">
        <v>23</v>
      </c>
      <c r="AE435" t="s">
        <v>23</v>
      </c>
      <c r="AF435" t="s">
        <v>23</v>
      </c>
      <c r="AG435" t="s">
        <v>23</v>
      </c>
      <c r="AH435" t="s">
        <v>23</v>
      </c>
      <c r="AI435" t="s">
        <v>23</v>
      </c>
      <c r="AJ435" t="s">
        <v>23</v>
      </c>
    </row>
    <row r="436" spans="1:36" x14ac:dyDescent="0.35">
      <c r="A436" s="2">
        <v>1434</v>
      </c>
      <c r="B436" s="4">
        <v>45074</v>
      </c>
      <c r="C436" s="1" t="s">
        <v>41</v>
      </c>
      <c r="D436" s="1" t="s">
        <v>42</v>
      </c>
      <c r="E436">
        <v>448358</v>
      </c>
      <c r="F436">
        <v>18</v>
      </c>
      <c r="G436" s="1" t="s">
        <v>26</v>
      </c>
      <c r="H436">
        <v>39130</v>
      </c>
      <c r="I436">
        <v>45552</v>
      </c>
      <c r="J436" s="1" t="s">
        <v>33</v>
      </c>
      <c r="K436" s="3">
        <v>13</v>
      </c>
      <c r="L436" s="1" t="s">
        <v>36</v>
      </c>
      <c r="M436" s="1" t="s">
        <v>29</v>
      </c>
      <c r="N436" s="3">
        <v>2024010123</v>
      </c>
      <c r="O436" s="3">
        <f t="shared" si="54"/>
        <v>1.23</v>
      </c>
      <c r="P436" s="6">
        <f t="shared" si="55"/>
        <v>551480.34</v>
      </c>
      <c r="Q436" s="3" t="str">
        <f t="shared" si="56"/>
        <v>Excellent</v>
      </c>
      <c r="R436" s="3">
        <f t="shared" si="57"/>
        <v>6422</v>
      </c>
      <c r="S436" s="7">
        <f t="shared" si="58"/>
        <v>115596</v>
      </c>
      <c r="T436" s="3" t="str">
        <f t="shared" si="59"/>
        <v>High Profit</v>
      </c>
      <c r="U436" s="3" t="str">
        <f t="shared" si="60"/>
        <v>Medium Discount</v>
      </c>
      <c r="V436" s="3" t="str">
        <f t="shared" si="61"/>
        <v>Priority C</v>
      </c>
      <c r="W436">
        <f t="shared" si="62"/>
        <v>44835.8</v>
      </c>
      <c r="X436" t="s">
        <v>23</v>
      </c>
      <c r="Y436" t="s">
        <v>23</v>
      </c>
      <c r="Z436" t="s">
        <v>23</v>
      </c>
      <c r="AA436" t="s">
        <v>23</v>
      </c>
      <c r="AB436" t="s">
        <v>23</v>
      </c>
      <c r="AC436" t="s">
        <v>23</v>
      </c>
      <c r="AD436" t="s">
        <v>23</v>
      </c>
      <c r="AE436" t="s">
        <v>23</v>
      </c>
      <c r="AF436" t="s">
        <v>23</v>
      </c>
      <c r="AG436" t="s">
        <v>23</v>
      </c>
      <c r="AH436" t="s">
        <v>23</v>
      </c>
      <c r="AI436" t="s">
        <v>23</v>
      </c>
      <c r="AJ436" t="s">
        <v>23</v>
      </c>
    </row>
    <row r="437" spans="1:36" x14ac:dyDescent="0.35">
      <c r="A437" s="2">
        <v>1435</v>
      </c>
      <c r="B437" s="4">
        <v>45080</v>
      </c>
      <c r="C437" s="1" t="s">
        <v>24</v>
      </c>
      <c r="D437" s="1" t="s">
        <v>43</v>
      </c>
      <c r="E437">
        <v>938416</v>
      </c>
      <c r="F437">
        <v>18</v>
      </c>
      <c r="G437" s="1" t="s">
        <v>32</v>
      </c>
      <c r="H437">
        <v>38158</v>
      </c>
      <c r="I437">
        <v>45312</v>
      </c>
      <c r="J437" s="1" t="s">
        <v>27</v>
      </c>
      <c r="K437" s="3">
        <v>12</v>
      </c>
      <c r="L437" s="1" t="s">
        <v>36</v>
      </c>
      <c r="M437" s="1" t="s">
        <v>37</v>
      </c>
      <c r="N437" s="3">
        <v>2024010123</v>
      </c>
      <c r="O437" s="3">
        <f t="shared" si="54"/>
        <v>1.23</v>
      </c>
      <c r="P437" s="6">
        <f t="shared" si="55"/>
        <v>1154251.68</v>
      </c>
      <c r="Q437" s="3" t="str">
        <f t="shared" si="56"/>
        <v>Excellent</v>
      </c>
      <c r="R437" s="3">
        <f t="shared" si="57"/>
        <v>7154</v>
      </c>
      <c r="S437" s="7">
        <f t="shared" si="58"/>
        <v>128772</v>
      </c>
      <c r="T437" s="3" t="str">
        <f t="shared" si="59"/>
        <v>High Profit</v>
      </c>
      <c r="U437" s="3" t="str">
        <f t="shared" si="60"/>
        <v>Medium Discount</v>
      </c>
      <c r="V437" s="3" t="str">
        <f t="shared" si="61"/>
        <v>Priority C</v>
      </c>
      <c r="W437">
        <f t="shared" si="62"/>
        <v>140762.4</v>
      </c>
      <c r="X437" t="s">
        <v>23</v>
      </c>
      <c r="Y437" t="s">
        <v>23</v>
      </c>
      <c r="Z437" t="s">
        <v>23</v>
      </c>
      <c r="AA437" t="s">
        <v>23</v>
      </c>
      <c r="AB437" t="s">
        <v>23</v>
      </c>
      <c r="AC437" t="s">
        <v>23</v>
      </c>
      <c r="AD437" t="s">
        <v>23</v>
      </c>
      <c r="AE437" t="s">
        <v>23</v>
      </c>
      <c r="AF437" t="s">
        <v>23</v>
      </c>
      <c r="AG437" t="s">
        <v>23</v>
      </c>
      <c r="AH437" t="s">
        <v>23</v>
      </c>
      <c r="AI437" t="s">
        <v>23</v>
      </c>
      <c r="AJ437" t="s">
        <v>23</v>
      </c>
    </row>
    <row r="438" spans="1:36" x14ac:dyDescent="0.35">
      <c r="A438" s="2">
        <v>1436</v>
      </c>
      <c r="B438" s="4">
        <v>45189</v>
      </c>
      <c r="C438" s="1" t="s">
        <v>41</v>
      </c>
      <c r="D438" s="1" t="s">
        <v>42</v>
      </c>
      <c r="E438">
        <v>248530</v>
      </c>
      <c r="F438">
        <v>18</v>
      </c>
      <c r="G438" s="1" t="s">
        <v>26</v>
      </c>
      <c r="H438">
        <v>38221</v>
      </c>
      <c r="I438">
        <v>42599</v>
      </c>
      <c r="J438" s="1" t="s">
        <v>27</v>
      </c>
      <c r="K438" s="3">
        <v>20</v>
      </c>
      <c r="L438" s="1" t="s">
        <v>40</v>
      </c>
      <c r="M438" s="1" t="s">
        <v>37</v>
      </c>
      <c r="N438" s="3">
        <v>2024010123</v>
      </c>
      <c r="O438" s="3">
        <f t="shared" si="54"/>
        <v>1.23</v>
      </c>
      <c r="P438" s="6">
        <f t="shared" si="55"/>
        <v>305691.90000000002</v>
      </c>
      <c r="Q438" s="3" t="str">
        <f t="shared" si="56"/>
        <v>Excellent</v>
      </c>
      <c r="R438" s="3">
        <f t="shared" si="57"/>
        <v>4378</v>
      </c>
      <c r="S438" s="7">
        <f t="shared" si="58"/>
        <v>78804</v>
      </c>
      <c r="T438" s="3" t="str">
        <f t="shared" si="59"/>
        <v>High Profit</v>
      </c>
      <c r="U438" s="3" t="str">
        <f t="shared" si="60"/>
        <v>High Discount</v>
      </c>
      <c r="V438" s="3" t="str">
        <f t="shared" si="61"/>
        <v>Priority C</v>
      </c>
      <c r="W438">
        <f t="shared" si="62"/>
        <v>37279.5</v>
      </c>
      <c r="X438" t="s">
        <v>23</v>
      </c>
      <c r="Y438" t="s">
        <v>23</v>
      </c>
      <c r="Z438" t="s">
        <v>23</v>
      </c>
      <c r="AA438" t="s">
        <v>23</v>
      </c>
      <c r="AB438" t="s">
        <v>23</v>
      </c>
      <c r="AC438" t="s">
        <v>23</v>
      </c>
      <c r="AD438" t="s">
        <v>23</v>
      </c>
      <c r="AE438" t="s">
        <v>23</v>
      </c>
      <c r="AF438" t="s">
        <v>23</v>
      </c>
      <c r="AG438" t="s">
        <v>23</v>
      </c>
      <c r="AH438" t="s">
        <v>23</v>
      </c>
      <c r="AI438" t="s">
        <v>23</v>
      </c>
      <c r="AJ438" t="s">
        <v>23</v>
      </c>
    </row>
    <row r="439" spans="1:36" x14ac:dyDescent="0.35">
      <c r="A439" s="2">
        <v>1437</v>
      </c>
      <c r="B439" s="4">
        <v>45039</v>
      </c>
      <c r="C439" s="1" t="s">
        <v>24</v>
      </c>
      <c r="D439" s="1" t="s">
        <v>31</v>
      </c>
      <c r="E439">
        <v>966657</v>
      </c>
      <c r="F439">
        <v>18</v>
      </c>
      <c r="G439" s="1" t="s">
        <v>39</v>
      </c>
      <c r="H439">
        <v>40543</v>
      </c>
      <c r="I439">
        <v>47870</v>
      </c>
      <c r="J439" s="1" t="s">
        <v>27</v>
      </c>
      <c r="K439" s="3">
        <v>24</v>
      </c>
      <c r="L439" s="1" t="s">
        <v>40</v>
      </c>
      <c r="M439" s="1" t="s">
        <v>29</v>
      </c>
      <c r="N439" s="3">
        <v>2024010123</v>
      </c>
      <c r="O439" s="3">
        <f t="shared" si="54"/>
        <v>1.23</v>
      </c>
      <c r="P439" s="6">
        <f t="shared" si="55"/>
        <v>1188988.1099999999</v>
      </c>
      <c r="Q439" s="3" t="str">
        <f t="shared" si="56"/>
        <v>Excellent</v>
      </c>
      <c r="R439" s="3">
        <f t="shared" si="57"/>
        <v>7327</v>
      </c>
      <c r="S439" s="7">
        <f t="shared" si="58"/>
        <v>131886</v>
      </c>
      <c r="T439" s="3" t="str">
        <f t="shared" si="59"/>
        <v>High Profit</v>
      </c>
      <c r="U439" s="3" t="str">
        <f t="shared" si="60"/>
        <v>High Discount</v>
      </c>
      <c r="V439" s="3" t="str">
        <f t="shared" si="61"/>
        <v>Priority C</v>
      </c>
      <c r="W439">
        <f t="shared" si="62"/>
        <v>144998.54999999999</v>
      </c>
      <c r="X439" t="s">
        <v>23</v>
      </c>
      <c r="Y439" t="s">
        <v>23</v>
      </c>
      <c r="Z439" t="s">
        <v>23</v>
      </c>
      <c r="AA439" t="s">
        <v>23</v>
      </c>
      <c r="AB439" t="s">
        <v>23</v>
      </c>
      <c r="AC439" t="s">
        <v>23</v>
      </c>
      <c r="AD439" t="s">
        <v>23</v>
      </c>
      <c r="AE439" t="s">
        <v>23</v>
      </c>
      <c r="AF439" t="s">
        <v>23</v>
      </c>
      <c r="AG439" t="s">
        <v>23</v>
      </c>
      <c r="AH439" t="s">
        <v>23</v>
      </c>
      <c r="AI439" t="s">
        <v>23</v>
      </c>
      <c r="AJ439" t="s">
        <v>23</v>
      </c>
    </row>
    <row r="440" spans="1:36" x14ac:dyDescent="0.35">
      <c r="A440" s="2">
        <v>1438</v>
      </c>
      <c r="B440" s="4">
        <v>45157</v>
      </c>
      <c r="C440" s="1" t="s">
        <v>41</v>
      </c>
      <c r="D440" s="1" t="s">
        <v>25</v>
      </c>
      <c r="E440">
        <v>626087</v>
      </c>
      <c r="F440">
        <v>18</v>
      </c>
      <c r="G440" s="1" t="s">
        <v>26</v>
      </c>
      <c r="H440">
        <v>44046</v>
      </c>
      <c r="I440">
        <v>49047</v>
      </c>
      <c r="J440" s="1" t="s">
        <v>33</v>
      </c>
      <c r="K440" s="3">
        <v>22</v>
      </c>
      <c r="L440" s="1" t="s">
        <v>28</v>
      </c>
      <c r="M440" s="1" t="s">
        <v>37</v>
      </c>
      <c r="N440" s="3">
        <v>2024010123</v>
      </c>
      <c r="O440" s="3">
        <f t="shared" si="54"/>
        <v>1.23</v>
      </c>
      <c r="P440" s="6">
        <f t="shared" si="55"/>
        <v>770087.01</v>
      </c>
      <c r="Q440" s="3" t="str">
        <f t="shared" si="56"/>
        <v>Excellent</v>
      </c>
      <c r="R440" s="3">
        <f t="shared" si="57"/>
        <v>5001</v>
      </c>
      <c r="S440" s="7">
        <f t="shared" si="58"/>
        <v>90018</v>
      </c>
      <c r="T440" s="3" t="str">
        <f t="shared" si="59"/>
        <v>High Profit</v>
      </c>
      <c r="U440" s="3" t="str">
        <f t="shared" si="60"/>
        <v>High Discount</v>
      </c>
      <c r="V440" s="3" t="str">
        <f t="shared" si="61"/>
        <v>Priority C</v>
      </c>
      <c r="W440">
        <f t="shared" si="62"/>
        <v>62608.700000000004</v>
      </c>
      <c r="X440" t="s">
        <v>23</v>
      </c>
      <c r="Y440" t="s">
        <v>23</v>
      </c>
      <c r="Z440" t="s">
        <v>23</v>
      </c>
      <c r="AA440" t="s">
        <v>23</v>
      </c>
      <c r="AB440" t="s">
        <v>23</v>
      </c>
      <c r="AC440" t="s">
        <v>23</v>
      </c>
      <c r="AD440" t="s">
        <v>23</v>
      </c>
      <c r="AE440" t="s">
        <v>23</v>
      </c>
      <c r="AF440" t="s">
        <v>23</v>
      </c>
      <c r="AG440" t="s">
        <v>23</v>
      </c>
      <c r="AH440" t="s">
        <v>23</v>
      </c>
      <c r="AI440" t="s">
        <v>23</v>
      </c>
      <c r="AJ440" t="s">
        <v>23</v>
      </c>
    </row>
    <row r="441" spans="1:36" x14ac:dyDescent="0.35">
      <c r="A441" s="2">
        <v>1439</v>
      </c>
      <c r="B441" s="4">
        <v>44945</v>
      </c>
      <c r="C441" s="1" t="s">
        <v>30</v>
      </c>
      <c r="D441" s="1" t="s">
        <v>31</v>
      </c>
      <c r="E441">
        <v>925595</v>
      </c>
      <c r="F441">
        <v>12</v>
      </c>
      <c r="G441" s="1" t="s">
        <v>32</v>
      </c>
      <c r="H441">
        <v>23580</v>
      </c>
      <c r="I441">
        <v>27393</v>
      </c>
      <c r="J441" s="1" t="s">
        <v>27</v>
      </c>
      <c r="K441" s="3">
        <v>27</v>
      </c>
      <c r="L441" s="1" t="s">
        <v>28</v>
      </c>
      <c r="M441" s="1" t="s">
        <v>29</v>
      </c>
      <c r="N441" s="3">
        <v>2024010123</v>
      </c>
      <c r="O441" s="3">
        <f t="shared" si="54"/>
        <v>1.23</v>
      </c>
      <c r="P441" s="6">
        <f t="shared" si="55"/>
        <v>1138481.8500000001</v>
      </c>
      <c r="Q441" s="3" t="str">
        <f t="shared" si="56"/>
        <v>Excellent</v>
      </c>
      <c r="R441" s="3">
        <f t="shared" si="57"/>
        <v>3813</v>
      </c>
      <c r="S441" s="7">
        <f t="shared" si="58"/>
        <v>45756</v>
      </c>
      <c r="T441" s="3" t="str">
        <f t="shared" si="59"/>
        <v>High Profit</v>
      </c>
      <c r="U441" s="3" t="str">
        <f t="shared" si="60"/>
        <v>High Discount</v>
      </c>
      <c r="V441" s="3" t="str">
        <f t="shared" si="61"/>
        <v>Priority D</v>
      </c>
      <c r="W441">
        <f t="shared" si="62"/>
        <v>138839.25</v>
      </c>
      <c r="X441" t="s">
        <v>23</v>
      </c>
      <c r="Y441" t="s">
        <v>23</v>
      </c>
      <c r="Z441" t="s">
        <v>23</v>
      </c>
      <c r="AA441" t="s">
        <v>23</v>
      </c>
      <c r="AB441" t="s">
        <v>23</v>
      </c>
      <c r="AC441" t="s">
        <v>23</v>
      </c>
      <c r="AD441" t="s">
        <v>23</v>
      </c>
      <c r="AE441" t="s">
        <v>23</v>
      </c>
      <c r="AF441" t="s">
        <v>23</v>
      </c>
      <c r="AG441" t="s">
        <v>23</v>
      </c>
      <c r="AH441" t="s">
        <v>23</v>
      </c>
      <c r="AI441" t="s">
        <v>23</v>
      </c>
      <c r="AJ441" t="s">
        <v>23</v>
      </c>
    </row>
    <row r="442" spans="1:36" x14ac:dyDescent="0.35">
      <c r="A442" s="2">
        <v>1440</v>
      </c>
      <c r="B442" s="4">
        <v>44977</v>
      </c>
      <c r="C442" s="1" t="s">
        <v>30</v>
      </c>
      <c r="D442" s="1" t="s">
        <v>43</v>
      </c>
      <c r="E442">
        <v>233592</v>
      </c>
      <c r="F442">
        <v>6</v>
      </c>
      <c r="G442" s="1" t="s">
        <v>26</v>
      </c>
      <c r="H442">
        <v>23094</v>
      </c>
      <c r="I442">
        <v>27816</v>
      </c>
      <c r="J442" s="1" t="s">
        <v>33</v>
      </c>
      <c r="K442" s="3">
        <v>0</v>
      </c>
      <c r="L442" s="1" t="s">
        <v>40</v>
      </c>
      <c r="M442" s="1" t="s">
        <v>29</v>
      </c>
      <c r="N442" s="3">
        <v>2024010123</v>
      </c>
      <c r="O442" s="3">
        <f t="shared" si="54"/>
        <v>1.23</v>
      </c>
      <c r="P442" s="6">
        <f t="shared" si="55"/>
        <v>287318.15999999997</v>
      </c>
      <c r="Q442" s="3" t="str">
        <f t="shared" si="56"/>
        <v>Excellent</v>
      </c>
      <c r="R442" s="3">
        <f t="shared" si="57"/>
        <v>4722</v>
      </c>
      <c r="S442" s="7">
        <f t="shared" si="58"/>
        <v>28332</v>
      </c>
      <c r="T442" s="3" t="str">
        <f t="shared" si="59"/>
        <v>High Profit</v>
      </c>
      <c r="U442" s="3" t="str">
        <f t="shared" si="60"/>
        <v>No Discount</v>
      </c>
      <c r="V442" s="3" t="str">
        <f t="shared" si="61"/>
        <v>Priority D</v>
      </c>
      <c r="W442">
        <f t="shared" si="62"/>
        <v>23359.200000000001</v>
      </c>
      <c r="X442" t="s">
        <v>23</v>
      </c>
      <c r="Y442" t="s">
        <v>23</v>
      </c>
      <c r="Z442" t="s">
        <v>23</v>
      </c>
      <c r="AA442" t="s">
        <v>23</v>
      </c>
      <c r="AB442" t="s">
        <v>23</v>
      </c>
      <c r="AC442" t="s">
        <v>23</v>
      </c>
      <c r="AD442" t="s">
        <v>23</v>
      </c>
      <c r="AE442" t="s">
        <v>23</v>
      </c>
      <c r="AF442" t="s">
        <v>23</v>
      </c>
      <c r="AG442" t="s">
        <v>23</v>
      </c>
      <c r="AH442" t="s">
        <v>23</v>
      </c>
      <c r="AI442" t="s">
        <v>23</v>
      </c>
      <c r="AJ442" t="s">
        <v>23</v>
      </c>
    </row>
    <row r="443" spans="1:36" x14ac:dyDescent="0.35">
      <c r="A443" s="2">
        <v>1441</v>
      </c>
      <c r="B443" s="4">
        <v>44987</v>
      </c>
      <c r="C443" s="1" t="s">
        <v>34</v>
      </c>
      <c r="D443" s="1" t="s">
        <v>25</v>
      </c>
      <c r="E443">
        <v>669560</v>
      </c>
      <c r="F443">
        <v>12</v>
      </c>
      <c r="G443" s="1" t="s">
        <v>26</v>
      </c>
      <c r="H443">
        <v>39460</v>
      </c>
      <c r="I443">
        <v>42076</v>
      </c>
      <c r="J443" s="1" t="s">
        <v>33</v>
      </c>
      <c r="K443" s="3">
        <v>2</v>
      </c>
      <c r="L443" s="1" t="s">
        <v>36</v>
      </c>
      <c r="M443" s="1" t="s">
        <v>37</v>
      </c>
      <c r="N443" s="3">
        <v>2024010123</v>
      </c>
      <c r="O443" s="3">
        <f t="shared" si="54"/>
        <v>1.23</v>
      </c>
      <c r="P443" s="6">
        <f t="shared" si="55"/>
        <v>823558.79999999993</v>
      </c>
      <c r="Q443" s="3" t="str">
        <f t="shared" si="56"/>
        <v>Excellent</v>
      </c>
      <c r="R443" s="3">
        <f t="shared" si="57"/>
        <v>2616</v>
      </c>
      <c r="S443" s="7">
        <f t="shared" si="58"/>
        <v>31392</v>
      </c>
      <c r="T443" s="3" t="str">
        <f t="shared" si="59"/>
        <v>High Profit</v>
      </c>
      <c r="U443" s="3" t="str">
        <f t="shared" si="60"/>
        <v>Low Discount</v>
      </c>
      <c r="V443" s="3" t="str">
        <f t="shared" si="61"/>
        <v>Priority C</v>
      </c>
      <c r="W443">
        <f t="shared" si="62"/>
        <v>66956</v>
      </c>
      <c r="X443" t="s">
        <v>23</v>
      </c>
      <c r="Y443" t="s">
        <v>23</v>
      </c>
      <c r="Z443" t="s">
        <v>23</v>
      </c>
      <c r="AA443" t="s">
        <v>23</v>
      </c>
      <c r="AB443" t="s">
        <v>23</v>
      </c>
      <c r="AC443" t="s">
        <v>23</v>
      </c>
      <c r="AD443" t="s">
        <v>23</v>
      </c>
      <c r="AE443" t="s">
        <v>23</v>
      </c>
      <c r="AF443" t="s">
        <v>23</v>
      </c>
      <c r="AG443" t="s">
        <v>23</v>
      </c>
      <c r="AH443" t="s">
        <v>23</v>
      </c>
      <c r="AI443" t="s">
        <v>23</v>
      </c>
      <c r="AJ443" t="s">
        <v>23</v>
      </c>
    </row>
    <row r="444" spans="1:36" x14ac:dyDescent="0.35">
      <c r="A444" s="2">
        <v>1442</v>
      </c>
      <c r="B444" s="4">
        <v>45031</v>
      </c>
      <c r="C444" s="1" t="s">
        <v>41</v>
      </c>
      <c r="D444" s="1" t="s">
        <v>42</v>
      </c>
      <c r="E444">
        <v>803424</v>
      </c>
      <c r="F444">
        <v>12</v>
      </c>
      <c r="G444" s="1" t="s">
        <v>35</v>
      </c>
      <c r="H444">
        <v>27982</v>
      </c>
      <c r="I444">
        <v>31897</v>
      </c>
      <c r="J444" s="1" t="s">
        <v>27</v>
      </c>
      <c r="K444" s="3">
        <v>2</v>
      </c>
      <c r="L444" s="1" t="s">
        <v>40</v>
      </c>
      <c r="M444" s="1" t="s">
        <v>29</v>
      </c>
      <c r="N444" s="3">
        <v>2024010123</v>
      </c>
      <c r="O444" s="3">
        <f t="shared" si="54"/>
        <v>1.23</v>
      </c>
      <c r="P444" s="6">
        <f t="shared" si="55"/>
        <v>988211.52</v>
      </c>
      <c r="Q444" s="3" t="str">
        <f t="shared" si="56"/>
        <v>Excellent</v>
      </c>
      <c r="R444" s="3">
        <f t="shared" si="57"/>
        <v>3915</v>
      </c>
      <c r="S444" s="7">
        <f t="shared" si="58"/>
        <v>46980</v>
      </c>
      <c r="T444" s="3" t="str">
        <f t="shared" si="59"/>
        <v>High Profit</v>
      </c>
      <c r="U444" s="3" t="str">
        <f t="shared" si="60"/>
        <v>Low Discount</v>
      </c>
      <c r="V444" s="3" t="str">
        <f t="shared" si="61"/>
        <v>Priority D</v>
      </c>
      <c r="W444">
        <f t="shared" si="62"/>
        <v>120513.59999999999</v>
      </c>
      <c r="X444" t="s">
        <v>23</v>
      </c>
      <c r="Y444" t="s">
        <v>23</v>
      </c>
      <c r="Z444" t="s">
        <v>23</v>
      </c>
      <c r="AA444" t="s">
        <v>23</v>
      </c>
      <c r="AB444" t="s">
        <v>23</v>
      </c>
      <c r="AC444" t="s">
        <v>23</v>
      </c>
      <c r="AD444" t="s">
        <v>23</v>
      </c>
      <c r="AE444" t="s">
        <v>23</v>
      </c>
      <c r="AF444" t="s">
        <v>23</v>
      </c>
      <c r="AG444" t="s">
        <v>23</v>
      </c>
      <c r="AH444" t="s">
        <v>23</v>
      </c>
      <c r="AI444" t="s">
        <v>23</v>
      </c>
      <c r="AJ444" t="s">
        <v>23</v>
      </c>
    </row>
    <row r="445" spans="1:36" x14ac:dyDescent="0.35">
      <c r="A445" s="2">
        <v>1443</v>
      </c>
      <c r="B445" s="4">
        <v>44986</v>
      </c>
      <c r="C445" s="1" t="s">
        <v>41</v>
      </c>
      <c r="D445" s="1" t="s">
        <v>43</v>
      </c>
      <c r="E445">
        <v>524748</v>
      </c>
      <c r="F445">
        <v>12</v>
      </c>
      <c r="G445" s="1" t="s">
        <v>35</v>
      </c>
      <c r="H445">
        <v>54117</v>
      </c>
      <c r="I445">
        <v>58700</v>
      </c>
      <c r="J445" s="1" t="s">
        <v>27</v>
      </c>
      <c r="K445" s="3">
        <v>7</v>
      </c>
      <c r="L445" s="1" t="s">
        <v>36</v>
      </c>
      <c r="M445" s="1" t="s">
        <v>29</v>
      </c>
      <c r="N445" s="3">
        <v>2024010123</v>
      </c>
      <c r="O445" s="3">
        <f t="shared" si="54"/>
        <v>1.23</v>
      </c>
      <c r="P445" s="6">
        <f t="shared" si="55"/>
        <v>645440.04</v>
      </c>
      <c r="Q445" s="3" t="str">
        <f t="shared" si="56"/>
        <v>Excellent</v>
      </c>
      <c r="R445" s="3">
        <f t="shared" si="57"/>
        <v>4583</v>
      </c>
      <c r="S445" s="7">
        <f t="shared" si="58"/>
        <v>54996</v>
      </c>
      <c r="T445" s="3" t="str">
        <f t="shared" si="59"/>
        <v>High Profit</v>
      </c>
      <c r="U445" s="3" t="str">
        <f t="shared" si="60"/>
        <v>Medium Discount</v>
      </c>
      <c r="V445" s="3" t="str">
        <f t="shared" si="61"/>
        <v>Priority D</v>
      </c>
      <c r="W445">
        <f t="shared" si="62"/>
        <v>78712.2</v>
      </c>
      <c r="X445" t="s">
        <v>23</v>
      </c>
      <c r="Y445" t="s">
        <v>23</v>
      </c>
      <c r="Z445" t="s">
        <v>23</v>
      </c>
      <c r="AA445" t="s">
        <v>23</v>
      </c>
      <c r="AB445" t="s">
        <v>23</v>
      </c>
      <c r="AC445" t="s">
        <v>23</v>
      </c>
      <c r="AD445" t="s">
        <v>23</v>
      </c>
      <c r="AE445" t="s">
        <v>23</v>
      </c>
      <c r="AF445" t="s">
        <v>23</v>
      </c>
      <c r="AG445" t="s">
        <v>23</v>
      </c>
      <c r="AH445" t="s">
        <v>23</v>
      </c>
      <c r="AI445" t="s">
        <v>23</v>
      </c>
      <c r="AJ445" t="s">
        <v>23</v>
      </c>
    </row>
    <row r="446" spans="1:36" x14ac:dyDescent="0.35">
      <c r="A446" s="2">
        <v>1444</v>
      </c>
      <c r="B446" s="4">
        <v>45239</v>
      </c>
      <c r="C446" s="1" t="s">
        <v>24</v>
      </c>
      <c r="D446" s="1" t="s">
        <v>31</v>
      </c>
      <c r="E446">
        <v>282891</v>
      </c>
      <c r="F446">
        <v>7</v>
      </c>
      <c r="G446" s="1" t="s">
        <v>26</v>
      </c>
      <c r="H446">
        <v>54707</v>
      </c>
      <c r="I446">
        <v>58450</v>
      </c>
      <c r="J446" s="1" t="s">
        <v>27</v>
      </c>
      <c r="K446" s="3">
        <v>5</v>
      </c>
      <c r="L446" s="1" t="s">
        <v>28</v>
      </c>
      <c r="M446" s="1" t="s">
        <v>29</v>
      </c>
      <c r="N446" s="3">
        <v>2024010123</v>
      </c>
      <c r="O446" s="3">
        <f t="shared" si="54"/>
        <v>1.23</v>
      </c>
      <c r="P446" s="6">
        <f t="shared" si="55"/>
        <v>347955.93</v>
      </c>
      <c r="Q446" s="3" t="str">
        <f t="shared" si="56"/>
        <v>Excellent</v>
      </c>
      <c r="R446" s="3">
        <f t="shared" si="57"/>
        <v>3743</v>
      </c>
      <c r="S446" s="7">
        <f t="shared" si="58"/>
        <v>26201</v>
      </c>
      <c r="T446" s="3" t="str">
        <f t="shared" si="59"/>
        <v>High Profit</v>
      </c>
      <c r="U446" s="3" t="str">
        <f t="shared" si="60"/>
        <v>Medium Discount</v>
      </c>
      <c r="V446" s="3" t="str">
        <f t="shared" si="61"/>
        <v>Priority D</v>
      </c>
      <c r="W446">
        <f t="shared" si="62"/>
        <v>42433.65</v>
      </c>
      <c r="X446" t="s">
        <v>23</v>
      </c>
      <c r="Y446" t="s">
        <v>23</v>
      </c>
      <c r="Z446" t="s">
        <v>23</v>
      </c>
      <c r="AA446" t="s">
        <v>23</v>
      </c>
      <c r="AB446" t="s">
        <v>23</v>
      </c>
      <c r="AC446" t="s">
        <v>23</v>
      </c>
      <c r="AD446" t="s">
        <v>23</v>
      </c>
      <c r="AE446" t="s">
        <v>23</v>
      </c>
      <c r="AF446" t="s">
        <v>23</v>
      </c>
      <c r="AG446" t="s">
        <v>23</v>
      </c>
      <c r="AH446" t="s">
        <v>23</v>
      </c>
      <c r="AI446" t="s">
        <v>23</v>
      </c>
      <c r="AJ446" t="s">
        <v>23</v>
      </c>
    </row>
    <row r="447" spans="1:36" x14ac:dyDescent="0.35">
      <c r="A447" s="2">
        <v>1445</v>
      </c>
      <c r="B447" s="4">
        <v>45267</v>
      </c>
      <c r="C447" s="1" t="s">
        <v>34</v>
      </c>
      <c r="D447" s="1" t="s">
        <v>31</v>
      </c>
      <c r="E447">
        <v>387188</v>
      </c>
      <c r="F447">
        <v>12</v>
      </c>
      <c r="G447" s="1" t="s">
        <v>39</v>
      </c>
      <c r="H447">
        <v>49149</v>
      </c>
      <c r="I447">
        <v>52348</v>
      </c>
      <c r="J447" s="1" t="s">
        <v>33</v>
      </c>
      <c r="K447" s="3">
        <v>8</v>
      </c>
      <c r="L447" s="1" t="s">
        <v>36</v>
      </c>
      <c r="M447" s="1" t="s">
        <v>29</v>
      </c>
      <c r="N447" s="3">
        <v>2024010123</v>
      </c>
      <c r="O447" s="3">
        <f t="shared" si="54"/>
        <v>1.23</v>
      </c>
      <c r="P447" s="6">
        <f t="shared" si="55"/>
        <v>476241.24</v>
      </c>
      <c r="Q447" s="3" t="str">
        <f t="shared" si="56"/>
        <v>Excellent</v>
      </c>
      <c r="R447" s="3">
        <f t="shared" si="57"/>
        <v>3199</v>
      </c>
      <c r="S447" s="7">
        <f t="shared" si="58"/>
        <v>38388</v>
      </c>
      <c r="T447" s="3" t="str">
        <f t="shared" si="59"/>
        <v>High Profit</v>
      </c>
      <c r="U447" s="3" t="str">
        <f t="shared" si="60"/>
        <v>Medium Discount</v>
      </c>
      <c r="V447" s="3" t="str">
        <f t="shared" si="61"/>
        <v>Priority D</v>
      </c>
      <c r="W447">
        <f t="shared" si="62"/>
        <v>38718.800000000003</v>
      </c>
      <c r="X447" t="s">
        <v>23</v>
      </c>
      <c r="Y447" t="s">
        <v>23</v>
      </c>
      <c r="Z447" t="s">
        <v>23</v>
      </c>
      <c r="AA447" t="s">
        <v>23</v>
      </c>
      <c r="AB447" t="s">
        <v>23</v>
      </c>
      <c r="AC447" t="s">
        <v>23</v>
      </c>
      <c r="AD447" t="s">
        <v>23</v>
      </c>
      <c r="AE447" t="s">
        <v>23</v>
      </c>
      <c r="AF447" t="s">
        <v>23</v>
      </c>
      <c r="AG447" t="s">
        <v>23</v>
      </c>
      <c r="AH447" t="s">
        <v>23</v>
      </c>
      <c r="AI447" t="s">
        <v>23</v>
      </c>
      <c r="AJ447" t="s">
        <v>23</v>
      </c>
    </row>
    <row r="448" spans="1:36" x14ac:dyDescent="0.35">
      <c r="A448" s="2">
        <v>1446</v>
      </c>
      <c r="B448" s="4">
        <v>45216</v>
      </c>
      <c r="C448" s="1" t="s">
        <v>41</v>
      </c>
      <c r="D448" s="1" t="s">
        <v>42</v>
      </c>
      <c r="E448">
        <v>477194</v>
      </c>
      <c r="F448">
        <v>12</v>
      </c>
      <c r="G448" s="1" t="s">
        <v>35</v>
      </c>
      <c r="H448">
        <v>33201</v>
      </c>
      <c r="I448">
        <v>35430</v>
      </c>
      <c r="J448" s="1" t="s">
        <v>33</v>
      </c>
      <c r="K448" s="3">
        <v>26</v>
      </c>
      <c r="L448" s="1" t="s">
        <v>40</v>
      </c>
      <c r="M448" s="1" t="s">
        <v>37</v>
      </c>
      <c r="N448" s="3">
        <v>2024010123</v>
      </c>
      <c r="O448" s="3">
        <f t="shared" si="54"/>
        <v>1.23</v>
      </c>
      <c r="P448" s="6">
        <f t="shared" si="55"/>
        <v>586948.62</v>
      </c>
      <c r="Q448" s="3" t="str">
        <f t="shared" si="56"/>
        <v>Excellent</v>
      </c>
      <c r="R448" s="3">
        <f t="shared" si="57"/>
        <v>2229</v>
      </c>
      <c r="S448" s="7">
        <f t="shared" si="58"/>
        <v>26748</v>
      </c>
      <c r="T448" s="3" t="str">
        <f t="shared" si="59"/>
        <v>High Profit</v>
      </c>
      <c r="U448" s="3" t="str">
        <f t="shared" si="60"/>
        <v>High Discount</v>
      </c>
      <c r="V448" s="3" t="str">
        <f t="shared" si="61"/>
        <v>Priority C</v>
      </c>
      <c r="W448">
        <f t="shared" si="62"/>
        <v>47719.4</v>
      </c>
      <c r="X448" t="s">
        <v>23</v>
      </c>
      <c r="Y448" t="s">
        <v>23</v>
      </c>
      <c r="Z448" t="s">
        <v>23</v>
      </c>
      <c r="AA448" t="s">
        <v>23</v>
      </c>
      <c r="AB448" t="s">
        <v>23</v>
      </c>
      <c r="AC448" t="s">
        <v>23</v>
      </c>
      <c r="AD448" t="s">
        <v>23</v>
      </c>
      <c r="AE448" t="s">
        <v>23</v>
      </c>
      <c r="AF448" t="s">
        <v>23</v>
      </c>
      <c r="AG448" t="s">
        <v>23</v>
      </c>
      <c r="AH448" t="s">
        <v>23</v>
      </c>
      <c r="AI448" t="s">
        <v>23</v>
      </c>
      <c r="AJ448" t="s">
        <v>23</v>
      </c>
    </row>
    <row r="449" spans="1:36" x14ac:dyDescent="0.35">
      <c r="A449" s="2">
        <v>1447</v>
      </c>
      <c r="B449" s="4">
        <v>44928</v>
      </c>
      <c r="C449" s="1" t="s">
        <v>24</v>
      </c>
      <c r="D449" s="1" t="s">
        <v>25</v>
      </c>
      <c r="E449">
        <v>407974</v>
      </c>
      <c r="F449">
        <v>4</v>
      </c>
      <c r="G449" s="1" t="s">
        <v>26</v>
      </c>
      <c r="H449">
        <v>26797</v>
      </c>
      <c r="I449">
        <v>29244</v>
      </c>
      <c r="J449" s="1" t="s">
        <v>27</v>
      </c>
      <c r="K449" s="3">
        <v>16</v>
      </c>
      <c r="L449" s="1" t="s">
        <v>40</v>
      </c>
      <c r="M449" s="1" t="s">
        <v>37</v>
      </c>
      <c r="N449" s="3">
        <v>2024010123</v>
      </c>
      <c r="O449" s="3">
        <f t="shared" si="54"/>
        <v>1.23</v>
      </c>
      <c r="P449" s="6">
        <f t="shared" si="55"/>
        <v>501808.02</v>
      </c>
      <c r="Q449" s="3" t="str">
        <f t="shared" si="56"/>
        <v>Excellent</v>
      </c>
      <c r="R449" s="3">
        <f t="shared" si="57"/>
        <v>2447</v>
      </c>
      <c r="S449" s="7">
        <f t="shared" si="58"/>
        <v>9788</v>
      </c>
      <c r="T449" s="3" t="str">
        <f t="shared" si="59"/>
        <v>High Profit</v>
      </c>
      <c r="U449" s="3" t="str">
        <f t="shared" si="60"/>
        <v>High Discount</v>
      </c>
      <c r="V449" s="3" t="str">
        <f t="shared" si="61"/>
        <v>Priority C</v>
      </c>
      <c r="W449">
        <f t="shared" si="62"/>
        <v>61196.1</v>
      </c>
      <c r="X449" t="s">
        <v>23</v>
      </c>
      <c r="Y449" t="s">
        <v>23</v>
      </c>
      <c r="Z449" t="s">
        <v>23</v>
      </c>
      <c r="AA449" t="s">
        <v>23</v>
      </c>
      <c r="AB449" t="s">
        <v>23</v>
      </c>
      <c r="AC449" t="s">
        <v>23</v>
      </c>
      <c r="AD449" t="s">
        <v>23</v>
      </c>
      <c r="AE449" t="s">
        <v>23</v>
      </c>
      <c r="AF449" t="s">
        <v>23</v>
      </c>
      <c r="AG449" t="s">
        <v>23</v>
      </c>
      <c r="AH449" t="s">
        <v>23</v>
      </c>
      <c r="AI449" t="s">
        <v>23</v>
      </c>
      <c r="AJ449" t="s">
        <v>23</v>
      </c>
    </row>
    <row r="450" spans="1:36" x14ac:dyDescent="0.35">
      <c r="A450" s="2">
        <v>1448</v>
      </c>
      <c r="B450" s="4">
        <v>45068</v>
      </c>
      <c r="C450" s="1" t="s">
        <v>38</v>
      </c>
      <c r="D450" s="1" t="s">
        <v>42</v>
      </c>
      <c r="E450">
        <v>124245</v>
      </c>
      <c r="F450">
        <v>12</v>
      </c>
      <c r="G450" s="1" t="s">
        <v>39</v>
      </c>
      <c r="H450">
        <v>52627</v>
      </c>
      <c r="I450">
        <v>57518</v>
      </c>
      <c r="J450" s="1" t="s">
        <v>33</v>
      </c>
      <c r="K450" s="3">
        <v>28</v>
      </c>
      <c r="L450" s="1" t="s">
        <v>40</v>
      </c>
      <c r="M450" s="1" t="s">
        <v>37</v>
      </c>
      <c r="N450" s="3">
        <v>2024010123</v>
      </c>
      <c r="O450" s="3">
        <f t="shared" si="54"/>
        <v>1.23</v>
      </c>
      <c r="P450" s="6">
        <f t="shared" si="55"/>
        <v>152821.35</v>
      </c>
      <c r="Q450" s="3" t="str">
        <f t="shared" si="56"/>
        <v>Excellent</v>
      </c>
      <c r="R450" s="3">
        <f t="shared" si="57"/>
        <v>4891</v>
      </c>
      <c r="S450" s="7">
        <f t="shared" si="58"/>
        <v>58692</v>
      </c>
      <c r="T450" s="3" t="str">
        <f t="shared" si="59"/>
        <v>High Profit</v>
      </c>
      <c r="U450" s="3" t="str">
        <f t="shared" si="60"/>
        <v>High Discount</v>
      </c>
      <c r="V450" s="3" t="str">
        <f t="shared" si="61"/>
        <v>Priority C</v>
      </c>
      <c r="W450">
        <f t="shared" si="62"/>
        <v>12424.5</v>
      </c>
      <c r="X450" t="s">
        <v>23</v>
      </c>
      <c r="Y450" t="s">
        <v>23</v>
      </c>
      <c r="Z450" t="s">
        <v>23</v>
      </c>
      <c r="AA450" t="s">
        <v>23</v>
      </c>
      <c r="AB450" t="s">
        <v>23</v>
      </c>
      <c r="AC450" t="s">
        <v>23</v>
      </c>
      <c r="AD450" t="s">
        <v>23</v>
      </c>
      <c r="AE450" t="s">
        <v>23</v>
      </c>
      <c r="AF450" t="s">
        <v>23</v>
      </c>
      <c r="AG450" t="s">
        <v>23</v>
      </c>
      <c r="AH450" t="s">
        <v>23</v>
      </c>
      <c r="AI450" t="s">
        <v>23</v>
      </c>
      <c r="AJ450" t="s">
        <v>23</v>
      </c>
    </row>
    <row r="451" spans="1:36" x14ac:dyDescent="0.35">
      <c r="A451" s="2">
        <v>1449</v>
      </c>
      <c r="B451" s="4">
        <v>45029</v>
      </c>
      <c r="C451" s="1" t="s">
        <v>34</v>
      </c>
      <c r="D451" s="1" t="s">
        <v>25</v>
      </c>
      <c r="E451">
        <v>159916</v>
      </c>
      <c r="F451">
        <v>12</v>
      </c>
      <c r="G451" s="1" t="s">
        <v>26</v>
      </c>
      <c r="H451">
        <v>42957</v>
      </c>
      <c r="I451">
        <v>46228</v>
      </c>
      <c r="J451" s="1" t="s">
        <v>27</v>
      </c>
      <c r="K451" s="3">
        <v>23</v>
      </c>
      <c r="L451" s="1" t="s">
        <v>28</v>
      </c>
      <c r="M451" s="1" t="s">
        <v>37</v>
      </c>
      <c r="N451" s="3">
        <v>2024010123</v>
      </c>
      <c r="O451" s="3">
        <f t="shared" ref="O451:O514" si="63">VALUE(RIGHT($N$2,3))/100</f>
        <v>1.23</v>
      </c>
      <c r="P451" s="6">
        <f t="shared" ref="P451:P514" si="64">E451*$O451</f>
        <v>196696.68</v>
      </c>
      <c r="Q451" s="3" t="str">
        <f t="shared" ref="Q451:Q514" si="65">IF(P451&gt;=5000,"Excellent",
   IF(P451&gt;=3000,"Good",
      IF(P451&gt;=1500,"Average","Below Average")))</f>
        <v>Excellent</v>
      </c>
      <c r="R451" s="3">
        <f t="shared" ref="R451:R514" si="66">I451-H451</f>
        <v>3271</v>
      </c>
      <c r="S451" s="7">
        <f t="shared" ref="S451:S514" si="67">R451*F451</f>
        <v>39252</v>
      </c>
      <c r="T451" s="3" t="str">
        <f t="shared" ref="T451:T514" si="68">IF(S451&gt;=1000,"High Profit",
   IF(S451&gt;=500,"Medium Profit","Low Profit"))</f>
        <v>High Profit</v>
      </c>
      <c r="U451" s="3" t="str">
        <f t="shared" ref="U451:U514" si="69">_xlfn.LET(
  _xlpm.d0, K451,
  _xlpm.d, IF(_xlpm.d0&gt;=1, _xlpm.d0/100, _xlpm.d0),
  IF(_xlpm.d&gt;=0.15, "High Discount",
     IF(_xlpm.d&gt;=0.05, "Medium Discount",
        IF(_xlpm.d&gt;0, "Low Discount", "No Discount")))
)</f>
        <v>High Discount</v>
      </c>
      <c r="V451" s="3" t="str">
        <f t="shared" ref="V451:V514" si="70">IF(AND(G451="Electronics",F451&gt;=30,M451="Online"),"Priority A",
   IF(AND(OR(G451="Furniture",G451="Electronics"),F451&gt;=20),"Priority B",
      IF(OR(M451="Online",F451&gt;=15),"Priority C","Priority D")))</f>
        <v>Priority C</v>
      </c>
      <c r="W451">
        <f t="shared" ref="W451:W514" si="71">IF(AND(Q451="Excellent",J451="Returning",T451="High Profit"),E451*0.15,
   IF(AND(Q451="Excellent",J451="New"),E451*0.1,
      IF(AND(OR(Q451="Good",Q451="Excellent"),L451="Cash"),E451*0.08,
         IF(AND(Q451="Good",T451="High Profit"),E451*0.06,
            IF(Q451="Average",E451*0.03,
               IF(Q451="Below Average",E451*0.01,0))))))</f>
        <v>23987.399999999998</v>
      </c>
      <c r="X451" t="s">
        <v>23</v>
      </c>
      <c r="Y451" t="s">
        <v>23</v>
      </c>
      <c r="Z451" t="s">
        <v>23</v>
      </c>
      <c r="AA451" t="s">
        <v>23</v>
      </c>
      <c r="AB451" t="s">
        <v>23</v>
      </c>
      <c r="AC451" t="s">
        <v>23</v>
      </c>
      <c r="AD451" t="s">
        <v>23</v>
      </c>
      <c r="AE451" t="s">
        <v>23</v>
      </c>
      <c r="AF451" t="s">
        <v>23</v>
      </c>
      <c r="AG451" t="s">
        <v>23</v>
      </c>
      <c r="AH451" t="s">
        <v>23</v>
      </c>
      <c r="AI451" t="s">
        <v>23</v>
      </c>
      <c r="AJ451" t="s">
        <v>23</v>
      </c>
    </row>
    <row r="452" spans="1:36" x14ac:dyDescent="0.35">
      <c r="A452" s="2">
        <v>1450</v>
      </c>
      <c r="B452" s="4">
        <v>45269</v>
      </c>
      <c r="C452" s="1" t="s">
        <v>30</v>
      </c>
      <c r="D452" s="1" t="s">
        <v>31</v>
      </c>
      <c r="E452">
        <v>407611</v>
      </c>
      <c r="F452">
        <v>36</v>
      </c>
      <c r="G452" s="1" t="s">
        <v>39</v>
      </c>
      <c r="H452">
        <v>28255</v>
      </c>
      <c r="I452">
        <v>37447</v>
      </c>
      <c r="J452" s="1" t="s">
        <v>33</v>
      </c>
      <c r="K452" s="3">
        <v>0</v>
      </c>
      <c r="L452" s="1" t="s">
        <v>28</v>
      </c>
      <c r="M452" s="1" t="s">
        <v>37</v>
      </c>
      <c r="N452" s="3">
        <v>2024010123</v>
      </c>
      <c r="O452" s="3">
        <f t="shared" si="63"/>
        <v>1.23</v>
      </c>
      <c r="P452" s="6">
        <f t="shared" si="64"/>
        <v>501361.52999999997</v>
      </c>
      <c r="Q452" s="3" t="str">
        <f t="shared" si="65"/>
        <v>Excellent</v>
      </c>
      <c r="R452" s="3">
        <f t="shared" si="66"/>
        <v>9192</v>
      </c>
      <c r="S452" s="7">
        <f t="shared" si="67"/>
        <v>330912</v>
      </c>
      <c r="T452" s="3" t="str">
        <f t="shared" si="68"/>
        <v>High Profit</v>
      </c>
      <c r="U452" s="3" t="str">
        <f t="shared" si="69"/>
        <v>No Discount</v>
      </c>
      <c r="V452" s="3" t="str">
        <f t="shared" si="70"/>
        <v>Priority A</v>
      </c>
      <c r="W452">
        <f t="shared" si="71"/>
        <v>40761.100000000006</v>
      </c>
      <c r="X452" t="s">
        <v>23</v>
      </c>
      <c r="Y452" t="s">
        <v>23</v>
      </c>
      <c r="Z452" t="s">
        <v>23</v>
      </c>
      <c r="AA452" t="s">
        <v>23</v>
      </c>
      <c r="AB452" t="s">
        <v>23</v>
      </c>
      <c r="AC452" t="s">
        <v>23</v>
      </c>
      <c r="AD452" t="s">
        <v>23</v>
      </c>
      <c r="AE452" t="s">
        <v>23</v>
      </c>
      <c r="AF452" t="s">
        <v>23</v>
      </c>
      <c r="AG452" t="s">
        <v>23</v>
      </c>
      <c r="AH452" t="s">
        <v>23</v>
      </c>
      <c r="AI452" t="s">
        <v>23</v>
      </c>
      <c r="AJ452" t="s">
        <v>23</v>
      </c>
    </row>
    <row r="453" spans="1:36" x14ac:dyDescent="0.35">
      <c r="A453" s="2">
        <v>1451</v>
      </c>
      <c r="B453" s="4">
        <v>44937</v>
      </c>
      <c r="C453" s="1" t="s">
        <v>30</v>
      </c>
      <c r="D453" s="1" t="s">
        <v>42</v>
      </c>
      <c r="E453">
        <v>590790</v>
      </c>
      <c r="F453">
        <v>12</v>
      </c>
      <c r="G453" s="1" t="s">
        <v>32</v>
      </c>
      <c r="H453">
        <v>17051</v>
      </c>
      <c r="I453">
        <v>26611</v>
      </c>
      <c r="J453" s="1" t="s">
        <v>33</v>
      </c>
      <c r="K453" s="3">
        <v>4</v>
      </c>
      <c r="L453" s="1" t="s">
        <v>28</v>
      </c>
      <c r="M453" s="1" t="s">
        <v>29</v>
      </c>
      <c r="N453" s="3">
        <v>2024010123</v>
      </c>
      <c r="O453" s="3">
        <f t="shared" si="63"/>
        <v>1.23</v>
      </c>
      <c r="P453" s="6">
        <f t="shared" si="64"/>
        <v>726671.7</v>
      </c>
      <c r="Q453" s="3" t="str">
        <f t="shared" si="65"/>
        <v>Excellent</v>
      </c>
      <c r="R453" s="3">
        <f t="shared" si="66"/>
        <v>9560</v>
      </c>
      <c r="S453" s="7">
        <f t="shared" si="67"/>
        <v>114720</v>
      </c>
      <c r="T453" s="3" t="str">
        <f t="shared" si="68"/>
        <v>High Profit</v>
      </c>
      <c r="U453" s="3" t="str">
        <f t="shared" si="69"/>
        <v>Low Discount</v>
      </c>
      <c r="V453" s="3" t="str">
        <f t="shared" si="70"/>
        <v>Priority D</v>
      </c>
      <c r="W453">
        <f t="shared" si="71"/>
        <v>59079</v>
      </c>
      <c r="X453" t="s">
        <v>23</v>
      </c>
      <c r="Y453" t="s">
        <v>23</v>
      </c>
      <c r="Z453" t="s">
        <v>23</v>
      </c>
      <c r="AA453" t="s">
        <v>23</v>
      </c>
      <c r="AB453" t="s">
        <v>23</v>
      </c>
      <c r="AC453" t="s">
        <v>23</v>
      </c>
      <c r="AD453" t="s">
        <v>23</v>
      </c>
      <c r="AE453" t="s">
        <v>23</v>
      </c>
      <c r="AF453" t="s">
        <v>23</v>
      </c>
      <c r="AG453" t="s">
        <v>23</v>
      </c>
      <c r="AH453" t="s">
        <v>23</v>
      </c>
      <c r="AI453" t="s">
        <v>23</v>
      </c>
      <c r="AJ453" t="s">
        <v>23</v>
      </c>
    </row>
    <row r="454" spans="1:36" x14ac:dyDescent="0.35">
      <c r="A454" s="2">
        <v>1452</v>
      </c>
      <c r="B454" s="4">
        <v>45020</v>
      </c>
      <c r="C454" s="1" t="s">
        <v>34</v>
      </c>
      <c r="D454" s="1" t="s">
        <v>25</v>
      </c>
      <c r="E454">
        <v>764067</v>
      </c>
      <c r="F454">
        <v>12</v>
      </c>
      <c r="G454" s="1" t="s">
        <v>26</v>
      </c>
      <c r="H454">
        <v>10026</v>
      </c>
      <c r="I454">
        <v>22963</v>
      </c>
      <c r="J454" s="1" t="s">
        <v>27</v>
      </c>
      <c r="K454" s="3">
        <v>2</v>
      </c>
      <c r="L454" s="1" t="s">
        <v>28</v>
      </c>
      <c r="M454" s="1" t="s">
        <v>37</v>
      </c>
      <c r="N454" s="3">
        <v>2024010123</v>
      </c>
      <c r="O454" s="3">
        <f t="shared" si="63"/>
        <v>1.23</v>
      </c>
      <c r="P454" s="6">
        <f t="shared" si="64"/>
        <v>939802.41</v>
      </c>
      <c r="Q454" s="3" t="str">
        <f t="shared" si="65"/>
        <v>Excellent</v>
      </c>
      <c r="R454" s="3">
        <f t="shared" si="66"/>
        <v>12937</v>
      </c>
      <c r="S454" s="7">
        <f t="shared" si="67"/>
        <v>155244</v>
      </c>
      <c r="T454" s="3" t="str">
        <f t="shared" si="68"/>
        <v>High Profit</v>
      </c>
      <c r="U454" s="3" t="str">
        <f t="shared" si="69"/>
        <v>Low Discount</v>
      </c>
      <c r="V454" s="3" t="str">
        <f t="shared" si="70"/>
        <v>Priority C</v>
      </c>
      <c r="W454">
        <f t="shared" si="71"/>
        <v>114610.05</v>
      </c>
      <c r="X454" t="s">
        <v>23</v>
      </c>
      <c r="Y454" t="s">
        <v>23</v>
      </c>
      <c r="Z454" t="s">
        <v>23</v>
      </c>
      <c r="AA454" t="s">
        <v>23</v>
      </c>
      <c r="AB454" t="s">
        <v>23</v>
      </c>
      <c r="AC454" t="s">
        <v>23</v>
      </c>
      <c r="AD454" t="s">
        <v>23</v>
      </c>
      <c r="AE454" t="s">
        <v>23</v>
      </c>
      <c r="AF454" t="s">
        <v>23</v>
      </c>
      <c r="AG454" t="s">
        <v>23</v>
      </c>
      <c r="AH454" t="s">
        <v>23</v>
      </c>
      <c r="AI454" t="s">
        <v>23</v>
      </c>
      <c r="AJ454" t="s">
        <v>23</v>
      </c>
    </row>
    <row r="455" spans="1:36" x14ac:dyDescent="0.35">
      <c r="A455" s="2">
        <v>1453</v>
      </c>
      <c r="B455" s="4">
        <v>45072</v>
      </c>
      <c r="C455" s="1" t="s">
        <v>30</v>
      </c>
      <c r="D455" s="1" t="s">
        <v>43</v>
      </c>
      <c r="E455">
        <v>455291</v>
      </c>
      <c r="F455">
        <v>23</v>
      </c>
      <c r="G455" s="1" t="s">
        <v>32</v>
      </c>
      <c r="H455">
        <v>12235</v>
      </c>
      <c r="I455">
        <v>25982</v>
      </c>
      <c r="J455" s="1" t="s">
        <v>33</v>
      </c>
      <c r="K455" s="3">
        <v>12</v>
      </c>
      <c r="L455" s="1" t="s">
        <v>40</v>
      </c>
      <c r="M455" s="1" t="s">
        <v>37</v>
      </c>
      <c r="N455" s="3">
        <v>2024010123</v>
      </c>
      <c r="O455" s="3">
        <f t="shared" si="63"/>
        <v>1.23</v>
      </c>
      <c r="P455" s="6">
        <f t="shared" si="64"/>
        <v>560007.92999999993</v>
      </c>
      <c r="Q455" s="3" t="str">
        <f t="shared" si="65"/>
        <v>Excellent</v>
      </c>
      <c r="R455" s="3">
        <f t="shared" si="66"/>
        <v>13747</v>
      </c>
      <c r="S455" s="7">
        <f t="shared" si="67"/>
        <v>316181</v>
      </c>
      <c r="T455" s="3" t="str">
        <f t="shared" si="68"/>
        <v>High Profit</v>
      </c>
      <c r="U455" s="3" t="str">
        <f t="shared" si="69"/>
        <v>Medium Discount</v>
      </c>
      <c r="V455" s="3" t="str">
        <f t="shared" si="70"/>
        <v>Priority B</v>
      </c>
      <c r="W455">
        <f t="shared" si="71"/>
        <v>45529.100000000006</v>
      </c>
      <c r="X455" t="s">
        <v>23</v>
      </c>
      <c r="Y455" t="s">
        <v>23</v>
      </c>
      <c r="Z455" t="s">
        <v>23</v>
      </c>
      <c r="AA455" t="s">
        <v>23</v>
      </c>
      <c r="AB455" t="s">
        <v>23</v>
      </c>
      <c r="AC455" t="s">
        <v>23</v>
      </c>
      <c r="AD455" t="s">
        <v>23</v>
      </c>
      <c r="AE455" t="s">
        <v>23</v>
      </c>
      <c r="AF455" t="s">
        <v>23</v>
      </c>
      <c r="AG455" t="s">
        <v>23</v>
      </c>
      <c r="AH455" t="s">
        <v>23</v>
      </c>
      <c r="AI455" t="s">
        <v>23</v>
      </c>
      <c r="AJ455" t="s">
        <v>23</v>
      </c>
    </row>
    <row r="456" spans="1:36" x14ac:dyDescent="0.35">
      <c r="A456" s="2">
        <v>1454</v>
      </c>
      <c r="B456" s="4">
        <v>45086</v>
      </c>
      <c r="C456" s="1" t="s">
        <v>38</v>
      </c>
      <c r="D456" s="1" t="s">
        <v>43</v>
      </c>
      <c r="E456">
        <v>242803</v>
      </c>
      <c r="F456">
        <v>48</v>
      </c>
      <c r="G456" s="1" t="s">
        <v>26</v>
      </c>
      <c r="H456">
        <v>12995</v>
      </c>
      <c r="I456">
        <v>21596</v>
      </c>
      <c r="J456" s="1" t="s">
        <v>27</v>
      </c>
      <c r="K456" s="3">
        <v>13</v>
      </c>
      <c r="L456" s="1" t="s">
        <v>28</v>
      </c>
      <c r="M456" s="1" t="s">
        <v>29</v>
      </c>
      <c r="N456" s="3">
        <v>2024010123</v>
      </c>
      <c r="O456" s="3">
        <f t="shared" si="63"/>
        <v>1.23</v>
      </c>
      <c r="P456" s="6">
        <f t="shared" si="64"/>
        <v>298647.69</v>
      </c>
      <c r="Q456" s="3" t="str">
        <f t="shared" si="65"/>
        <v>Excellent</v>
      </c>
      <c r="R456" s="3">
        <f t="shared" si="66"/>
        <v>8601</v>
      </c>
      <c r="S456" s="7">
        <f t="shared" si="67"/>
        <v>412848</v>
      </c>
      <c r="T456" s="3" t="str">
        <f t="shared" si="68"/>
        <v>High Profit</v>
      </c>
      <c r="U456" s="3" t="str">
        <f t="shared" si="69"/>
        <v>Medium Discount</v>
      </c>
      <c r="V456" s="3" t="str">
        <f t="shared" si="70"/>
        <v>Priority C</v>
      </c>
      <c r="W456">
        <f t="shared" si="71"/>
        <v>36420.449999999997</v>
      </c>
      <c r="X456" t="s">
        <v>23</v>
      </c>
      <c r="Y456" t="s">
        <v>23</v>
      </c>
      <c r="Z456" t="s">
        <v>23</v>
      </c>
      <c r="AA456" t="s">
        <v>23</v>
      </c>
      <c r="AB456" t="s">
        <v>23</v>
      </c>
      <c r="AC456" t="s">
        <v>23</v>
      </c>
      <c r="AD456" t="s">
        <v>23</v>
      </c>
      <c r="AE456" t="s">
        <v>23</v>
      </c>
      <c r="AF456" t="s">
        <v>23</v>
      </c>
      <c r="AG456" t="s">
        <v>23</v>
      </c>
      <c r="AH456" t="s">
        <v>23</v>
      </c>
      <c r="AI456" t="s">
        <v>23</v>
      </c>
      <c r="AJ456" t="s">
        <v>23</v>
      </c>
    </row>
    <row r="457" spans="1:36" x14ac:dyDescent="0.35">
      <c r="A457" s="2">
        <v>1455</v>
      </c>
      <c r="B457" s="4">
        <v>45159</v>
      </c>
      <c r="C457" s="1" t="s">
        <v>38</v>
      </c>
      <c r="D457" s="1" t="s">
        <v>31</v>
      </c>
      <c r="E457">
        <v>259670</v>
      </c>
      <c r="F457">
        <v>17</v>
      </c>
      <c r="G457" s="1" t="s">
        <v>32</v>
      </c>
      <c r="H457">
        <v>22631</v>
      </c>
      <c r="I457">
        <v>31410</v>
      </c>
      <c r="J457" s="1" t="s">
        <v>33</v>
      </c>
      <c r="K457" s="3">
        <v>7</v>
      </c>
      <c r="L457" s="1" t="s">
        <v>40</v>
      </c>
      <c r="M457" s="1" t="s">
        <v>29</v>
      </c>
      <c r="N457" s="3">
        <v>2024010123</v>
      </c>
      <c r="O457" s="3">
        <f t="shared" si="63"/>
        <v>1.23</v>
      </c>
      <c r="P457" s="6">
        <f t="shared" si="64"/>
        <v>319394.09999999998</v>
      </c>
      <c r="Q457" s="3" t="str">
        <f t="shared" si="65"/>
        <v>Excellent</v>
      </c>
      <c r="R457" s="3">
        <f t="shared" si="66"/>
        <v>8779</v>
      </c>
      <c r="S457" s="7">
        <f t="shared" si="67"/>
        <v>149243</v>
      </c>
      <c r="T457" s="3" t="str">
        <f t="shared" si="68"/>
        <v>High Profit</v>
      </c>
      <c r="U457" s="3" t="str">
        <f t="shared" si="69"/>
        <v>Medium Discount</v>
      </c>
      <c r="V457" s="3" t="str">
        <f t="shared" si="70"/>
        <v>Priority C</v>
      </c>
      <c r="W457">
        <f t="shared" si="71"/>
        <v>25967</v>
      </c>
      <c r="X457" t="s">
        <v>23</v>
      </c>
      <c r="Y457" t="s">
        <v>23</v>
      </c>
      <c r="Z457" t="s">
        <v>23</v>
      </c>
      <c r="AA457" t="s">
        <v>23</v>
      </c>
      <c r="AB457" t="s">
        <v>23</v>
      </c>
      <c r="AC457" t="s">
        <v>23</v>
      </c>
      <c r="AD457" t="s">
        <v>23</v>
      </c>
      <c r="AE457" t="s">
        <v>23</v>
      </c>
      <c r="AF457" t="s">
        <v>23</v>
      </c>
      <c r="AG457" t="s">
        <v>23</v>
      </c>
      <c r="AH457" t="s">
        <v>23</v>
      </c>
      <c r="AI457" t="s">
        <v>23</v>
      </c>
      <c r="AJ457" t="s">
        <v>23</v>
      </c>
    </row>
    <row r="458" spans="1:36" x14ac:dyDescent="0.35">
      <c r="A458" s="2">
        <v>1456</v>
      </c>
      <c r="B458" s="4">
        <v>45278</v>
      </c>
      <c r="C458" s="1" t="s">
        <v>34</v>
      </c>
      <c r="D458" s="1" t="s">
        <v>43</v>
      </c>
      <c r="E458">
        <v>687357</v>
      </c>
      <c r="F458">
        <v>49</v>
      </c>
      <c r="G458" s="1" t="s">
        <v>32</v>
      </c>
      <c r="H458">
        <v>23036</v>
      </c>
      <c r="I458">
        <v>31665</v>
      </c>
      <c r="J458" s="1" t="s">
        <v>33</v>
      </c>
      <c r="K458" s="3">
        <v>21</v>
      </c>
      <c r="L458" s="1" t="s">
        <v>28</v>
      </c>
      <c r="M458" s="1" t="s">
        <v>29</v>
      </c>
      <c r="N458" s="3">
        <v>2024010123</v>
      </c>
      <c r="O458" s="3">
        <f t="shared" si="63"/>
        <v>1.23</v>
      </c>
      <c r="P458" s="6">
        <f t="shared" si="64"/>
        <v>845449.11</v>
      </c>
      <c r="Q458" s="3" t="str">
        <f t="shared" si="65"/>
        <v>Excellent</v>
      </c>
      <c r="R458" s="3">
        <f t="shared" si="66"/>
        <v>8629</v>
      </c>
      <c r="S458" s="7">
        <f t="shared" si="67"/>
        <v>422821</v>
      </c>
      <c r="T458" s="3" t="str">
        <f t="shared" si="68"/>
        <v>High Profit</v>
      </c>
      <c r="U458" s="3" t="str">
        <f t="shared" si="69"/>
        <v>High Discount</v>
      </c>
      <c r="V458" s="3" t="str">
        <f t="shared" si="70"/>
        <v>Priority B</v>
      </c>
      <c r="W458">
        <f t="shared" si="71"/>
        <v>68735.7</v>
      </c>
      <c r="X458" t="s">
        <v>23</v>
      </c>
      <c r="Y458" t="s">
        <v>23</v>
      </c>
      <c r="Z458" t="s">
        <v>23</v>
      </c>
      <c r="AA458" t="s">
        <v>23</v>
      </c>
      <c r="AB458" t="s">
        <v>23</v>
      </c>
      <c r="AC458" t="s">
        <v>23</v>
      </c>
      <c r="AD458" t="s">
        <v>23</v>
      </c>
      <c r="AE458" t="s">
        <v>23</v>
      </c>
      <c r="AF458" t="s">
        <v>23</v>
      </c>
      <c r="AG458" t="s">
        <v>23</v>
      </c>
      <c r="AH458" t="s">
        <v>23</v>
      </c>
      <c r="AI458" t="s">
        <v>23</v>
      </c>
      <c r="AJ458" t="s">
        <v>23</v>
      </c>
    </row>
    <row r="459" spans="1:36" x14ac:dyDescent="0.35">
      <c r="A459" s="2">
        <v>1457</v>
      </c>
      <c r="B459" s="4">
        <v>45080</v>
      </c>
      <c r="C459" s="1" t="s">
        <v>34</v>
      </c>
      <c r="D459" s="1" t="s">
        <v>42</v>
      </c>
      <c r="E459">
        <v>96644</v>
      </c>
      <c r="F459">
        <v>12</v>
      </c>
      <c r="G459" s="1" t="s">
        <v>32</v>
      </c>
      <c r="H459">
        <v>10589</v>
      </c>
      <c r="I459">
        <v>17078</v>
      </c>
      <c r="J459" s="1" t="s">
        <v>27</v>
      </c>
      <c r="K459" s="3">
        <v>29</v>
      </c>
      <c r="L459" s="1" t="s">
        <v>36</v>
      </c>
      <c r="M459" s="1" t="s">
        <v>29</v>
      </c>
      <c r="N459" s="3">
        <v>2024010123</v>
      </c>
      <c r="O459" s="3">
        <f t="shared" si="63"/>
        <v>1.23</v>
      </c>
      <c r="P459" s="6">
        <f t="shared" si="64"/>
        <v>118872.12</v>
      </c>
      <c r="Q459" s="3" t="str">
        <f t="shared" si="65"/>
        <v>Excellent</v>
      </c>
      <c r="R459" s="3">
        <f t="shared" si="66"/>
        <v>6489</v>
      </c>
      <c r="S459" s="7">
        <f t="shared" si="67"/>
        <v>77868</v>
      </c>
      <c r="T459" s="3" t="str">
        <f t="shared" si="68"/>
        <v>High Profit</v>
      </c>
      <c r="U459" s="3" t="str">
        <f t="shared" si="69"/>
        <v>High Discount</v>
      </c>
      <c r="V459" s="3" t="str">
        <f t="shared" si="70"/>
        <v>Priority D</v>
      </c>
      <c r="W459">
        <f t="shared" si="71"/>
        <v>14496.6</v>
      </c>
      <c r="X459" t="s">
        <v>23</v>
      </c>
      <c r="Y459" t="s">
        <v>23</v>
      </c>
      <c r="Z459" t="s">
        <v>23</v>
      </c>
      <c r="AA459" t="s">
        <v>23</v>
      </c>
      <c r="AB459" t="s">
        <v>23</v>
      </c>
      <c r="AC459" t="s">
        <v>23</v>
      </c>
      <c r="AD459" t="s">
        <v>23</v>
      </c>
      <c r="AE459" t="s">
        <v>23</v>
      </c>
      <c r="AF459" t="s">
        <v>23</v>
      </c>
      <c r="AG459" t="s">
        <v>23</v>
      </c>
      <c r="AH459" t="s">
        <v>23</v>
      </c>
      <c r="AI459" t="s">
        <v>23</v>
      </c>
      <c r="AJ459" t="s">
        <v>23</v>
      </c>
    </row>
    <row r="460" spans="1:36" x14ac:dyDescent="0.35">
      <c r="A460" s="2">
        <v>1458</v>
      </c>
      <c r="B460" s="4">
        <v>45127</v>
      </c>
      <c r="C460" s="1" t="s">
        <v>30</v>
      </c>
      <c r="D460" s="1" t="s">
        <v>25</v>
      </c>
      <c r="E460">
        <v>978130</v>
      </c>
      <c r="F460">
        <v>36</v>
      </c>
      <c r="G460" s="1" t="s">
        <v>35</v>
      </c>
      <c r="H460">
        <v>11934</v>
      </c>
      <c r="I460">
        <v>22411</v>
      </c>
      <c r="J460" s="1" t="s">
        <v>27</v>
      </c>
      <c r="K460" s="3">
        <v>29</v>
      </c>
      <c r="L460" s="1" t="s">
        <v>28</v>
      </c>
      <c r="M460" s="1" t="s">
        <v>37</v>
      </c>
      <c r="N460" s="3">
        <v>2024010123</v>
      </c>
      <c r="O460" s="3">
        <f t="shared" si="63"/>
        <v>1.23</v>
      </c>
      <c r="P460" s="6">
        <f t="shared" si="64"/>
        <v>1203099.8999999999</v>
      </c>
      <c r="Q460" s="3" t="str">
        <f t="shared" si="65"/>
        <v>Excellent</v>
      </c>
      <c r="R460" s="3">
        <f t="shared" si="66"/>
        <v>10477</v>
      </c>
      <c r="S460" s="7">
        <f t="shared" si="67"/>
        <v>377172</v>
      </c>
      <c r="T460" s="3" t="str">
        <f t="shared" si="68"/>
        <v>High Profit</v>
      </c>
      <c r="U460" s="3" t="str">
        <f t="shared" si="69"/>
        <v>High Discount</v>
      </c>
      <c r="V460" s="3" t="str">
        <f t="shared" si="70"/>
        <v>Priority C</v>
      </c>
      <c r="W460">
        <f t="shared" si="71"/>
        <v>146719.5</v>
      </c>
      <c r="X460" t="s">
        <v>23</v>
      </c>
      <c r="Y460" t="s">
        <v>23</v>
      </c>
      <c r="Z460" t="s">
        <v>23</v>
      </c>
      <c r="AA460" t="s">
        <v>23</v>
      </c>
      <c r="AB460" t="s">
        <v>23</v>
      </c>
      <c r="AC460" t="s">
        <v>23</v>
      </c>
      <c r="AD460" t="s">
        <v>23</v>
      </c>
      <c r="AE460" t="s">
        <v>23</v>
      </c>
      <c r="AF460" t="s">
        <v>23</v>
      </c>
      <c r="AG460" t="s">
        <v>23</v>
      </c>
      <c r="AH460" t="s">
        <v>23</v>
      </c>
      <c r="AI460" t="s">
        <v>23</v>
      </c>
      <c r="AJ460" t="s">
        <v>23</v>
      </c>
    </row>
    <row r="461" spans="1:36" x14ac:dyDescent="0.35">
      <c r="A461" s="2">
        <v>1459</v>
      </c>
      <c r="B461" s="4">
        <v>44960</v>
      </c>
      <c r="C461" s="1" t="s">
        <v>41</v>
      </c>
      <c r="D461" s="1" t="s">
        <v>31</v>
      </c>
      <c r="E461">
        <v>810895</v>
      </c>
      <c r="F461">
        <v>12</v>
      </c>
      <c r="G461" s="1" t="s">
        <v>39</v>
      </c>
      <c r="H461">
        <v>19362</v>
      </c>
      <c r="I461">
        <v>29330</v>
      </c>
      <c r="J461" s="1" t="s">
        <v>27</v>
      </c>
      <c r="K461" s="3">
        <v>26</v>
      </c>
      <c r="L461" s="1" t="s">
        <v>28</v>
      </c>
      <c r="M461" s="1" t="s">
        <v>37</v>
      </c>
      <c r="N461" s="3">
        <v>2024010123</v>
      </c>
      <c r="O461" s="3">
        <f t="shared" si="63"/>
        <v>1.23</v>
      </c>
      <c r="P461" s="6">
        <f t="shared" si="64"/>
        <v>997400.85</v>
      </c>
      <c r="Q461" s="3" t="str">
        <f t="shared" si="65"/>
        <v>Excellent</v>
      </c>
      <c r="R461" s="3">
        <f t="shared" si="66"/>
        <v>9968</v>
      </c>
      <c r="S461" s="7">
        <f t="shared" si="67"/>
        <v>119616</v>
      </c>
      <c r="T461" s="3" t="str">
        <f t="shared" si="68"/>
        <v>High Profit</v>
      </c>
      <c r="U461" s="3" t="str">
        <f t="shared" si="69"/>
        <v>High Discount</v>
      </c>
      <c r="V461" s="3" t="str">
        <f t="shared" si="70"/>
        <v>Priority C</v>
      </c>
      <c r="W461">
        <f t="shared" si="71"/>
        <v>121634.25</v>
      </c>
      <c r="X461" t="s">
        <v>23</v>
      </c>
      <c r="Y461" t="s">
        <v>23</v>
      </c>
      <c r="Z461" t="s">
        <v>23</v>
      </c>
      <c r="AA461" t="s">
        <v>23</v>
      </c>
      <c r="AB461" t="s">
        <v>23</v>
      </c>
      <c r="AC461" t="s">
        <v>23</v>
      </c>
      <c r="AD461" t="s">
        <v>23</v>
      </c>
      <c r="AE461" t="s">
        <v>23</v>
      </c>
      <c r="AF461" t="s">
        <v>23</v>
      </c>
      <c r="AG461" t="s">
        <v>23</v>
      </c>
      <c r="AH461" t="s">
        <v>23</v>
      </c>
      <c r="AI461" t="s">
        <v>23</v>
      </c>
      <c r="AJ461" t="s">
        <v>23</v>
      </c>
    </row>
    <row r="462" spans="1:36" x14ac:dyDescent="0.35">
      <c r="A462" s="2">
        <v>1460</v>
      </c>
      <c r="B462" s="4">
        <v>44994</v>
      </c>
      <c r="C462" s="1" t="s">
        <v>38</v>
      </c>
      <c r="D462" s="1" t="s">
        <v>31</v>
      </c>
      <c r="E462">
        <v>407118</v>
      </c>
      <c r="F462">
        <v>18</v>
      </c>
      <c r="G462" s="1" t="s">
        <v>39</v>
      </c>
      <c r="H462">
        <v>27096</v>
      </c>
      <c r="I462">
        <v>34375</v>
      </c>
      <c r="J462" s="1" t="s">
        <v>33</v>
      </c>
      <c r="K462" s="3">
        <v>0</v>
      </c>
      <c r="L462" s="1" t="s">
        <v>36</v>
      </c>
      <c r="M462" s="1" t="s">
        <v>37</v>
      </c>
      <c r="N462" s="3">
        <v>2024010123</v>
      </c>
      <c r="O462" s="3">
        <f t="shared" si="63"/>
        <v>1.23</v>
      </c>
      <c r="P462" s="6">
        <f t="shared" si="64"/>
        <v>500755.14</v>
      </c>
      <c r="Q462" s="3" t="str">
        <f t="shared" si="65"/>
        <v>Excellent</v>
      </c>
      <c r="R462" s="3">
        <f t="shared" si="66"/>
        <v>7279</v>
      </c>
      <c r="S462" s="7">
        <f t="shared" si="67"/>
        <v>131022</v>
      </c>
      <c r="T462" s="3" t="str">
        <f t="shared" si="68"/>
        <v>High Profit</v>
      </c>
      <c r="U462" s="3" t="str">
        <f t="shared" si="69"/>
        <v>No Discount</v>
      </c>
      <c r="V462" s="3" t="str">
        <f t="shared" si="70"/>
        <v>Priority C</v>
      </c>
      <c r="W462">
        <f t="shared" si="71"/>
        <v>40711.800000000003</v>
      </c>
      <c r="X462" t="s">
        <v>23</v>
      </c>
      <c r="Y462" t="s">
        <v>23</v>
      </c>
      <c r="Z462" t="s">
        <v>23</v>
      </c>
      <c r="AA462" t="s">
        <v>23</v>
      </c>
      <c r="AB462" t="s">
        <v>23</v>
      </c>
      <c r="AC462" t="s">
        <v>23</v>
      </c>
      <c r="AD462" t="s">
        <v>23</v>
      </c>
      <c r="AE462" t="s">
        <v>23</v>
      </c>
      <c r="AF462" t="s">
        <v>23</v>
      </c>
      <c r="AG462" t="s">
        <v>23</v>
      </c>
      <c r="AH462" t="s">
        <v>23</v>
      </c>
      <c r="AI462" t="s">
        <v>23</v>
      </c>
      <c r="AJ462" t="s">
        <v>23</v>
      </c>
    </row>
    <row r="463" spans="1:36" x14ac:dyDescent="0.35">
      <c r="A463" s="2">
        <v>1461</v>
      </c>
      <c r="B463" s="4">
        <v>45144</v>
      </c>
      <c r="C463" s="1" t="s">
        <v>24</v>
      </c>
      <c r="D463" s="1" t="s">
        <v>31</v>
      </c>
      <c r="E463">
        <v>18649</v>
      </c>
      <c r="F463">
        <v>18</v>
      </c>
      <c r="G463" s="1" t="s">
        <v>39</v>
      </c>
      <c r="H463">
        <v>37056</v>
      </c>
      <c r="I463">
        <v>42381</v>
      </c>
      <c r="J463" s="1" t="s">
        <v>27</v>
      </c>
      <c r="K463" s="3">
        <v>2</v>
      </c>
      <c r="L463" s="1" t="s">
        <v>36</v>
      </c>
      <c r="M463" s="1" t="s">
        <v>29</v>
      </c>
      <c r="N463" s="3">
        <v>2024010123</v>
      </c>
      <c r="O463" s="3">
        <f t="shared" si="63"/>
        <v>1.23</v>
      </c>
      <c r="P463" s="6">
        <f t="shared" si="64"/>
        <v>22938.27</v>
      </c>
      <c r="Q463" s="3" t="str">
        <f t="shared" si="65"/>
        <v>Excellent</v>
      </c>
      <c r="R463" s="3">
        <f t="shared" si="66"/>
        <v>5325</v>
      </c>
      <c r="S463" s="7">
        <f t="shared" si="67"/>
        <v>95850</v>
      </c>
      <c r="T463" s="3" t="str">
        <f t="shared" si="68"/>
        <v>High Profit</v>
      </c>
      <c r="U463" s="3" t="str">
        <f t="shared" si="69"/>
        <v>Low Discount</v>
      </c>
      <c r="V463" s="3" t="str">
        <f t="shared" si="70"/>
        <v>Priority C</v>
      </c>
      <c r="W463">
        <f t="shared" si="71"/>
        <v>2797.35</v>
      </c>
      <c r="X463" t="s">
        <v>23</v>
      </c>
      <c r="Y463" t="s">
        <v>23</v>
      </c>
      <c r="Z463" t="s">
        <v>23</v>
      </c>
      <c r="AA463" t="s">
        <v>23</v>
      </c>
      <c r="AB463" t="s">
        <v>23</v>
      </c>
      <c r="AC463" t="s">
        <v>23</v>
      </c>
      <c r="AD463" t="s">
        <v>23</v>
      </c>
      <c r="AE463" t="s">
        <v>23</v>
      </c>
      <c r="AF463" t="s">
        <v>23</v>
      </c>
      <c r="AG463" t="s">
        <v>23</v>
      </c>
      <c r="AH463" t="s">
        <v>23</v>
      </c>
      <c r="AI463" t="s">
        <v>23</v>
      </c>
      <c r="AJ463" t="s">
        <v>23</v>
      </c>
    </row>
    <row r="464" spans="1:36" x14ac:dyDescent="0.35">
      <c r="A464" s="2">
        <v>1462</v>
      </c>
      <c r="B464" s="4">
        <v>44982</v>
      </c>
      <c r="C464" s="1" t="s">
        <v>30</v>
      </c>
      <c r="D464" s="1" t="s">
        <v>43</v>
      </c>
      <c r="E464">
        <v>789817</v>
      </c>
      <c r="F464">
        <v>8</v>
      </c>
      <c r="G464" s="1" t="s">
        <v>26</v>
      </c>
      <c r="H464">
        <v>27307</v>
      </c>
      <c r="I464">
        <v>31454</v>
      </c>
      <c r="J464" s="1" t="s">
        <v>27</v>
      </c>
      <c r="K464" s="3">
        <v>1</v>
      </c>
      <c r="L464" s="1" t="s">
        <v>36</v>
      </c>
      <c r="M464" s="1" t="s">
        <v>29</v>
      </c>
      <c r="N464" s="3">
        <v>2024010123</v>
      </c>
      <c r="O464" s="3">
        <f t="shared" si="63"/>
        <v>1.23</v>
      </c>
      <c r="P464" s="6">
        <f t="shared" si="64"/>
        <v>971474.91</v>
      </c>
      <c r="Q464" s="3" t="str">
        <f t="shared" si="65"/>
        <v>Excellent</v>
      </c>
      <c r="R464" s="3">
        <f t="shared" si="66"/>
        <v>4147</v>
      </c>
      <c r="S464" s="7">
        <f t="shared" si="67"/>
        <v>33176</v>
      </c>
      <c r="T464" s="3" t="str">
        <f t="shared" si="68"/>
        <v>High Profit</v>
      </c>
      <c r="U464" s="3" t="str">
        <f t="shared" si="69"/>
        <v>Low Discount</v>
      </c>
      <c r="V464" s="3" t="str">
        <f t="shared" si="70"/>
        <v>Priority D</v>
      </c>
      <c r="W464">
        <f t="shared" si="71"/>
        <v>118472.54999999999</v>
      </c>
      <c r="X464" t="s">
        <v>23</v>
      </c>
      <c r="Y464" t="s">
        <v>23</v>
      </c>
      <c r="Z464" t="s">
        <v>23</v>
      </c>
      <c r="AA464" t="s">
        <v>23</v>
      </c>
      <c r="AB464" t="s">
        <v>23</v>
      </c>
      <c r="AC464" t="s">
        <v>23</v>
      </c>
      <c r="AD464" t="s">
        <v>23</v>
      </c>
      <c r="AE464" t="s">
        <v>23</v>
      </c>
      <c r="AF464" t="s">
        <v>23</v>
      </c>
      <c r="AG464" t="s">
        <v>23</v>
      </c>
      <c r="AH464" t="s">
        <v>23</v>
      </c>
      <c r="AI464" t="s">
        <v>23</v>
      </c>
      <c r="AJ464" t="s">
        <v>23</v>
      </c>
    </row>
    <row r="465" spans="1:36" x14ac:dyDescent="0.35">
      <c r="A465" s="2">
        <v>1463</v>
      </c>
      <c r="B465" s="4">
        <v>44970</v>
      </c>
      <c r="C465" s="1" t="s">
        <v>41</v>
      </c>
      <c r="D465" s="1" t="s">
        <v>31</v>
      </c>
      <c r="E465">
        <v>735810</v>
      </c>
      <c r="F465">
        <v>18</v>
      </c>
      <c r="G465" s="1" t="s">
        <v>26</v>
      </c>
      <c r="H465">
        <v>31980</v>
      </c>
      <c r="I465">
        <v>35862</v>
      </c>
      <c r="J465" s="1" t="s">
        <v>33</v>
      </c>
      <c r="K465" s="3">
        <v>12</v>
      </c>
      <c r="L465" s="1" t="s">
        <v>36</v>
      </c>
      <c r="M465" s="1" t="s">
        <v>29</v>
      </c>
      <c r="N465" s="3">
        <v>2024010123</v>
      </c>
      <c r="O465" s="3">
        <f t="shared" si="63"/>
        <v>1.23</v>
      </c>
      <c r="P465" s="6">
        <f t="shared" si="64"/>
        <v>905046.29999999993</v>
      </c>
      <c r="Q465" s="3" t="str">
        <f t="shared" si="65"/>
        <v>Excellent</v>
      </c>
      <c r="R465" s="3">
        <f t="shared" si="66"/>
        <v>3882</v>
      </c>
      <c r="S465" s="7">
        <f t="shared" si="67"/>
        <v>69876</v>
      </c>
      <c r="T465" s="3" t="str">
        <f t="shared" si="68"/>
        <v>High Profit</v>
      </c>
      <c r="U465" s="3" t="str">
        <f t="shared" si="69"/>
        <v>Medium Discount</v>
      </c>
      <c r="V465" s="3" t="str">
        <f t="shared" si="70"/>
        <v>Priority C</v>
      </c>
      <c r="W465">
        <f t="shared" si="71"/>
        <v>73581</v>
      </c>
      <c r="X465" t="s">
        <v>23</v>
      </c>
      <c r="Y465" t="s">
        <v>23</v>
      </c>
      <c r="Z465" t="s">
        <v>23</v>
      </c>
      <c r="AA465" t="s">
        <v>23</v>
      </c>
      <c r="AB465" t="s">
        <v>23</v>
      </c>
      <c r="AC465" t="s">
        <v>23</v>
      </c>
      <c r="AD465" t="s">
        <v>23</v>
      </c>
      <c r="AE465" t="s">
        <v>23</v>
      </c>
      <c r="AF465" t="s">
        <v>23</v>
      </c>
      <c r="AG465" t="s">
        <v>23</v>
      </c>
      <c r="AH465" t="s">
        <v>23</v>
      </c>
      <c r="AI465" t="s">
        <v>23</v>
      </c>
      <c r="AJ465" t="s">
        <v>23</v>
      </c>
    </row>
    <row r="466" spans="1:36" x14ac:dyDescent="0.35">
      <c r="A466" s="2">
        <v>1464</v>
      </c>
      <c r="B466" s="4">
        <v>45142</v>
      </c>
      <c r="C466" s="1" t="s">
        <v>24</v>
      </c>
      <c r="D466" s="1" t="s">
        <v>43</v>
      </c>
      <c r="E466">
        <v>647833</v>
      </c>
      <c r="F466">
        <v>18</v>
      </c>
      <c r="G466" s="1" t="s">
        <v>32</v>
      </c>
      <c r="H466">
        <v>33203</v>
      </c>
      <c r="I466">
        <v>37988</v>
      </c>
      <c r="J466" s="1" t="s">
        <v>27</v>
      </c>
      <c r="K466" s="3">
        <v>11</v>
      </c>
      <c r="L466" s="1" t="s">
        <v>28</v>
      </c>
      <c r="M466" s="1" t="s">
        <v>29</v>
      </c>
      <c r="N466" s="3">
        <v>2024010123</v>
      </c>
      <c r="O466" s="3">
        <f t="shared" si="63"/>
        <v>1.23</v>
      </c>
      <c r="P466" s="6">
        <f t="shared" si="64"/>
        <v>796834.59</v>
      </c>
      <c r="Q466" s="3" t="str">
        <f t="shared" si="65"/>
        <v>Excellent</v>
      </c>
      <c r="R466" s="3">
        <f t="shared" si="66"/>
        <v>4785</v>
      </c>
      <c r="S466" s="7">
        <f t="shared" si="67"/>
        <v>86130</v>
      </c>
      <c r="T466" s="3" t="str">
        <f t="shared" si="68"/>
        <v>High Profit</v>
      </c>
      <c r="U466" s="3" t="str">
        <f t="shared" si="69"/>
        <v>Medium Discount</v>
      </c>
      <c r="V466" s="3" t="str">
        <f t="shared" si="70"/>
        <v>Priority C</v>
      </c>
      <c r="W466">
        <f t="shared" si="71"/>
        <v>97174.95</v>
      </c>
      <c r="X466" t="s">
        <v>23</v>
      </c>
      <c r="Y466" t="s">
        <v>23</v>
      </c>
      <c r="Z466" t="s">
        <v>23</v>
      </c>
      <c r="AA466" t="s">
        <v>23</v>
      </c>
      <c r="AB466" t="s">
        <v>23</v>
      </c>
      <c r="AC466" t="s">
        <v>23</v>
      </c>
      <c r="AD466" t="s">
        <v>23</v>
      </c>
      <c r="AE466" t="s">
        <v>23</v>
      </c>
      <c r="AF466" t="s">
        <v>23</v>
      </c>
      <c r="AG466" t="s">
        <v>23</v>
      </c>
      <c r="AH466" t="s">
        <v>23</v>
      </c>
      <c r="AI466" t="s">
        <v>23</v>
      </c>
      <c r="AJ466" t="s">
        <v>23</v>
      </c>
    </row>
    <row r="467" spans="1:36" x14ac:dyDescent="0.35">
      <c r="A467" s="2">
        <v>1465</v>
      </c>
      <c r="B467" s="4">
        <v>45075</v>
      </c>
      <c r="C467" s="1" t="s">
        <v>41</v>
      </c>
      <c r="D467" s="1" t="s">
        <v>43</v>
      </c>
      <c r="E467">
        <v>447905</v>
      </c>
      <c r="F467">
        <v>18</v>
      </c>
      <c r="G467" s="1" t="s">
        <v>32</v>
      </c>
      <c r="H467">
        <v>29570</v>
      </c>
      <c r="I467">
        <v>34025</v>
      </c>
      <c r="J467" s="1" t="s">
        <v>27</v>
      </c>
      <c r="K467" s="3">
        <v>7</v>
      </c>
      <c r="L467" s="1" t="s">
        <v>36</v>
      </c>
      <c r="M467" s="1" t="s">
        <v>37</v>
      </c>
      <c r="N467" s="3">
        <v>2024010123</v>
      </c>
      <c r="O467" s="3">
        <f t="shared" si="63"/>
        <v>1.23</v>
      </c>
      <c r="P467" s="6">
        <f t="shared" si="64"/>
        <v>550923.15</v>
      </c>
      <c r="Q467" s="3" t="str">
        <f t="shared" si="65"/>
        <v>Excellent</v>
      </c>
      <c r="R467" s="3">
        <f t="shared" si="66"/>
        <v>4455</v>
      </c>
      <c r="S467" s="7">
        <f t="shared" si="67"/>
        <v>80190</v>
      </c>
      <c r="T467" s="3" t="str">
        <f t="shared" si="68"/>
        <v>High Profit</v>
      </c>
      <c r="U467" s="3" t="str">
        <f t="shared" si="69"/>
        <v>Medium Discount</v>
      </c>
      <c r="V467" s="3" t="str">
        <f t="shared" si="70"/>
        <v>Priority C</v>
      </c>
      <c r="W467">
        <f t="shared" si="71"/>
        <v>67185.75</v>
      </c>
      <c r="X467" t="s">
        <v>23</v>
      </c>
      <c r="Y467" t="s">
        <v>23</v>
      </c>
      <c r="Z467" t="s">
        <v>23</v>
      </c>
      <c r="AA467" t="s">
        <v>23</v>
      </c>
      <c r="AB467" t="s">
        <v>23</v>
      </c>
      <c r="AC467" t="s">
        <v>23</v>
      </c>
      <c r="AD467" t="s">
        <v>23</v>
      </c>
      <c r="AE467" t="s">
        <v>23</v>
      </c>
      <c r="AF467" t="s">
        <v>23</v>
      </c>
      <c r="AG467" t="s">
        <v>23</v>
      </c>
      <c r="AH467" t="s">
        <v>23</v>
      </c>
      <c r="AI467" t="s">
        <v>23</v>
      </c>
      <c r="AJ467" t="s">
        <v>23</v>
      </c>
    </row>
    <row r="468" spans="1:36" x14ac:dyDescent="0.35">
      <c r="A468" s="2">
        <v>1466</v>
      </c>
      <c r="B468" s="4">
        <v>45249</v>
      </c>
      <c r="C468" s="1" t="s">
        <v>34</v>
      </c>
      <c r="D468" s="1" t="s">
        <v>25</v>
      </c>
      <c r="E468">
        <v>998273</v>
      </c>
      <c r="F468">
        <v>8</v>
      </c>
      <c r="G468" s="1" t="s">
        <v>39</v>
      </c>
      <c r="H468">
        <v>34997</v>
      </c>
      <c r="I468">
        <v>39254</v>
      </c>
      <c r="J468" s="1" t="s">
        <v>27</v>
      </c>
      <c r="K468" s="3">
        <v>19</v>
      </c>
      <c r="L468" s="1" t="s">
        <v>36</v>
      </c>
      <c r="M468" s="1" t="s">
        <v>37</v>
      </c>
      <c r="N468" s="3">
        <v>2024010123</v>
      </c>
      <c r="O468" s="3">
        <f t="shared" si="63"/>
        <v>1.23</v>
      </c>
      <c r="P468" s="6">
        <f t="shared" si="64"/>
        <v>1227875.79</v>
      </c>
      <c r="Q468" s="3" t="str">
        <f t="shared" si="65"/>
        <v>Excellent</v>
      </c>
      <c r="R468" s="3">
        <f t="shared" si="66"/>
        <v>4257</v>
      </c>
      <c r="S468" s="7">
        <f t="shared" si="67"/>
        <v>34056</v>
      </c>
      <c r="T468" s="3" t="str">
        <f t="shared" si="68"/>
        <v>High Profit</v>
      </c>
      <c r="U468" s="3" t="str">
        <f t="shared" si="69"/>
        <v>High Discount</v>
      </c>
      <c r="V468" s="3" t="str">
        <f t="shared" si="70"/>
        <v>Priority C</v>
      </c>
      <c r="W468">
        <f t="shared" si="71"/>
        <v>149740.94999999998</v>
      </c>
      <c r="X468" t="s">
        <v>23</v>
      </c>
      <c r="Y468" t="s">
        <v>23</v>
      </c>
      <c r="Z468" t="s">
        <v>23</v>
      </c>
      <c r="AA468" t="s">
        <v>23</v>
      </c>
      <c r="AB468" t="s">
        <v>23</v>
      </c>
      <c r="AC468" t="s">
        <v>23</v>
      </c>
      <c r="AD468" t="s">
        <v>23</v>
      </c>
      <c r="AE468" t="s">
        <v>23</v>
      </c>
      <c r="AF468" t="s">
        <v>23</v>
      </c>
      <c r="AG468" t="s">
        <v>23</v>
      </c>
      <c r="AH468" t="s">
        <v>23</v>
      </c>
      <c r="AI468" t="s">
        <v>23</v>
      </c>
      <c r="AJ468" t="s">
        <v>23</v>
      </c>
    </row>
    <row r="469" spans="1:36" x14ac:dyDescent="0.35">
      <c r="A469" s="2">
        <v>1467</v>
      </c>
      <c r="B469" s="4">
        <v>45256</v>
      </c>
      <c r="C469" s="1" t="s">
        <v>24</v>
      </c>
      <c r="D469" s="1" t="s">
        <v>31</v>
      </c>
      <c r="E469">
        <v>791211</v>
      </c>
      <c r="F469">
        <v>18</v>
      </c>
      <c r="G469" s="1" t="s">
        <v>39</v>
      </c>
      <c r="H469">
        <v>40042</v>
      </c>
      <c r="I469">
        <v>47693</v>
      </c>
      <c r="J469" s="1" t="s">
        <v>33</v>
      </c>
      <c r="K469" s="3">
        <v>16</v>
      </c>
      <c r="L469" s="1" t="s">
        <v>40</v>
      </c>
      <c r="M469" s="1" t="s">
        <v>37</v>
      </c>
      <c r="N469" s="3">
        <v>2024010123</v>
      </c>
      <c r="O469" s="3">
        <f t="shared" si="63"/>
        <v>1.23</v>
      </c>
      <c r="P469" s="6">
        <f t="shared" si="64"/>
        <v>973189.53</v>
      </c>
      <c r="Q469" s="3" t="str">
        <f t="shared" si="65"/>
        <v>Excellent</v>
      </c>
      <c r="R469" s="3">
        <f t="shared" si="66"/>
        <v>7651</v>
      </c>
      <c r="S469" s="7">
        <f t="shared" si="67"/>
        <v>137718</v>
      </c>
      <c r="T469" s="3" t="str">
        <f t="shared" si="68"/>
        <v>High Profit</v>
      </c>
      <c r="U469" s="3" t="str">
        <f t="shared" si="69"/>
        <v>High Discount</v>
      </c>
      <c r="V469" s="3" t="str">
        <f t="shared" si="70"/>
        <v>Priority C</v>
      </c>
      <c r="W469">
        <f t="shared" si="71"/>
        <v>79121.100000000006</v>
      </c>
      <c r="X469" t="s">
        <v>23</v>
      </c>
      <c r="Y469" t="s">
        <v>23</v>
      </c>
      <c r="Z469" t="s">
        <v>23</v>
      </c>
      <c r="AA469" t="s">
        <v>23</v>
      </c>
      <c r="AB469" t="s">
        <v>23</v>
      </c>
      <c r="AC469" t="s">
        <v>23</v>
      </c>
      <c r="AD469" t="s">
        <v>23</v>
      </c>
      <c r="AE469" t="s">
        <v>23</v>
      </c>
      <c r="AF469" t="s">
        <v>23</v>
      </c>
      <c r="AG469" t="s">
        <v>23</v>
      </c>
      <c r="AH469" t="s">
        <v>23</v>
      </c>
      <c r="AI469" t="s">
        <v>23</v>
      </c>
      <c r="AJ469" t="s">
        <v>23</v>
      </c>
    </row>
    <row r="470" spans="1:36" x14ac:dyDescent="0.35">
      <c r="A470" s="2">
        <v>1468</v>
      </c>
      <c r="B470" s="4">
        <v>45085</v>
      </c>
      <c r="C470" s="1" t="s">
        <v>30</v>
      </c>
      <c r="D470" s="1" t="s">
        <v>42</v>
      </c>
      <c r="E470">
        <v>304875</v>
      </c>
      <c r="F470">
        <v>18</v>
      </c>
      <c r="G470" s="1" t="s">
        <v>26</v>
      </c>
      <c r="H470">
        <v>42200</v>
      </c>
      <c r="I470">
        <v>49998</v>
      </c>
      <c r="J470" s="1" t="s">
        <v>33</v>
      </c>
      <c r="K470" s="3">
        <v>17</v>
      </c>
      <c r="L470" s="1" t="s">
        <v>36</v>
      </c>
      <c r="M470" s="1" t="s">
        <v>37</v>
      </c>
      <c r="N470" s="3">
        <v>2024010123</v>
      </c>
      <c r="O470" s="3">
        <f t="shared" si="63"/>
        <v>1.23</v>
      </c>
      <c r="P470" s="6">
        <f t="shared" si="64"/>
        <v>374996.25</v>
      </c>
      <c r="Q470" s="3" t="str">
        <f t="shared" si="65"/>
        <v>Excellent</v>
      </c>
      <c r="R470" s="3">
        <f t="shared" si="66"/>
        <v>7798</v>
      </c>
      <c r="S470" s="7">
        <f t="shared" si="67"/>
        <v>140364</v>
      </c>
      <c r="T470" s="3" t="str">
        <f t="shared" si="68"/>
        <v>High Profit</v>
      </c>
      <c r="U470" s="3" t="str">
        <f t="shared" si="69"/>
        <v>High Discount</v>
      </c>
      <c r="V470" s="3" t="str">
        <f t="shared" si="70"/>
        <v>Priority C</v>
      </c>
      <c r="W470">
        <f t="shared" si="71"/>
        <v>30487.5</v>
      </c>
      <c r="X470" t="s">
        <v>23</v>
      </c>
      <c r="Y470" t="s">
        <v>23</v>
      </c>
      <c r="Z470" t="s">
        <v>23</v>
      </c>
      <c r="AA470" t="s">
        <v>23</v>
      </c>
      <c r="AB470" t="s">
        <v>23</v>
      </c>
      <c r="AC470" t="s">
        <v>23</v>
      </c>
      <c r="AD470" t="s">
        <v>23</v>
      </c>
      <c r="AE470" t="s">
        <v>23</v>
      </c>
      <c r="AF470" t="s">
        <v>23</v>
      </c>
      <c r="AG470" t="s">
        <v>23</v>
      </c>
      <c r="AH470" t="s">
        <v>23</v>
      </c>
      <c r="AI470" t="s">
        <v>23</v>
      </c>
      <c r="AJ470" t="s">
        <v>23</v>
      </c>
    </row>
    <row r="471" spans="1:36" x14ac:dyDescent="0.35">
      <c r="A471" s="2">
        <v>1469</v>
      </c>
      <c r="B471" s="4">
        <v>44941</v>
      </c>
      <c r="C471" s="1" t="s">
        <v>24</v>
      </c>
      <c r="D471" s="1" t="s">
        <v>43</v>
      </c>
      <c r="E471">
        <v>11109</v>
      </c>
      <c r="F471">
        <v>11</v>
      </c>
      <c r="G471" s="1" t="s">
        <v>39</v>
      </c>
      <c r="H471">
        <v>22496</v>
      </c>
      <c r="I471">
        <v>27020</v>
      </c>
      <c r="J471" s="1" t="s">
        <v>27</v>
      </c>
      <c r="K471" s="3">
        <v>28</v>
      </c>
      <c r="L471" s="1" t="s">
        <v>28</v>
      </c>
      <c r="M471" s="1" t="s">
        <v>29</v>
      </c>
      <c r="N471" s="3">
        <v>2024010123</v>
      </c>
      <c r="O471" s="3">
        <f t="shared" si="63"/>
        <v>1.23</v>
      </c>
      <c r="P471" s="6">
        <f t="shared" si="64"/>
        <v>13664.07</v>
      </c>
      <c r="Q471" s="3" t="str">
        <f t="shared" si="65"/>
        <v>Excellent</v>
      </c>
      <c r="R471" s="3">
        <f t="shared" si="66"/>
        <v>4524</v>
      </c>
      <c r="S471" s="7">
        <f t="shared" si="67"/>
        <v>49764</v>
      </c>
      <c r="T471" s="3" t="str">
        <f t="shared" si="68"/>
        <v>High Profit</v>
      </c>
      <c r="U471" s="3" t="str">
        <f t="shared" si="69"/>
        <v>High Discount</v>
      </c>
      <c r="V471" s="3" t="str">
        <f t="shared" si="70"/>
        <v>Priority D</v>
      </c>
      <c r="W471">
        <f t="shared" si="71"/>
        <v>1666.35</v>
      </c>
      <c r="X471" t="s">
        <v>23</v>
      </c>
      <c r="Y471" t="s">
        <v>23</v>
      </c>
      <c r="Z471" t="s">
        <v>23</v>
      </c>
      <c r="AA471" t="s">
        <v>23</v>
      </c>
      <c r="AB471" t="s">
        <v>23</v>
      </c>
      <c r="AC471" t="s">
        <v>23</v>
      </c>
      <c r="AD471" t="s">
        <v>23</v>
      </c>
      <c r="AE471" t="s">
        <v>23</v>
      </c>
      <c r="AF471" t="s">
        <v>23</v>
      </c>
      <c r="AG471" t="s">
        <v>23</v>
      </c>
      <c r="AH471" t="s">
        <v>23</v>
      </c>
      <c r="AI471" t="s">
        <v>23</v>
      </c>
      <c r="AJ471" t="s">
        <v>23</v>
      </c>
    </row>
    <row r="472" spans="1:36" x14ac:dyDescent="0.35">
      <c r="A472" s="2">
        <v>1470</v>
      </c>
      <c r="B472" s="4">
        <v>45221</v>
      </c>
      <c r="C472" s="1" t="s">
        <v>38</v>
      </c>
      <c r="D472" s="1" t="s">
        <v>25</v>
      </c>
      <c r="E472">
        <v>309650</v>
      </c>
      <c r="F472">
        <v>12</v>
      </c>
      <c r="G472" s="1" t="s">
        <v>26</v>
      </c>
      <c r="H472">
        <v>45380</v>
      </c>
      <c r="I472">
        <v>49469</v>
      </c>
      <c r="J472" s="1" t="s">
        <v>33</v>
      </c>
      <c r="K472" s="3">
        <v>0</v>
      </c>
      <c r="L472" s="1" t="s">
        <v>40</v>
      </c>
      <c r="M472" s="1" t="s">
        <v>29</v>
      </c>
      <c r="N472" s="3">
        <v>2024010123</v>
      </c>
      <c r="O472" s="3">
        <f t="shared" si="63"/>
        <v>1.23</v>
      </c>
      <c r="P472" s="6">
        <f t="shared" si="64"/>
        <v>380869.5</v>
      </c>
      <c r="Q472" s="3" t="str">
        <f t="shared" si="65"/>
        <v>Excellent</v>
      </c>
      <c r="R472" s="3">
        <f t="shared" si="66"/>
        <v>4089</v>
      </c>
      <c r="S472" s="7">
        <f t="shared" si="67"/>
        <v>49068</v>
      </c>
      <c r="T472" s="3" t="str">
        <f t="shared" si="68"/>
        <v>High Profit</v>
      </c>
      <c r="U472" s="3" t="str">
        <f t="shared" si="69"/>
        <v>No Discount</v>
      </c>
      <c r="V472" s="3" t="str">
        <f t="shared" si="70"/>
        <v>Priority D</v>
      </c>
      <c r="W472">
        <f t="shared" si="71"/>
        <v>30965</v>
      </c>
      <c r="X472" t="s">
        <v>23</v>
      </c>
      <c r="Y472" t="s">
        <v>23</v>
      </c>
      <c r="Z472" t="s">
        <v>23</v>
      </c>
      <c r="AA472" t="s">
        <v>23</v>
      </c>
      <c r="AB472" t="s">
        <v>23</v>
      </c>
      <c r="AC472" t="s">
        <v>23</v>
      </c>
      <c r="AD472" t="s">
        <v>23</v>
      </c>
      <c r="AE472" t="s">
        <v>23</v>
      </c>
      <c r="AF472" t="s">
        <v>23</v>
      </c>
      <c r="AG472" t="s">
        <v>23</v>
      </c>
      <c r="AH472" t="s">
        <v>23</v>
      </c>
      <c r="AI472" t="s">
        <v>23</v>
      </c>
      <c r="AJ472" t="s">
        <v>23</v>
      </c>
    </row>
    <row r="473" spans="1:36" x14ac:dyDescent="0.35">
      <c r="A473" s="2">
        <v>1471</v>
      </c>
      <c r="B473" s="4">
        <v>44952</v>
      </c>
      <c r="C473" s="1" t="s">
        <v>38</v>
      </c>
      <c r="D473" s="1" t="s">
        <v>25</v>
      </c>
      <c r="E473">
        <v>14184</v>
      </c>
      <c r="F473">
        <v>12</v>
      </c>
      <c r="G473" s="1" t="s">
        <v>26</v>
      </c>
      <c r="H473">
        <v>20376</v>
      </c>
      <c r="I473">
        <v>22952</v>
      </c>
      <c r="J473" s="1" t="s">
        <v>33</v>
      </c>
      <c r="K473" s="3">
        <v>1</v>
      </c>
      <c r="L473" s="1" t="s">
        <v>36</v>
      </c>
      <c r="M473" s="1" t="s">
        <v>37</v>
      </c>
      <c r="N473" s="3">
        <v>2024010123</v>
      </c>
      <c r="O473" s="3">
        <f t="shared" si="63"/>
        <v>1.23</v>
      </c>
      <c r="P473" s="6">
        <f t="shared" si="64"/>
        <v>17446.32</v>
      </c>
      <c r="Q473" s="3" t="str">
        <f t="shared" si="65"/>
        <v>Excellent</v>
      </c>
      <c r="R473" s="3">
        <f t="shared" si="66"/>
        <v>2576</v>
      </c>
      <c r="S473" s="7">
        <f t="shared" si="67"/>
        <v>30912</v>
      </c>
      <c r="T473" s="3" t="str">
        <f t="shared" si="68"/>
        <v>High Profit</v>
      </c>
      <c r="U473" s="3" t="str">
        <f t="shared" si="69"/>
        <v>Low Discount</v>
      </c>
      <c r="V473" s="3" t="str">
        <f t="shared" si="70"/>
        <v>Priority C</v>
      </c>
      <c r="W473">
        <f t="shared" si="71"/>
        <v>1418.4</v>
      </c>
      <c r="X473" t="s">
        <v>23</v>
      </c>
      <c r="Y473" t="s">
        <v>23</v>
      </c>
      <c r="Z473" t="s">
        <v>23</v>
      </c>
      <c r="AA473" t="s">
        <v>23</v>
      </c>
      <c r="AB473" t="s">
        <v>23</v>
      </c>
      <c r="AC473" t="s">
        <v>23</v>
      </c>
      <c r="AD473" t="s">
        <v>23</v>
      </c>
      <c r="AE473" t="s">
        <v>23</v>
      </c>
      <c r="AF473" t="s">
        <v>23</v>
      </c>
      <c r="AG473" t="s">
        <v>23</v>
      </c>
      <c r="AH473" t="s">
        <v>23</v>
      </c>
      <c r="AI473" t="s">
        <v>23</v>
      </c>
      <c r="AJ473" t="s">
        <v>23</v>
      </c>
    </row>
    <row r="474" spans="1:36" x14ac:dyDescent="0.35">
      <c r="A474" s="2">
        <v>1472</v>
      </c>
      <c r="B474" s="4">
        <v>45141</v>
      </c>
      <c r="C474" s="1" t="s">
        <v>30</v>
      </c>
      <c r="D474" s="1" t="s">
        <v>25</v>
      </c>
      <c r="E474">
        <v>164734</v>
      </c>
      <c r="F474">
        <v>8</v>
      </c>
      <c r="G474" s="1" t="s">
        <v>32</v>
      </c>
      <c r="H474">
        <v>22032</v>
      </c>
      <c r="I474">
        <v>25995</v>
      </c>
      <c r="J474" s="1" t="s">
        <v>33</v>
      </c>
      <c r="K474" s="3">
        <v>2</v>
      </c>
      <c r="L474" s="1" t="s">
        <v>36</v>
      </c>
      <c r="M474" s="1" t="s">
        <v>37</v>
      </c>
      <c r="N474" s="3">
        <v>2024010123</v>
      </c>
      <c r="O474" s="3">
        <f t="shared" si="63"/>
        <v>1.23</v>
      </c>
      <c r="P474" s="6">
        <f t="shared" si="64"/>
        <v>202622.82</v>
      </c>
      <c r="Q474" s="3" t="str">
        <f t="shared" si="65"/>
        <v>Excellent</v>
      </c>
      <c r="R474" s="3">
        <f t="shared" si="66"/>
        <v>3963</v>
      </c>
      <c r="S474" s="7">
        <f t="shared" si="67"/>
        <v>31704</v>
      </c>
      <c r="T474" s="3" t="str">
        <f t="shared" si="68"/>
        <v>High Profit</v>
      </c>
      <c r="U474" s="3" t="str">
        <f t="shared" si="69"/>
        <v>Low Discount</v>
      </c>
      <c r="V474" s="3" t="str">
        <f t="shared" si="70"/>
        <v>Priority C</v>
      </c>
      <c r="W474">
        <f t="shared" si="71"/>
        <v>16473.400000000001</v>
      </c>
      <c r="X474" t="s">
        <v>23</v>
      </c>
      <c r="Y474" t="s">
        <v>23</v>
      </c>
      <c r="Z474" t="s">
        <v>23</v>
      </c>
      <c r="AA474" t="s">
        <v>23</v>
      </c>
      <c r="AB474" t="s">
        <v>23</v>
      </c>
      <c r="AC474" t="s">
        <v>23</v>
      </c>
      <c r="AD474" t="s">
        <v>23</v>
      </c>
      <c r="AE474" t="s">
        <v>23</v>
      </c>
      <c r="AF474" t="s">
        <v>23</v>
      </c>
      <c r="AG474" t="s">
        <v>23</v>
      </c>
      <c r="AH474" t="s">
        <v>23</v>
      </c>
      <c r="AI474" t="s">
        <v>23</v>
      </c>
      <c r="AJ474" t="s">
        <v>23</v>
      </c>
    </row>
    <row r="475" spans="1:36" x14ac:dyDescent="0.35">
      <c r="A475" s="2">
        <v>1473</v>
      </c>
      <c r="B475" s="4">
        <v>45239</v>
      </c>
      <c r="C475" s="1" t="s">
        <v>38</v>
      </c>
      <c r="D475" s="1" t="s">
        <v>25</v>
      </c>
      <c r="E475">
        <v>641484</v>
      </c>
      <c r="F475">
        <v>12</v>
      </c>
      <c r="G475" s="1" t="s">
        <v>39</v>
      </c>
      <c r="H475">
        <v>56400</v>
      </c>
      <c r="I475">
        <v>59699</v>
      </c>
      <c r="J475" s="1" t="s">
        <v>33</v>
      </c>
      <c r="K475" s="3">
        <v>10</v>
      </c>
      <c r="L475" s="1" t="s">
        <v>28</v>
      </c>
      <c r="M475" s="1" t="s">
        <v>37</v>
      </c>
      <c r="N475" s="3">
        <v>2024010123</v>
      </c>
      <c r="O475" s="3">
        <f t="shared" si="63"/>
        <v>1.23</v>
      </c>
      <c r="P475" s="6">
        <f t="shared" si="64"/>
        <v>789025.32</v>
      </c>
      <c r="Q475" s="3" t="str">
        <f t="shared" si="65"/>
        <v>Excellent</v>
      </c>
      <c r="R475" s="3">
        <f t="shared" si="66"/>
        <v>3299</v>
      </c>
      <c r="S475" s="7">
        <f t="shared" si="67"/>
        <v>39588</v>
      </c>
      <c r="T475" s="3" t="str">
        <f t="shared" si="68"/>
        <v>High Profit</v>
      </c>
      <c r="U475" s="3" t="str">
        <f t="shared" si="69"/>
        <v>Medium Discount</v>
      </c>
      <c r="V475" s="3" t="str">
        <f t="shared" si="70"/>
        <v>Priority C</v>
      </c>
      <c r="W475">
        <f t="shared" si="71"/>
        <v>64148.4</v>
      </c>
      <c r="X475" t="s">
        <v>23</v>
      </c>
      <c r="Y475" t="s">
        <v>23</v>
      </c>
      <c r="Z475" t="s">
        <v>23</v>
      </c>
      <c r="AA475" t="s">
        <v>23</v>
      </c>
      <c r="AB475" t="s">
        <v>23</v>
      </c>
      <c r="AC475" t="s">
        <v>23</v>
      </c>
      <c r="AD475" t="s">
        <v>23</v>
      </c>
      <c r="AE475" t="s">
        <v>23</v>
      </c>
      <c r="AF475" t="s">
        <v>23</v>
      </c>
      <c r="AG475" t="s">
        <v>23</v>
      </c>
      <c r="AH475" t="s">
        <v>23</v>
      </c>
      <c r="AI475" t="s">
        <v>23</v>
      </c>
      <c r="AJ475" t="s">
        <v>23</v>
      </c>
    </row>
    <row r="476" spans="1:36" x14ac:dyDescent="0.35">
      <c r="A476" s="2">
        <v>1474</v>
      </c>
      <c r="B476" s="4">
        <v>45149</v>
      </c>
      <c r="C476" s="1" t="s">
        <v>38</v>
      </c>
      <c r="D476" s="1" t="s">
        <v>31</v>
      </c>
      <c r="E476">
        <v>163409</v>
      </c>
      <c r="F476">
        <v>12</v>
      </c>
      <c r="G476" s="1" t="s">
        <v>35</v>
      </c>
      <c r="H476">
        <v>53584</v>
      </c>
      <c r="I476">
        <v>55718</v>
      </c>
      <c r="J476" s="1" t="s">
        <v>27</v>
      </c>
      <c r="K476" s="3">
        <v>5</v>
      </c>
      <c r="L476" s="1" t="s">
        <v>28</v>
      </c>
      <c r="M476" s="1" t="s">
        <v>37</v>
      </c>
      <c r="N476" s="3">
        <v>2024010123</v>
      </c>
      <c r="O476" s="3">
        <f t="shared" si="63"/>
        <v>1.23</v>
      </c>
      <c r="P476" s="6">
        <f t="shared" si="64"/>
        <v>200993.07</v>
      </c>
      <c r="Q476" s="3" t="str">
        <f t="shared" si="65"/>
        <v>Excellent</v>
      </c>
      <c r="R476" s="3">
        <f t="shared" si="66"/>
        <v>2134</v>
      </c>
      <c r="S476" s="7">
        <f t="shared" si="67"/>
        <v>25608</v>
      </c>
      <c r="T476" s="3" t="str">
        <f t="shared" si="68"/>
        <v>High Profit</v>
      </c>
      <c r="U476" s="3" t="str">
        <f t="shared" si="69"/>
        <v>Medium Discount</v>
      </c>
      <c r="V476" s="3" t="str">
        <f t="shared" si="70"/>
        <v>Priority C</v>
      </c>
      <c r="W476">
        <f t="shared" si="71"/>
        <v>24511.35</v>
      </c>
      <c r="X476" t="s">
        <v>23</v>
      </c>
      <c r="Y476" t="s">
        <v>23</v>
      </c>
      <c r="Z476" t="s">
        <v>23</v>
      </c>
      <c r="AA476" t="s">
        <v>23</v>
      </c>
      <c r="AB476" t="s">
        <v>23</v>
      </c>
      <c r="AC476" t="s">
        <v>23</v>
      </c>
      <c r="AD476" t="s">
        <v>23</v>
      </c>
      <c r="AE476" t="s">
        <v>23</v>
      </c>
      <c r="AF476" t="s">
        <v>23</v>
      </c>
      <c r="AG476" t="s">
        <v>23</v>
      </c>
      <c r="AH476" t="s">
        <v>23</v>
      </c>
      <c r="AI476" t="s">
        <v>23</v>
      </c>
      <c r="AJ476" t="s">
        <v>23</v>
      </c>
    </row>
    <row r="477" spans="1:36" x14ac:dyDescent="0.35">
      <c r="A477" s="2">
        <v>1475</v>
      </c>
      <c r="B477" s="4">
        <v>45285</v>
      </c>
      <c r="C477" s="1" t="s">
        <v>38</v>
      </c>
      <c r="D477" s="1" t="s">
        <v>25</v>
      </c>
      <c r="E477">
        <v>353784</v>
      </c>
      <c r="F477">
        <v>12</v>
      </c>
      <c r="G477" s="1" t="s">
        <v>26</v>
      </c>
      <c r="H477">
        <v>10000</v>
      </c>
      <c r="I477">
        <v>20000</v>
      </c>
      <c r="J477" s="1" t="s">
        <v>27</v>
      </c>
      <c r="K477" s="3">
        <v>7</v>
      </c>
      <c r="L477" s="1" t="s">
        <v>40</v>
      </c>
      <c r="M477" s="1" t="s">
        <v>29</v>
      </c>
      <c r="N477" s="3">
        <v>2024010123</v>
      </c>
      <c r="O477" s="3">
        <f t="shared" si="63"/>
        <v>1.23</v>
      </c>
      <c r="P477" s="6">
        <f t="shared" si="64"/>
        <v>435154.32</v>
      </c>
      <c r="Q477" s="3" t="str">
        <f t="shared" si="65"/>
        <v>Excellent</v>
      </c>
      <c r="R477" s="3">
        <f t="shared" si="66"/>
        <v>10000</v>
      </c>
      <c r="S477" s="7">
        <f t="shared" si="67"/>
        <v>120000</v>
      </c>
      <c r="T477" s="3" t="str">
        <f t="shared" si="68"/>
        <v>High Profit</v>
      </c>
      <c r="U477" s="3" t="str">
        <f t="shared" si="69"/>
        <v>Medium Discount</v>
      </c>
      <c r="V477" s="3" t="str">
        <f t="shared" si="70"/>
        <v>Priority D</v>
      </c>
      <c r="W477">
        <f t="shared" si="71"/>
        <v>53067.6</v>
      </c>
      <c r="X477" t="s">
        <v>23</v>
      </c>
      <c r="Y477" t="s">
        <v>23</v>
      </c>
      <c r="Z477" t="s">
        <v>23</v>
      </c>
      <c r="AA477" t="s">
        <v>23</v>
      </c>
      <c r="AB477" t="s">
        <v>23</v>
      </c>
      <c r="AC477" t="s">
        <v>23</v>
      </c>
      <c r="AD477" t="s">
        <v>23</v>
      </c>
      <c r="AE477" t="s">
        <v>23</v>
      </c>
      <c r="AF477" t="s">
        <v>23</v>
      </c>
      <c r="AG477" t="s">
        <v>23</v>
      </c>
      <c r="AH477" t="s">
        <v>23</v>
      </c>
      <c r="AI477" t="s">
        <v>23</v>
      </c>
      <c r="AJ477" t="s">
        <v>23</v>
      </c>
    </row>
    <row r="478" spans="1:36" x14ac:dyDescent="0.35">
      <c r="A478" s="2">
        <v>1476</v>
      </c>
      <c r="B478" s="4">
        <v>44938</v>
      </c>
      <c r="C478" s="1" t="s">
        <v>38</v>
      </c>
      <c r="D478" s="1" t="s">
        <v>42</v>
      </c>
      <c r="E478">
        <v>37152</v>
      </c>
      <c r="F478">
        <v>12</v>
      </c>
      <c r="G478" s="1" t="s">
        <v>32</v>
      </c>
      <c r="H478">
        <v>49776</v>
      </c>
      <c r="I478">
        <v>52076</v>
      </c>
      <c r="J478" s="1" t="s">
        <v>33</v>
      </c>
      <c r="K478" s="3">
        <v>18</v>
      </c>
      <c r="L478" s="1" t="s">
        <v>36</v>
      </c>
      <c r="M478" s="1" t="s">
        <v>29</v>
      </c>
      <c r="N478" s="3">
        <v>2024010123</v>
      </c>
      <c r="O478" s="3">
        <f t="shared" si="63"/>
        <v>1.23</v>
      </c>
      <c r="P478" s="6">
        <f t="shared" si="64"/>
        <v>45696.959999999999</v>
      </c>
      <c r="Q478" s="3" t="str">
        <f t="shared" si="65"/>
        <v>Excellent</v>
      </c>
      <c r="R478" s="3">
        <f t="shared" si="66"/>
        <v>2300</v>
      </c>
      <c r="S478" s="7">
        <f t="shared" si="67"/>
        <v>27600</v>
      </c>
      <c r="T478" s="3" t="str">
        <f t="shared" si="68"/>
        <v>High Profit</v>
      </c>
      <c r="U478" s="3" t="str">
        <f t="shared" si="69"/>
        <v>High Discount</v>
      </c>
      <c r="V478" s="3" t="str">
        <f t="shared" si="70"/>
        <v>Priority D</v>
      </c>
      <c r="W478">
        <f t="shared" si="71"/>
        <v>3715.2000000000003</v>
      </c>
      <c r="X478" t="s">
        <v>23</v>
      </c>
      <c r="Y478" t="s">
        <v>23</v>
      </c>
      <c r="Z478" t="s">
        <v>23</v>
      </c>
      <c r="AA478" t="s">
        <v>23</v>
      </c>
      <c r="AB478" t="s">
        <v>23</v>
      </c>
      <c r="AC478" t="s">
        <v>23</v>
      </c>
      <c r="AD478" t="s">
        <v>23</v>
      </c>
      <c r="AE478" t="s">
        <v>23</v>
      </c>
      <c r="AF478" t="s">
        <v>23</v>
      </c>
      <c r="AG478" t="s">
        <v>23</v>
      </c>
      <c r="AH478" t="s">
        <v>23</v>
      </c>
      <c r="AI478" t="s">
        <v>23</v>
      </c>
      <c r="AJ478" t="s">
        <v>23</v>
      </c>
    </row>
    <row r="479" spans="1:36" x14ac:dyDescent="0.35">
      <c r="A479" s="2">
        <v>1477</v>
      </c>
      <c r="B479" s="4">
        <v>44927</v>
      </c>
      <c r="C479" s="1" t="s">
        <v>38</v>
      </c>
      <c r="D479" s="1" t="s">
        <v>25</v>
      </c>
      <c r="E479">
        <v>870956</v>
      </c>
      <c r="F479">
        <v>12</v>
      </c>
      <c r="G479" s="1" t="s">
        <v>35</v>
      </c>
      <c r="H479">
        <v>52846</v>
      </c>
      <c r="I479">
        <v>55607</v>
      </c>
      <c r="J479" s="1" t="s">
        <v>33</v>
      </c>
      <c r="K479" s="3">
        <v>17</v>
      </c>
      <c r="L479" s="1" t="s">
        <v>36</v>
      </c>
      <c r="M479" s="1" t="s">
        <v>37</v>
      </c>
      <c r="N479" s="3">
        <v>2024010123</v>
      </c>
      <c r="O479" s="3">
        <f t="shared" si="63"/>
        <v>1.23</v>
      </c>
      <c r="P479" s="6">
        <f t="shared" si="64"/>
        <v>1071275.8799999999</v>
      </c>
      <c r="Q479" s="3" t="str">
        <f t="shared" si="65"/>
        <v>Excellent</v>
      </c>
      <c r="R479" s="3">
        <f t="shared" si="66"/>
        <v>2761</v>
      </c>
      <c r="S479" s="7">
        <f t="shared" si="67"/>
        <v>33132</v>
      </c>
      <c r="T479" s="3" t="str">
        <f t="shared" si="68"/>
        <v>High Profit</v>
      </c>
      <c r="U479" s="3" t="str">
        <f t="shared" si="69"/>
        <v>High Discount</v>
      </c>
      <c r="V479" s="3" t="str">
        <f t="shared" si="70"/>
        <v>Priority C</v>
      </c>
      <c r="W479">
        <f t="shared" si="71"/>
        <v>87095.6</v>
      </c>
      <c r="X479" t="s">
        <v>23</v>
      </c>
      <c r="Y479" t="s">
        <v>23</v>
      </c>
      <c r="Z479" t="s">
        <v>23</v>
      </c>
      <c r="AA479" t="s">
        <v>23</v>
      </c>
      <c r="AB479" t="s">
        <v>23</v>
      </c>
      <c r="AC479" t="s">
        <v>23</v>
      </c>
      <c r="AD479" t="s">
        <v>23</v>
      </c>
      <c r="AE479" t="s">
        <v>23</v>
      </c>
      <c r="AF479" t="s">
        <v>23</v>
      </c>
      <c r="AG479" t="s">
        <v>23</v>
      </c>
      <c r="AH479" t="s">
        <v>23</v>
      </c>
      <c r="AI479" t="s">
        <v>23</v>
      </c>
      <c r="AJ479" t="s">
        <v>23</v>
      </c>
    </row>
    <row r="480" spans="1:36" x14ac:dyDescent="0.35">
      <c r="A480" s="2">
        <v>1478</v>
      </c>
      <c r="B480" s="4">
        <v>45240</v>
      </c>
      <c r="C480" s="1" t="s">
        <v>41</v>
      </c>
      <c r="D480" s="1" t="s">
        <v>31</v>
      </c>
      <c r="E480">
        <v>467162</v>
      </c>
      <c r="F480">
        <v>12</v>
      </c>
      <c r="G480" s="1" t="s">
        <v>26</v>
      </c>
      <c r="H480">
        <v>22518</v>
      </c>
      <c r="I480">
        <v>24904</v>
      </c>
      <c r="J480" s="1" t="s">
        <v>27</v>
      </c>
      <c r="K480" s="3">
        <v>16</v>
      </c>
      <c r="L480" s="1" t="s">
        <v>28</v>
      </c>
      <c r="M480" s="1" t="s">
        <v>37</v>
      </c>
      <c r="N480" s="3">
        <v>2024010123</v>
      </c>
      <c r="O480" s="3">
        <f t="shared" si="63"/>
        <v>1.23</v>
      </c>
      <c r="P480" s="6">
        <f t="shared" si="64"/>
        <v>574609.26</v>
      </c>
      <c r="Q480" s="3" t="str">
        <f t="shared" si="65"/>
        <v>Excellent</v>
      </c>
      <c r="R480" s="3">
        <f t="shared" si="66"/>
        <v>2386</v>
      </c>
      <c r="S480" s="7">
        <f t="shared" si="67"/>
        <v>28632</v>
      </c>
      <c r="T480" s="3" t="str">
        <f t="shared" si="68"/>
        <v>High Profit</v>
      </c>
      <c r="U480" s="3" t="str">
        <f t="shared" si="69"/>
        <v>High Discount</v>
      </c>
      <c r="V480" s="3" t="str">
        <f t="shared" si="70"/>
        <v>Priority C</v>
      </c>
      <c r="W480">
        <f t="shared" si="71"/>
        <v>70074.3</v>
      </c>
      <c r="X480" t="s">
        <v>23</v>
      </c>
      <c r="Y480" t="s">
        <v>23</v>
      </c>
      <c r="Z480" t="s">
        <v>23</v>
      </c>
      <c r="AA480" t="s">
        <v>23</v>
      </c>
      <c r="AB480" t="s">
        <v>23</v>
      </c>
      <c r="AC480" t="s">
        <v>23</v>
      </c>
      <c r="AD480" t="s">
        <v>23</v>
      </c>
      <c r="AE480" t="s">
        <v>23</v>
      </c>
      <c r="AF480" t="s">
        <v>23</v>
      </c>
      <c r="AG480" t="s">
        <v>23</v>
      </c>
      <c r="AH480" t="s">
        <v>23</v>
      </c>
      <c r="AI480" t="s">
        <v>23</v>
      </c>
      <c r="AJ480" t="s">
        <v>23</v>
      </c>
    </row>
    <row r="481" spans="1:36" x14ac:dyDescent="0.35">
      <c r="A481" s="2">
        <v>1479</v>
      </c>
      <c r="B481" s="4">
        <v>45165</v>
      </c>
      <c r="C481" s="1" t="s">
        <v>34</v>
      </c>
      <c r="D481" s="1" t="s">
        <v>31</v>
      </c>
      <c r="E481">
        <v>102308</v>
      </c>
      <c r="F481">
        <v>10</v>
      </c>
      <c r="G481" s="1" t="s">
        <v>32</v>
      </c>
      <c r="H481">
        <v>28717</v>
      </c>
      <c r="I481">
        <v>31842</v>
      </c>
      <c r="J481" s="1" t="s">
        <v>33</v>
      </c>
      <c r="K481" s="3">
        <v>23</v>
      </c>
      <c r="L481" s="1" t="s">
        <v>28</v>
      </c>
      <c r="M481" s="1" t="s">
        <v>29</v>
      </c>
      <c r="N481" s="3">
        <v>2024010123</v>
      </c>
      <c r="O481" s="3">
        <f t="shared" si="63"/>
        <v>1.23</v>
      </c>
      <c r="P481" s="6">
        <f t="shared" si="64"/>
        <v>125838.84</v>
      </c>
      <c r="Q481" s="3" t="str">
        <f t="shared" si="65"/>
        <v>Excellent</v>
      </c>
      <c r="R481" s="3">
        <f t="shared" si="66"/>
        <v>3125</v>
      </c>
      <c r="S481" s="7">
        <f t="shared" si="67"/>
        <v>31250</v>
      </c>
      <c r="T481" s="3" t="str">
        <f t="shared" si="68"/>
        <v>High Profit</v>
      </c>
      <c r="U481" s="3" t="str">
        <f t="shared" si="69"/>
        <v>High Discount</v>
      </c>
      <c r="V481" s="3" t="str">
        <f t="shared" si="70"/>
        <v>Priority D</v>
      </c>
      <c r="W481">
        <f t="shared" si="71"/>
        <v>10230.800000000001</v>
      </c>
      <c r="X481" t="s">
        <v>23</v>
      </c>
      <c r="Y481" t="s">
        <v>23</v>
      </c>
      <c r="Z481" t="s">
        <v>23</v>
      </c>
      <c r="AA481" t="s">
        <v>23</v>
      </c>
      <c r="AB481" t="s">
        <v>23</v>
      </c>
      <c r="AC481" t="s">
        <v>23</v>
      </c>
      <c r="AD481" t="s">
        <v>23</v>
      </c>
      <c r="AE481" t="s">
        <v>23</v>
      </c>
      <c r="AF481" t="s">
        <v>23</v>
      </c>
      <c r="AG481" t="s">
        <v>23</v>
      </c>
      <c r="AH481" t="s">
        <v>23</v>
      </c>
      <c r="AI481" t="s">
        <v>23</v>
      </c>
      <c r="AJ481" t="s">
        <v>23</v>
      </c>
    </row>
    <row r="482" spans="1:36" x14ac:dyDescent="0.35">
      <c r="A482" s="2">
        <v>1480</v>
      </c>
      <c r="B482" s="4">
        <v>45082</v>
      </c>
      <c r="C482" s="1" t="s">
        <v>41</v>
      </c>
      <c r="D482" s="1" t="s">
        <v>25</v>
      </c>
      <c r="E482">
        <v>825950</v>
      </c>
      <c r="F482">
        <v>35</v>
      </c>
      <c r="G482" s="1" t="s">
        <v>35</v>
      </c>
      <c r="H482">
        <v>23574</v>
      </c>
      <c r="I482">
        <v>35151</v>
      </c>
      <c r="J482" s="1" t="s">
        <v>27</v>
      </c>
      <c r="K482" s="3">
        <v>0</v>
      </c>
      <c r="L482" s="1" t="s">
        <v>40</v>
      </c>
      <c r="M482" s="1" t="s">
        <v>37</v>
      </c>
      <c r="N482" s="3">
        <v>2024010123</v>
      </c>
      <c r="O482" s="3">
        <f t="shared" si="63"/>
        <v>1.23</v>
      </c>
      <c r="P482" s="6">
        <f t="shared" si="64"/>
        <v>1015918.5</v>
      </c>
      <c r="Q482" s="3" t="str">
        <f t="shared" si="65"/>
        <v>Excellent</v>
      </c>
      <c r="R482" s="3">
        <f t="shared" si="66"/>
        <v>11577</v>
      </c>
      <c r="S482" s="7">
        <f t="shared" si="67"/>
        <v>405195</v>
      </c>
      <c r="T482" s="3" t="str">
        <f t="shared" si="68"/>
        <v>High Profit</v>
      </c>
      <c r="U482" s="3" t="str">
        <f t="shared" si="69"/>
        <v>No Discount</v>
      </c>
      <c r="V482" s="3" t="str">
        <f t="shared" si="70"/>
        <v>Priority C</v>
      </c>
      <c r="W482">
        <f t="shared" si="71"/>
        <v>123892.5</v>
      </c>
      <c r="X482" t="s">
        <v>23</v>
      </c>
      <c r="Y482" t="s">
        <v>23</v>
      </c>
      <c r="Z482" t="s">
        <v>23</v>
      </c>
      <c r="AA482" t="s">
        <v>23</v>
      </c>
      <c r="AB482" t="s">
        <v>23</v>
      </c>
      <c r="AC482" t="s">
        <v>23</v>
      </c>
      <c r="AD482" t="s">
        <v>23</v>
      </c>
      <c r="AE482" t="s">
        <v>23</v>
      </c>
      <c r="AF482" t="s">
        <v>23</v>
      </c>
      <c r="AG482" t="s">
        <v>23</v>
      </c>
      <c r="AH482" t="s">
        <v>23</v>
      </c>
      <c r="AI482" t="s">
        <v>23</v>
      </c>
      <c r="AJ482" t="s">
        <v>23</v>
      </c>
    </row>
    <row r="483" spans="1:36" x14ac:dyDescent="0.35">
      <c r="A483" s="2">
        <v>1481</v>
      </c>
      <c r="B483" s="4">
        <v>44938</v>
      </c>
      <c r="C483" s="1" t="s">
        <v>38</v>
      </c>
      <c r="D483" s="1" t="s">
        <v>42</v>
      </c>
      <c r="E483">
        <v>238010</v>
      </c>
      <c r="F483">
        <v>17</v>
      </c>
      <c r="G483" s="1" t="s">
        <v>32</v>
      </c>
      <c r="H483">
        <v>26417</v>
      </c>
      <c r="I483">
        <v>40001</v>
      </c>
      <c r="J483" s="1" t="s">
        <v>27</v>
      </c>
      <c r="K483" s="3">
        <v>2</v>
      </c>
      <c r="L483" s="1" t="s">
        <v>40</v>
      </c>
      <c r="M483" s="1" t="s">
        <v>29</v>
      </c>
      <c r="N483" s="3">
        <v>2024010123</v>
      </c>
      <c r="O483" s="3">
        <f t="shared" si="63"/>
        <v>1.23</v>
      </c>
      <c r="P483" s="6">
        <f t="shared" si="64"/>
        <v>292752.3</v>
      </c>
      <c r="Q483" s="3" t="str">
        <f t="shared" si="65"/>
        <v>Excellent</v>
      </c>
      <c r="R483" s="3">
        <f t="shared" si="66"/>
        <v>13584</v>
      </c>
      <c r="S483" s="7">
        <f t="shared" si="67"/>
        <v>230928</v>
      </c>
      <c r="T483" s="3" t="str">
        <f t="shared" si="68"/>
        <v>High Profit</v>
      </c>
      <c r="U483" s="3" t="str">
        <f t="shared" si="69"/>
        <v>Low Discount</v>
      </c>
      <c r="V483" s="3" t="str">
        <f t="shared" si="70"/>
        <v>Priority C</v>
      </c>
      <c r="W483">
        <f t="shared" si="71"/>
        <v>35701.5</v>
      </c>
      <c r="X483" t="s">
        <v>23</v>
      </c>
      <c r="Y483" t="s">
        <v>23</v>
      </c>
      <c r="Z483" t="s">
        <v>23</v>
      </c>
      <c r="AA483" t="s">
        <v>23</v>
      </c>
      <c r="AB483" t="s">
        <v>23</v>
      </c>
      <c r="AC483" t="s">
        <v>23</v>
      </c>
      <c r="AD483" t="s">
        <v>23</v>
      </c>
      <c r="AE483" t="s">
        <v>23</v>
      </c>
      <c r="AF483" t="s">
        <v>23</v>
      </c>
      <c r="AG483" t="s">
        <v>23</v>
      </c>
      <c r="AH483" t="s">
        <v>23</v>
      </c>
      <c r="AI483" t="s">
        <v>23</v>
      </c>
      <c r="AJ483" t="s">
        <v>23</v>
      </c>
    </row>
    <row r="484" spans="1:36" x14ac:dyDescent="0.35">
      <c r="A484" s="2">
        <v>1482</v>
      </c>
      <c r="B484" s="4">
        <v>45143</v>
      </c>
      <c r="C484" s="1" t="s">
        <v>38</v>
      </c>
      <c r="D484" s="1" t="s">
        <v>42</v>
      </c>
      <c r="E484">
        <v>158525</v>
      </c>
      <c r="F484">
        <v>48</v>
      </c>
      <c r="G484" s="1" t="s">
        <v>26</v>
      </c>
      <c r="H484">
        <v>21750</v>
      </c>
      <c r="I484">
        <v>33976</v>
      </c>
      <c r="J484" s="1" t="s">
        <v>33</v>
      </c>
      <c r="K484" s="3">
        <v>2</v>
      </c>
      <c r="L484" s="1" t="s">
        <v>28</v>
      </c>
      <c r="M484" s="1" t="s">
        <v>29</v>
      </c>
      <c r="N484" s="3">
        <v>2024010123</v>
      </c>
      <c r="O484" s="3">
        <f t="shared" si="63"/>
        <v>1.23</v>
      </c>
      <c r="P484" s="6">
        <f t="shared" si="64"/>
        <v>194985.75</v>
      </c>
      <c r="Q484" s="3" t="str">
        <f t="shared" si="65"/>
        <v>Excellent</v>
      </c>
      <c r="R484" s="3">
        <f t="shared" si="66"/>
        <v>12226</v>
      </c>
      <c r="S484" s="7">
        <f t="shared" si="67"/>
        <v>586848</v>
      </c>
      <c r="T484" s="3" t="str">
        <f t="shared" si="68"/>
        <v>High Profit</v>
      </c>
      <c r="U484" s="3" t="str">
        <f t="shared" si="69"/>
        <v>Low Discount</v>
      </c>
      <c r="V484" s="3" t="str">
        <f t="shared" si="70"/>
        <v>Priority C</v>
      </c>
      <c r="W484">
        <f t="shared" si="71"/>
        <v>15852.5</v>
      </c>
      <c r="X484" t="s">
        <v>23</v>
      </c>
      <c r="Y484" t="s">
        <v>23</v>
      </c>
      <c r="Z484" t="s">
        <v>23</v>
      </c>
      <c r="AA484" t="s">
        <v>23</v>
      </c>
      <c r="AB484" t="s">
        <v>23</v>
      </c>
      <c r="AC484" t="s">
        <v>23</v>
      </c>
      <c r="AD484" t="s">
        <v>23</v>
      </c>
      <c r="AE484" t="s">
        <v>23</v>
      </c>
      <c r="AF484" t="s">
        <v>23</v>
      </c>
      <c r="AG484" t="s">
        <v>23</v>
      </c>
      <c r="AH484" t="s">
        <v>23</v>
      </c>
      <c r="AI484" t="s">
        <v>23</v>
      </c>
      <c r="AJ484" t="s">
        <v>23</v>
      </c>
    </row>
    <row r="485" spans="1:36" x14ac:dyDescent="0.35">
      <c r="A485" s="2">
        <v>1483</v>
      </c>
      <c r="B485" s="4">
        <v>44966</v>
      </c>
      <c r="C485" s="1" t="s">
        <v>38</v>
      </c>
      <c r="D485" s="1" t="s">
        <v>25</v>
      </c>
      <c r="E485">
        <v>124562</v>
      </c>
      <c r="F485">
        <v>48</v>
      </c>
      <c r="G485" s="1" t="s">
        <v>26</v>
      </c>
      <c r="H485">
        <v>24408</v>
      </c>
      <c r="I485">
        <v>35162</v>
      </c>
      <c r="J485" s="1" t="s">
        <v>27</v>
      </c>
      <c r="K485" s="3">
        <v>11</v>
      </c>
      <c r="L485" s="1" t="s">
        <v>28</v>
      </c>
      <c r="M485" s="1" t="s">
        <v>29</v>
      </c>
      <c r="N485" s="3">
        <v>2024010123</v>
      </c>
      <c r="O485" s="3">
        <f t="shared" si="63"/>
        <v>1.23</v>
      </c>
      <c r="P485" s="6">
        <f t="shared" si="64"/>
        <v>153211.26</v>
      </c>
      <c r="Q485" s="3" t="str">
        <f t="shared" si="65"/>
        <v>Excellent</v>
      </c>
      <c r="R485" s="3">
        <f t="shared" si="66"/>
        <v>10754</v>
      </c>
      <c r="S485" s="7">
        <f t="shared" si="67"/>
        <v>516192</v>
      </c>
      <c r="T485" s="3" t="str">
        <f t="shared" si="68"/>
        <v>High Profit</v>
      </c>
      <c r="U485" s="3" t="str">
        <f t="shared" si="69"/>
        <v>Medium Discount</v>
      </c>
      <c r="V485" s="3" t="str">
        <f t="shared" si="70"/>
        <v>Priority C</v>
      </c>
      <c r="W485">
        <f t="shared" si="71"/>
        <v>18684.3</v>
      </c>
      <c r="X485" t="s">
        <v>23</v>
      </c>
      <c r="Y485" t="s">
        <v>23</v>
      </c>
      <c r="Z485" t="s">
        <v>23</v>
      </c>
      <c r="AA485" t="s">
        <v>23</v>
      </c>
      <c r="AB485" t="s">
        <v>23</v>
      </c>
      <c r="AC485" t="s">
        <v>23</v>
      </c>
      <c r="AD485" t="s">
        <v>23</v>
      </c>
      <c r="AE485" t="s">
        <v>23</v>
      </c>
      <c r="AF485" t="s">
        <v>23</v>
      </c>
      <c r="AG485" t="s">
        <v>23</v>
      </c>
      <c r="AH485" t="s">
        <v>23</v>
      </c>
      <c r="AI485" t="s">
        <v>23</v>
      </c>
      <c r="AJ485" t="s">
        <v>23</v>
      </c>
    </row>
    <row r="486" spans="1:36" x14ac:dyDescent="0.35">
      <c r="A486" s="2">
        <v>1484</v>
      </c>
      <c r="B486" s="4">
        <v>45108</v>
      </c>
      <c r="C486" s="1" t="s">
        <v>41</v>
      </c>
      <c r="D486" s="1" t="s">
        <v>25</v>
      </c>
      <c r="E486">
        <v>844669</v>
      </c>
      <c r="F486">
        <v>12</v>
      </c>
      <c r="G486" s="1" t="s">
        <v>26</v>
      </c>
      <c r="H486">
        <v>10695</v>
      </c>
      <c r="I486">
        <v>22607</v>
      </c>
      <c r="J486" s="1" t="s">
        <v>27</v>
      </c>
      <c r="K486" s="3">
        <v>11</v>
      </c>
      <c r="L486" s="1" t="s">
        <v>36</v>
      </c>
      <c r="M486" s="1" t="s">
        <v>37</v>
      </c>
      <c r="N486" s="3">
        <v>2024010123</v>
      </c>
      <c r="O486" s="3">
        <f t="shared" si="63"/>
        <v>1.23</v>
      </c>
      <c r="P486" s="6">
        <f t="shared" si="64"/>
        <v>1038942.87</v>
      </c>
      <c r="Q486" s="3" t="str">
        <f t="shared" si="65"/>
        <v>Excellent</v>
      </c>
      <c r="R486" s="3">
        <f t="shared" si="66"/>
        <v>11912</v>
      </c>
      <c r="S486" s="7">
        <f t="shared" si="67"/>
        <v>142944</v>
      </c>
      <c r="T486" s="3" t="str">
        <f t="shared" si="68"/>
        <v>High Profit</v>
      </c>
      <c r="U486" s="3" t="str">
        <f t="shared" si="69"/>
        <v>Medium Discount</v>
      </c>
      <c r="V486" s="3" t="str">
        <f t="shared" si="70"/>
        <v>Priority C</v>
      </c>
      <c r="W486">
        <f t="shared" si="71"/>
        <v>126700.34999999999</v>
      </c>
      <c r="X486" t="s">
        <v>23</v>
      </c>
      <c r="Y486" t="s">
        <v>23</v>
      </c>
      <c r="Z486" t="s">
        <v>23</v>
      </c>
      <c r="AA486" t="s">
        <v>23</v>
      </c>
      <c r="AB486" t="s">
        <v>23</v>
      </c>
      <c r="AC486" t="s">
        <v>23</v>
      </c>
      <c r="AD486" t="s">
        <v>23</v>
      </c>
      <c r="AE486" t="s">
        <v>23</v>
      </c>
      <c r="AF486" t="s">
        <v>23</v>
      </c>
      <c r="AG486" t="s">
        <v>23</v>
      </c>
      <c r="AH486" t="s">
        <v>23</v>
      </c>
      <c r="AI486" t="s">
        <v>23</v>
      </c>
      <c r="AJ486" t="s">
        <v>23</v>
      </c>
    </row>
    <row r="487" spans="1:36" x14ac:dyDescent="0.35">
      <c r="A487" s="2">
        <v>1485</v>
      </c>
      <c r="B487" s="4">
        <v>45233</v>
      </c>
      <c r="C487" s="1" t="s">
        <v>41</v>
      </c>
      <c r="D487" s="1" t="s">
        <v>43</v>
      </c>
      <c r="E487">
        <v>887169</v>
      </c>
      <c r="F487">
        <v>35</v>
      </c>
      <c r="G487" s="1" t="s">
        <v>26</v>
      </c>
      <c r="H487">
        <v>29328</v>
      </c>
      <c r="I487">
        <v>38399</v>
      </c>
      <c r="J487" s="1" t="s">
        <v>27</v>
      </c>
      <c r="K487" s="3">
        <v>8</v>
      </c>
      <c r="L487" s="1" t="s">
        <v>28</v>
      </c>
      <c r="M487" s="1" t="s">
        <v>37</v>
      </c>
      <c r="N487" s="3">
        <v>2024010123</v>
      </c>
      <c r="O487" s="3">
        <f t="shared" si="63"/>
        <v>1.23</v>
      </c>
      <c r="P487" s="6">
        <f t="shared" si="64"/>
        <v>1091217.8699999999</v>
      </c>
      <c r="Q487" s="3" t="str">
        <f t="shared" si="65"/>
        <v>Excellent</v>
      </c>
      <c r="R487" s="3">
        <f t="shared" si="66"/>
        <v>9071</v>
      </c>
      <c r="S487" s="7">
        <f t="shared" si="67"/>
        <v>317485</v>
      </c>
      <c r="T487" s="3" t="str">
        <f t="shared" si="68"/>
        <v>High Profit</v>
      </c>
      <c r="U487" s="3" t="str">
        <f t="shared" si="69"/>
        <v>Medium Discount</v>
      </c>
      <c r="V487" s="3" t="str">
        <f t="shared" si="70"/>
        <v>Priority C</v>
      </c>
      <c r="W487">
        <f t="shared" si="71"/>
        <v>133075.35</v>
      </c>
      <c r="X487" t="s">
        <v>23</v>
      </c>
      <c r="Y487" t="s">
        <v>23</v>
      </c>
      <c r="Z487" t="s">
        <v>23</v>
      </c>
      <c r="AA487" t="s">
        <v>23</v>
      </c>
      <c r="AB487" t="s">
        <v>23</v>
      </c>
      <c r="AC487" t="s">
        <v>23</v>
      </c>
      <c r="AD487" t="s">
        <v>23</v>
      </c>
      <c r="AE487" t="s">
        <v>23</v>
      </c>
      <c r="AF487" t="s">
        <v>23</v>
      </c>
      <c r="AG487" t="s">
        <v>23</v>
      </c>
      <c r="AH487" t="s">
        <v>23</v>
      </c>
      <c r="AI487" t="s">
        <v>23</v>
      </c>
      <c r="AJ487" t="s">
        <v>23</v>
      </c>
    </row>
    <row r="488" spans="1:36" x14ac:dyDescent="0.35">
      <c r="A488" s="2">
        <v>1486</v>
      </c>
      <c r="B488" s="4">
        <v>44994</v>
      </c>
      <c r="C488" s="1" t="s">
        <v>30</v>
      </c>
      <c r="D488" s="1" t="s">
        <v>25</v>
      </c>
      <c r="E488">
        <v>555603</v>
      </c>
      <c r="F488">
        <v>46</v>
      </c>
      <c r="G488" s="1" t="s">
        <v>32</v>
      </c>
      <c r="H488">
        <v>24964</v>
      </c>
      <c r="I488">
        <v>38456</v>
      </c>
      <c r="J488" s="1" t="s">
        <v>33</v>
      </c>
      <c r="K488" s="3">
        <v>28</v>
      </c>
      <c r="L488" s="1" t="s">
        <v>28</v>
      </c>
      <c r="M488" s="1" t="s">
        <v>29</v>
      </c>
      <c r="N488" s="3">
        <v>2024010123</v>
      </c>
      <c r="O488" s="3">
        <f t="shared" si="63"/>
        <v>1.23</v>
      </c>
      <c r="P488" s="6">
        <f t="shared" si="64"/>
        <v>683391.69</v>
      </c>
      <c r="Q488" s="3" t="str">
        <f t="shared" si="65"/>
        <v>Excellent</v>
      </c>
      <c r="R488" s="3">
        <f t="shared" si="66"/>
        <v>13492</v>
      </c>
      <c r="S488" s="7">
        <f t="shared" si="67"/>
        <v>620632</v>
      </c>
      <c r="T488" s="3" t="str">
        <f t="shared" si="68"/>
        <v>High Profit</v>
      </c>
      <c r="U488" s="3" t="str">
        <f t="shared" si="69"/>
        <v>High Discount</v>
      </c>
      <c r="V488" s="3" t="str">
        <f t="shared" si="70"/>
        <v>Priority B</v>
      </c>
      <c r="W488">
        <f t="shared" si="71"/>
        <v>55560.3</v>
      </c>
      <c r="X488" t="s">
        <v>23</v>
      </c>
      <c r="Y488" t="s">
        <v>23</v>
      </c>
      <c r="Z488" t="s">
        <v>23</v>
      </c>
      <c r="AA488" t="s">
        <v>23</v>
      </c>
      <c r="AB488" t="s">
        <v>23</v>
      </c>
      <c r="AC488" t="s">
        <v>23</v>
      </c>
      <c r="AD488" t="s">
        <v>23</v>
      </c>
      <c r="AE488" t="s">
        <v>23</v>
      </c>
      <c r="AF488" t="s">
        <v>23</v>
      </c>
      <c r="AG488" t="s">
        <v>23</v>
      </c>
      <c r="AH488" t="s">
        <v>23</v>
      </c>
      <c r="AI488" t="s">
        <v>23</v>
      </c>
      <c r="AJ488" t="s">
        <v>23</v>
      </c>
    </row>
    <row r="489" spans="1:36" x14ac:dyDescent="0.35">
      <c r="A489" s="2">
        <v>1487</v>
      </c>
      <c r="B489" s="4">
        <v>45033</v>
      </c>
      <c r="C489" s="1" t="s">
        <v>41</v>
      </c>
      <c r="D489" s="1" t="s">
        <v>31</v>
      </c>
      <c r="E489">
        <v>731389</v>
      </c>
      <c r="F489">
        <v>26</v>
      </c>
      <c r="G489" s="1" t="s">
        <v>26</v>
      </c>
      <c r="H489">
        <v>17862</v>
      </c>
      <c r="I489">
        <v>28888</v>
      </c>
      <c r="J489" s="1" t="s">
        <v>33</v>
      </c>
      <c r="K489" s="3">
        <v>17</v>
      </c>
      <c r="L489" s="1" t="s">
        <v>40</v>
      </c>
      <c r="M489" s="1" t="s">
        <v>37</v>
      </c>
      <c r="N489" s="3">
        <v>2024010123</v>
      </c>
      <c r="O489" s="3">
        <f t="shared" si="63"/>
        <v>1.23</v>
      </c>
      <c r="P489" s="6">
        <f t="shared" si="64"/>
        <v>899608.47</v>
      </c>
      <c r="Q489" s="3" t="str">
        <f t="shared" si="65"/>
        <v>Excellent</v>
      </c>
      <c r="R489" s="3">
        <f t="shared" si="66"/>
        <v>11026</v>
      </c>
      <c r="S489" s="7">
        <f t="shared" si="67"/>
        <v>286676</v>
      </c>
      <c r="T489" s="3" t="str">
        <f t="shared" si="68"/>
        <v>High Profit</v>
      </c>
      <c r="U489" s="3" t="str">
        <f t="shared" si="69"/>
        <v>High Discount</v>
      </c>
      <c r="V489" s="3" t="str">
        <f t="shared" si="70"/>
        <v>Priority C</v>
      </c>
      <c r="W489">
        <f t="shared" si="71"/>
        <v>73138.900000000009</v>
      </c>
      <c r="X489" t="s">
        <v>23</v>
      </c>
      <c r="Y489" t="s">
        <v>23</v>
      </c>
      <c r="Z489" t="s">
        <v>23</v>
      </c>
      <c r="AA489" t="s">
        <v>23</v>
      </c>
      <c r="AB489" t="s">
        <v>23</v>
      </c>
      <c r="AC489" t="s">
        <v>23</v>
      </c>
      <c r="AD489" t="s">
        <v>23</v>
      </c>
      <c r="AE489" t="s">
        <v>23</v>
      </c>
      <c r="AF489" t="s">
        <v>23</v>
      </c>
      <c r="AG489" t="s">
        <v>23</v>
      </c>
      <c r="AH489" t="s">
        <v>23</v>
      </c>
      <c r="AI489" t="s">
        <v>23</v>
      </c>
      <c r="AJ489" t="s">
        <v>23</v>
      </c>
    </row>
    <row r="490" spans="1:36" x14ac:dyDescent="0.35">
      <c r="A490" s="2">
        <v>1488</v>
      </c>
      <c r="B490" s="4">
        <v>45098</v>
      </c>
      <c r="C490" s="1" t="s">
        <v>24</v>
      </c>
      <c r="D490" s="1" t="s">
        <v>43</v>
      </c>
      <c r="E490">
        <v>656333</v>
      </c>
      <c r="F490">
        <v>42</v>
      </c>
      <c r="G490" s="1" t="s">
        <v>26</v>
      </c>
      <c r="H490">
        <v>13172</v>
      </c>
      <c r="I490">
        <v>26431</v>
      </c>
      <c r="J490" s="1" t="s">
        <v>27</v>
      </c>
      <c r="K490" s="3">
        <v>29</v>
      </c>
      <c r="L490" s="1" t="s">
        <v>28</v>
      </c>
      <c r="M490" s="1" t="s">
        <v>37</v>
      </c>
      <c r="N490" s="3">
        <v>2024010123</v>
      </c>
      <c r="O490" s="3">
        <f t="shared" si="63"/>
        <v>1.23</v>
      </c>
      <c r="P490" s="6">
        <f t="shared" si="64"/>
        <v>807289.59</v>
      </c>
      <c r="Q490" s="3" t="str">
        <f t="shared" si="65"/>
        <v>Excellent</v>
      </c>
      <c r="R490" s="3">
        <f t="shared" si="66"/>
        <v>13259</v>
      </c>
      <c r="S490" s="7">
        <f t="shared" si="67"/>
        <v>556878</v>
      </c>
      <c r="T490" s="3" t="str">
        <f t="shared" si="68"/>
        <v>High Profit</v>
      </c>
      <c r="U490" s="3" t="str">
        <f t="shared" si="69"/>
        <v>High Discount</v>
      </c>
      <c r="V490" s="3" t="str">
        <f t="shared" si="70"/>
        <v>Priority C</v>
      </c>
      <c r="W490">
        <f t="shared" si="71"/>
        <v>98449.95</v>
      </c>
      <c r="X490" t="s">
        <v>23</v>
      </c>
      <c r="Y490" t="s">
        <v>23</v>
      </c>
      <c r="Z490" t="s">
        <v>23</v>
      </c>
      <c r="AA490" t="s">
        <v>23</v>
      </c>
      <c r="AB490" t="s">
        <v>23</v>
      </c>
      <c r="AC490" t="s">
        <v>23</v>
      </c>
      <c r="AD490" t="s">
        <v>23</v>
      </c>
      <c r="AE490" t="s">
        <v>23</v>
      </c>
      <c r="AF490" t="s">
        <v>23</v>
      </c>
      <c r="AG490" t="s">
        <v>23</v>
      </c>
      <c r="AH490" t="s">
        <v>23</v>
      </c>
      <c r="AI490" t="s">
        <v>23</v>
      </c>
      <c r="AJ490" t="s">
        <v>23</v>
      </c>
    </row>
    <row r="491" spans="1:36" x14ac:dyDescent="0.35">
      <c r="A491" s="2">
        <v>1489</v>
      </c>
      <c r="B491" s="4">
        <v>45202</v>
      </c>
      <c r="C491" s="1" t="s">
        <v>34</v>
      </c>
      <c r="D491" s="1" t="s">
        <v>42</v>
      </c>
      <c r="E491">
        <v>499169</v>
      </c>
      <c r="F491">
        <v>15</v>
      </c>
      <c r="G491" s="1" t="s">
        <v>26</v>
      </c>
      <c r="H491">
        <v>19710</v>
      </c>
      <c r="I491">
        <v>27063</v>
      </c>
      <c r="J491" s="1" t="s">
        <v>27</v>
      </c>
      <c r="K491" s="3">
        <v>24</v>
      </c>
      <c r="L491" s="1" t="s">
        <v>40</v>
      </c>
      <c r="M491" s="1" t="s">
        <v>37</v>
      </c>
      <c r="N491" s="3">
        <v>2024010123</v>
      </c>
      <c r="O491" s="3">
        <f t="shared" si="63"/>
        <v>1.23</v>
      </c>
      <c r="P491" s="6">
        <f t="shared" si="64"/>
        <v>613977.87</v>
      </c>
      <c r="Q491" s="3" t="str">
        <f t="shared" si="65"/>
        <v>Excellent</v>
      </c>
      <c r="R491" s="3">
        <f t="shared" si="66"/>
        <v>7353</v>
      </c>
      <c r="S491" s="7">
        <f t="shared" si="67"/>
        <v>110295</v>
      </c>
      <c r="T491" s="3" t="str">
        <f t="shared" si="68"/>
        <v>High Profit</v>
      </c>
      <c r="U491" s="3" t="str">
        <f t="shared" si="69"/>
        <v>High Discount</v>
      </c>
      <c r="V491" s="3" t="str">
        <f t="shared" si="70"/>
        <v>Priority C</v>
      </c>
      <c r="W491">
        <f t="shared" si="71"/>
        <v>74875.349999999991</v>
      </c>
      <c r="X491" t="s">
        <v>23</v>
      </c>
      <c r="Y491" t="s">
        <v>23</v>
      </c>
      <c r="Z491" t="s">
        <v>23</v>
      </c>
      <c r="AA491" t="s">
        <v>23</v>
      </c>
      <c r="AB491" t="s">
        <v>23</v>
      </c>
      <c r="AC491" t="s">
        <v>23</v>
      </c>
      <c r="AD491" t="s">
        <v>23</v>
      </c>
      <c r="AE491" t="s">
        <v>23</v>
      </c>
      <c r="AF491" t="s">
        <v>23</v>
      </c>
      <c r="AG491" t="s">
        <v>23</v>
      </c>
      <c r="AH491" t="s">
        <v>23</v>
      </c>
      <c r="AI491" t="s">
        <v>23</v>
      </c>
      <c r="AJ491" t="s">
        <v>23</v>
      </c>
    </row>
    <row r="492" spans="1:36" x14ac:dyDescent="0.35">
      <c r="A492" s="2">
        <v>1490</v>
      </c>
      <c r="B492" s="4">
        <v>44943</v>
      </c>
      <c r="C492" s="1" t="s">
        <v>24</v>
      </c>
      <c r="D492" s="1" t="s">
        <v>31</v>
      </c>
      <c r="E492">
        <v>559401</v>
      </c>
      <c r="F492">
        <v>13</v>
      </c>
      <c r="G492" s="1" t="s">
        <v>32</v>
      </c>
      <c r="H492">
        <v>34686</v>
      </c>
      <c r="I492">
        <v>39043</v>
      </c>
      <c r="J492" s="1" t="s">
        <v>33</v>
      </c>
      <c r="K492" s="3">
        <v>0</v>
      </c>
      <c r="L492" s="1" t="s">
        <v>40</v>
      </c>
      <c r="M492" s="1" t="s">
        <v>37</v>
      </c>
      <c r="N492" s="3">
        <v>2024010123</v>
      </c>
      <c r="O492" s="3">
        <f t="shared" si="63"/>
        <v>1.23</v>
      </c>
      <c r="P492" s="6">
        <f t="shared" si="64"/>
        <v>688063.23</v>
      </c>
      <c r="Q492" s="3" t="str">
        <f t="shared" si="65"/>
        <v>Excellent</v>
      </c>
      <c r="R492" s="3">
        <f t="shared" si="66"/>
        <v>4357</v>
      </c>
      <c r="S492" s="7">
        <f t="shared" si="67"/>
        <v>56641</v>
      </c>
      <c r="T492" s="3" t="str">
        <f t="shared" si="68"/>
        <v>High Profit</v>
      </c>
      <c r="U492" s="3" t="str">
        <f t="shared" si="69"/>
        <v>No Discount</v>
      </c>
      <c r="V492" s="3" t="str">
        <f t="shared" si="70"/>
        <v>Priority C</v>
      </c>
      <c r="W492">
        <f t="shared" si="71"/>
        <v>55940.100000000006</v>
      </c>
      <c r="X492" t="s">
        <v>23</v>
      </c>
      <c r="Y492" t="s">
        <v>23</v>
      </c>
      <c r="Z492" t="s">
        <v>23</v>
      </c>
      <c r="AA492" t="s">
        <v>23</v>
      </c>
      <c r="AB492" t="s">
        <v>23</v>
      </c>
      <c r="AC492" t="s">
        <v>23</v>
      </c>
      <c r="AD492" t="s">
        <v>23</v>
      </c>
      <c r="AE492" t="s">
        <v>23</v>
      </c>
      <c r="AF492" t="s">
        <v>23</v>
      </c>
      <c r="AG492" t="s">
        <v>23</v>
      </c>
      <c r="AH492" t="s">
        <v>23</v>
      </c>
      <c r="AI492" t="s">
        <v>23</v>
      </c>
      <c r="AJ492" t="s">
        <v>23</v>
      </c>
    </row>
    <row r="493" spans="1:36" x14ac:dyDescent="0.35">
      <c r="A493" s="2">
        <v>1491</v>
      </c>
      <c r="B493" s="4">
        <v>45153</v>
      </c>
      <c r="C493" s="1" t="s">
        <v>24</v>
      </c>
      <c r="D493" s="1" t="s">
        <v>43</v>
      </c>
      <c r="E493">
        <v>92701</v>
      </c>
      <c r="F493">
        <v>18</v>
      </c>
      <c r="G493" s="1" t="s">
        <v>32</v>
      </c>
      <c r="H493">
        <v>39794</v>
      </c>
      <c r="I493">
        <v>47098</v>
      </c>
      <c r="J493" s="1" t="s">
        <v>27</v>
      </c>
      <c r="K493" s="3">
        <v>3</v>
      </c>
      <c r="L493" s="1" t="s">
        <v>36</v>
      </c>
      <c r="M493" s="1" t="s">
        <v>29</v>
      </c>
      <c r="N493" s="3">
        <v>2024010123</v>
      </c>
      <c r="O493" s="3">
        <f t="shared" si="63"/>
        <v>1.23</v>
      </c>
      <c r="P493" s="6">
        <f t="shared" si="64"/>
        <v>114022.23</v>
      </c>
      <c r="Q493" s="3" t="str">
        <f t="shared" si="65"/>
        <v>Excellent</v>
      </c>
      <c r="R493" s="3">
        <f t="shared" si="66"/>
        <v>7304</v>
      </c>
      <c r="S493" s="7">
        <f t="shared" si="67"/>
        <v>131472</v>
      </c>
      <c r="T493" s="3" t="str">
        <f t="shared" si="68"/>
        <v>High Profit</v>
      </c>
      <c r="U493" s="3" t="str">
        <f t="shared" si="69"/>
        <v>Low Discount</v>
      </c>
      <c r="V493" s="3" t="str">
        <f t="shared" si="70"/>
        <v>Priority C</v>
      </c>
      <c r="W493">
        <f t="shared" si="71"/>
        <v>13905.15</v>
      </c>
      <c r="X493" t="s">
        <v>23</v>
      </c>
      <c r="Y493" t="s">
        <v>23</v>
      </c>
      <c r="Z493" t="s">
        <v>23</v>
      </c>
      <c r="AA493" t="s">
        <v>23</v>
      </c>
      <c r="AB493" t="s">
        <v>23</v>
      </c>
      <c r="AC493" t="s">
        <v>23</v>
      </c>
      <c r="AD493" t="s">
        <v>23</v>
      </c>
      <c r="AE493" t="s">
        <v>23</v>
      </c>
      <c r="AF493" t="s">
        <v>23</v>
      </c>
      <c r="AG493" t="s">
        <v>23</v>
      </c>
      <c r="AH493" t="s">
        <v>23</v>
      </c>
      <c r="AI493" t="s">
        <v>23</v>
      </c>
      <c r="AJ493" t="s">
        <v>23</v>
      </c>
    </row>
    <row r="494" spans="1:36" x14ac:dyDescent="0.35">
      <c r="A494" s="2">
        <v>1492</v>
      </c>
      <c r="B494" s="4">
        <v>45057</v>
      </c>
      <c r="C494" s="1" t="s">
        <v>34</v>
      </c>
      <c r="D494" s="1" t="s">
        <v>25</v>
      </c>
      <c r="E494">
        <v>703294</v>
      </c>
      <c r="F494">
        <v>13</v>
      </c>
      <c r="G494" s="1" t="s">
        <v>26</v>
      </c>
      <c r="H494">
        <v>19297</v>
      </c>
      <c r="I494">
        <v>24741</v>
      </c>
      <c r="J494" s="1" t="s">
        <v>33</v>
      </c>
      <c r="K494" s="3">
        <v>3</v>
      </c>
      <c r="L494" s="1" t="s">
        <v>36</v>
      </c>
      <c r="M494" s="1" t="s">
        <v>29</v>
      </c>
      <c r="N494" s="3">
        <v>2024010123</v>
      </c>
      <c r="O494" s="3">
        <f t="shared" si="63"/>
        <v>1.23</v>
      </c>
      <c r="P494" s="6">
        <f t="shared" si="64"/>
        <v>865051.62</v>
      </c>
      <c r="Q494" s="3" t="str">
        <f t="shared" si="65"/>
        <v>Excellent</v>
      </c>
      <c r="R494" s="3">
        <f t="shared" si="66"/>
        <v>5444</v>
      </c>
      <c r="S494" s="7">
        <f t="shared" si="67"/>
        <v>70772</v>
      </c>
      <c r="T494" s="3" t="str">
        <f t="shared" si="68"/>
        <v>High Profit</v>
      </c>
      <c r="U494" s="3" t="str">
        <f t="shared" si="69"/>
        <v>Low Discount</v>
      </c>
      <c r="V494" s="3" t="str">
        <f t="shared" si="70"/>
        <v>Priority D</v>
      </c>
      <c r="W494">
        <f t="shared" si="71"/>
        <v>70329.400000000009</v>
      </c>
      <c r="X494" t="s">
        <v>23</v>
      </c>
      <c r="Y494" t="s">
        <v>23</v>
      </c>
      <c r="Z494" t="s">
        <v>23</v>
      </c>
      <c r="AA494" t="s">
        <v>23</v>
      </c>
      <c r="AB494" t="s">
        <v>23</v>
      </c>
      <c r="AC494" t="s">
        <v>23</v>
      </c>
      <c r="AD494" t="s">
        <v>23</v>
      </c>
      <c r="AE494" t="s">
        <v>23</v>
      </c>
      <c r="AF494" t="s">
        <v>23</v>
      </c>
      <c r="AG494" t="s">
        <v>23</v>
      </c>
      <c r="AH494" t="s">
        <v>23</v>
      </c>
      <c r="AI494" t="s">
        <v>23</v>
      </c>
      <c r="AJ494" t="s">
        <v>23</v>
      </c>
    </row>
    <row r="495" spans="1:36" x14ac:dyDescent="0.35">
      <c r="A495" s="2">
        <v>1493</v>
      </c>
      <c r="B495" s="4">
        <v>45213</v>
      </c>
      <c r="C495" s="1" t="s">
        <v>30</v>
      </c>
      <c r="D495" s="1" t="s">
        <v>31</v>
      </c>
      <c r="E495">
        <v>391271</v>
      </c>
      <c r="F495">
        <v>18</v>
      </c>
      <c r="G495" s="1" t="s">
        <v>32</v>
      </c>
      <c r="H495">
        <v>37002</v>
      </c>
      <c r="I495">
        <v>40571</v>
      </c>
      <c r="J495" s="1" t="s">
        <v>33</v>
      </c>
      <c r="K495" s="3">
        <v>10</v>
      </c>
      <c r="L495" s="1" t="s">
        <v>36</v>
      </c>
      <c r="M495" s="1" t="s">
        <v>29</v>
      </c>
      <c r="N495" s="3">
        <v>2024010123</v>
      </c>
      <c r="O495" s="3">
        <f t="shared" si="63"/>
        <v>1.23</v>
      </c>
      <c r="P495" s="6">
        <f t="shared" si="64"/>
        <v>481263.33</v>
      </c>
      <c r="Q495" s="3" t="str">
        <f t="shared" si="65"/>
        <v>Excellent</v>
      </c>
      <c r="R495" s="3">
        <f t="shared" si="66"/>
        <v>3569</v>
      </c>
      <c r="S495" s="7">
        <f t="shared" si="67"/>
        <v>64242</v>
      </c>
      <c r="T495" s="3" t="str">
        <f t="shared" si="68"/>
        <v>High Profit</v>
      </c>
      <c r="U495" s="3" t="str">
        <f t="shared" si="69"/>
        <v>Medium Discount</v>
      </c>
      <c r="V495" s="3" t="str">
        <f t="shared" si="70"/>
        <v>Priority C</v>
      </c>
      <c r="W495">
        <f t="shared" si="71"/>
        <v>39127.1</v>
      </c>
      <c r="X495" t="s">
        <v>23</v>
      </c>
      <c r="Y495" t="s">
        <v>23</v>
      </c>
      <c r="Z495" t="s">
        <v>23</v>
      </c>
      <c r="AA495" t="s">
        <v>23</v>
      </c>
      <c r="AB495" t="s">
        <v>23</v>
      </c>
      <c r="AC495" t="s">
        <v>23</v>
      </c>
      <c r="AD495" t="s">
        <v>23</v>
      </c>
      <c r="AE495" t="s">
        <v>23</v>
      </c>
      <c r="AF495" t="s">
        <v>23</v>
      </c>
      <c r="AG495" t="s">
        <v>23</v>
      </c>
      <c r="AH495" t="s">
        <v>23</v>
      </c>
      <c r="AI495" t="s">
        <v>23</v>
      </c>
      <c r="AJ495" t="s">
        <v>23</v>
      </c>
    </row>
    <row r="496" spans="1:36" x14ac:dyDescent="0.35">
      <c r="A496" s="2">
        <v>1494</v>
      </c>
      <c r="B496" s="4">
        <v>45097</v>
      </c>
      <c r="C496" s="1" t="s">
        <v>34</v>
      </c>
      <c r="D496" s="1" t="s">
        <v>31</v>
      </c>
      <c r="E496">
        <v>477197</v>
      </c>
      <c r="F496">
        <v>18</v>
      </c>
      <c r="G496" s="1" t="s">
        <v>35</v>
      </c>
      <c r="H496">
        <v>29568</v>
      </c>
      <c r="I496">
        <v>35709</v>
      </c>
      <c r="J496" s="1" t="s">
        <v>27</v>
      </c>
      <c r="K496" s="3">
        <v>9</v>
      </c>
      <c r="L496" s="1" t="s">
        <v>40</v>
      </c>
      <c r="M496" s="1" t="s">
        <v>29</v>
      </c>
      <c r="N496" s="3">
        <v>2024010123</v>
      </c>
      <c r="O496" s="3">
        <f t="shared" si="63"/>
        <v>1.23</v>
      </c>
      <c r="P496" s="6">
        <f t="shared" si="64"/>
        <v>586952.30999999994</v>
      </c>
      <c r="Q496" s="3" t="str">
        <f t="shared" si="65"/>
        <v>Excellent</v>
      </c>
      <c r="R496" s="3">
        <f t="shared" si="66"/>
        <v>6141</v>
      </c>
      <c r="S496" s="7">
        <f t="shared" si="67"/>
        <v>110538</v>
      </c>
      <c r="T496" s="3" t="str">
        <f t="shared" si="68"/>
        <v>High Profit</v>
      </c>
      <c r="U496" s="3" t="str">
        <f t="shared" si="69"/>
        <v>Medium Discount</v>
      </c>
      <c r="V496" s="3" t="str">
        <f t="shared" si="70"/>
        <v>Priority C</v>
      </c>
      <c r="W496">
        <f t="shared" si="71"/>
        <v>71579.55</v>
      </c>
      <c r="X496" t="s">
        <v>23</v>
      </c>
      <c r="Y496" t="s">
        <v>23</v>
      </c>
      <c r="Z496" t="s">
        <v>23</v>
      </c>
      <c r="AA496" t="s">
        <v>23</v>
      </c>
      <c r="AB496" t="s">
        <v>23</v>
      </c>
      <c r="AC496" t="s">
        <v>23</v>
      </c>
      <c r="AD496" t="s">
        <v>23</v>
      </c>
      <c r="AE496" t="s">
        <v>23</v>
      </c>
      <c r="AF496" t="s">
        <v>23</v>
      </c>
      <c r="AG496" t="s">
        <v>23</v>
      </c>
      <c r="AH496" t="s">
        <v>23</v>
      </c>
      <c r="AI496" t="s">
        <v>23</v>
      </c>
      <c r="AJ496" t="s">
        <v>23</v>
      </c>
    </row>
    <row r="497" spans="1:36" x14ac:dyDescent="0.35">
      <c r="A497" s="2">
        <v>1495</v>
      </c>
      <c r="B497" s="4">
        <v>44985</v>
      </c>
      <c r="C497" s="1" t="s">
        <v>38</v>
      </c>
      <c r="D497" s="1" t="s">
        <v>43</v>
      </c>
      <c r="E497">
        <v>417438</v>
      </c>
      <c r="F497">
        <v>18</v>
      </c>
      <c r="G497" s="1" t="s">
        <v>32</v>
      </c>
      <c r="H497">
        <v>40515</v>
      </c>
      <c r="I497">
        <v>47675</v>
      </c>
      <c r="J497" s="1" t="s">
        <v>33</v>
      </c>
      <c r="K497" s="3">
        <v>9</v>
      </c>
      <c r="L497" s="1" t="s">
        <v>36</v>
      </c>
      <c r="M497" s="1" t="s">
        <v>29</v>
      </c>
      <c r="N497" s="3">
        <v>2024010123</v>
      </c>
      <c r="O497" s="3">
        <f t="shared" si="63"/>
        <v>1.23</v>
      </c>
      <c r="P497" s="6">
        <f t="shared" si="64"/>
        <v>513448.74</v>
      </c>
      <c r="Q497" s="3" t="str">
        <f t="shared" si="65"/>
        <v>Excellent</v>
      </c>
      <c r="R497" s="3">
        <f t="shared" si="66"/>
        <v>7160</v>
      </c>
      <c r="S497" s="7">
        <f t="shared" si="67"/>
        <v>128880</v>
      </c>
      <c r="T497" s="3" t="str">
        <f t="shared" si="68"/>
        <v>High Profit</v>
      </c>
      <c r="U497" s="3" t="str">
        <f t="shared" si="69"/>
        <v>Medium Discount</v>
      </c>
      <c r="V497" s="3" t="str">
        <f t="shared" si="70"/>
        <v>Priority C</v>
      </c>
      <c r="W497">
        <f t="shared" si="71"/>
        <v>41743.800000000003</v>
      </c>
      <c r="X497" t="s">
        <v>23</v>
      </c>
      <c r="Y497" t="s">
        <v>23</v>
      </c>
      <c r="Z497" t="s">
        <v>23</v>
      </c>
      <c r="AA497" t="s">
        <v>23</v>
      </c>
      <c r="AB497" t="s">
        <v>23</v>
      </c>
      <c r="AC497" t="s">
        <v>23</v>
      </c>
      <c r="AD497" t="s">
        <v>23</v>
      </c>
      <c r="AE497" t="s">
        <v>23</v>
      </c>
      <c r="AF497" t="s">
        <v>23</v>
      </c>
      <c r="AG497" t="s">
        <v>23</v>
      </c>
      <c r="AH497" t="s">
        <v>23</v>
      </c>
      <c r="AI497" t="s">
        <v>23</v>
      </c>
      <c r="AJ497" t="s">
        <v>23</v>
      </c>
    </row>
    <row r="498" spans="1:36" x14ac:dyDescent="0.35">
      <c r="A498" s="2">
        <v>1496</v>
      </c>
      <c r="B498" s="4">
        <v>45260</v>
      </c>
      <c r="C498" s="1" t="s">
        <v>34</v>
      </c>
      <c r="D498" s="1" t="s">
        <v>43</v>
      </c>
      <c r="E498">
        <v>790024</v>
      </c>
      <c r="F498">
        <v>18</v>
      </c>
      <c r="G498" s="1" t="s">
        <v>26</v>
      </c>
      <c r="H498">
        <v>19916</v>
      </c>
      <c r="I498">
        <v>25575</v>
      </c>
      <c r="J498" s="1" t="s">
        <v>33</v>
      </c>
      <c r="K498" s="3">
        <v>26</v>
      </c>
      <c r="L498" s="1" t="s">
        <v>36</v>
      </c>
      <c r="M498" s="1" t="s">
        <v>29</v>
      </c>
      <c r="N498" s="3">
        <v>2024010123</v>
      </c>
      <c r="O498" s="3">
        <f t="shared" si="63"/>
        <v>1.23</v>
      </c>
      <c r="P498" s="6">
        <f t="shared" si="64"/>
        <v>971729.52</v>
      </c>
      <c r="Q498" s="3" t="str">
        <f t="shared" si="65"/>
        <v>Excellent</v>
      </c>
      <c r="R498" s="3">
        <f t="shared" si="66"/>
        <v>5659</v>
      </c>
      <c r="S498" s="7">
        <f t="shared" si="67"/>
        <v>101862</v>
      </c>
      <c r="T498" s="3" t="str">
        <f t="shared" si="68"/>
        <v>High Profit</v>
      </c>
      <c r="U498" s="3" t="str">
        <f t="shared" si="69"/>
        <v>High Discount</v>
      </c>
      <c r="V498" s="3" t="str">
        <f t="shared" si="70"/>
        <v>Priority C</v>
      </c>
      <c r="W498">
        <f t="shared" si="71"/>
        <v>79002.400000000009</v>
      </c>
      <c r="X498" t="s">
        <v>23</v>
      </c>
      <c r="Y498" t="s">
        <v>23</v>
      </c>
      <c r="Z498" t="s">
        <v>23</v>
      </c>
      <c r="AA498" t="s">
        <v>23</v>
      </c>
      <c r="AB498" t="s">
        <v>23</v>
      </c>
      <c r="AC498" t="s">
        <v>23</v>
      </c>
      <c r="AD498" t="s">
        <v>23</v>
      </c>
      <c r="AE498" t="s">
        <v>23</v>
      </c>
      <c r="AF498" t="s">
        <v>23</v>
      </c>
      <c r="AG498" t="s">
        <v>23</v>
      </c>
      <c r="AH498" t="s">
        <v>23</v>
      </c>
      <c r="AI498" t="s">
        <v>23</v>
      </c>
      <c r="AJ498" t="s">
        <v>23</v>
      </c>
    </row>
    <row r="499" spans="1:36" x14ac:dyDescent="0.35">
      <c r="A499" s="2">
        <v>1497</v>
      </c>
      <c r="B499" s="4">
        <v>45140</v>
      </c>
      <c r="C499" s="1" t="s">
        <v>41</v>
      </c>
      <c r="D499" s="1" t="s">
        <v>42</v>
      </c>
      <c r="E499">
        <v>680038</v>
      </c>
      <c r="F499">
        <v>18</v>
      </c>
      <c r="G499" s="1" t="s">
        <v>32</v>
      </c>
      <c r="H499">
        <v>25832</v>
      </c>
      <c r="I499">
        <v>32229</v>
      </c>
      <c r="J499" s="1" t="s">
        <v>33</v>
      </c>
      <c r="K499" s="3">
        <v>24</v>
      </c>
      <c r="L499" s="1" t="s">
        <v>40</v>
      </c>
      <c r="M499" s="1" t="s">
        <v>37</v>
      </c>
      <c r="N499" s="3">
        <v>2024010123</v>
      </c>
      <c r="O499" s="3">
        <f t="shared" si="63"/>
        <v>1.23</v>
      </c>
      <c r="P499" s="6">
        <f t="shared" si="64"/>
        <v>836446.74</v>
      </c>
      <c r="Q499" s="3" t="str">
        <f t="shared" si="65"/>
        <v>Excellent</v>
      </c>
      <c r="R499" s="3">
        <f t="shared" si="66"/>
        <v>6397</v>
      </c>
      <c r="S499" s="7">
        <f t="shared" si="67"/>
        <v>115146</v>
      </c>
      <c r="T499" s="3" t="str">
        <f t="shared" si="68"/>
        <v>High Profit</v>
      </c>
      <c r="U499" s="3" t="str">
        <f t="shared" si="69"/>
        <v>High Discount</v>
      </c>
      <c r="V499" s="3" t="str">
        <f t="shared" si="70"/>
        <v>Priority C</v>
      </c>
      <c r="W499">
        <f t="shared" si="71"/>
        <v>68003.8</v>
      </c>
      <c r="X499" t="s">
        <v>23</v>
      </c>
      <c r="Y499" t="s">
        <v>23</v>
      </c>
      <c r="Z499" t="s">
        <v>23</v>
      </c>
      <c r="AA499" t="s">
        <v>23</v>
      </c>
      <c r="AB499" t="s">
        <v>23</v>
      </c>
      <c r="AC499" t="s">
        <v>23</v>
      </c>
      <c r="AD499" t="s">
        <v>23</v>
      </c>
      <c r="AE499" t="s">
        <v>23</v>
      </c>
      <c r="AF499" t="s">
        <v>23</v>
      </c>
      <c r="AG499" t="s">
        <v>23</v>
      </c>
      <c r="AH499" t="s">
        <v>23</v>
      </c>
      <c r="AI499" t="s">
        <v>23</v>
      </c>
      <c r="AJ499" t="s">
        <v>23</v>
      </c>
    </row>
    <row r="500" spans="1:36" x14ac:dyDescent="0.35">
      <c r="A500" s="2">
        <v>1498</v>
      </c>
      <c r="B500" s="4">
        <v>45078</v>
      </c>
      <c r="C500" s="1" t="s">
        <v>38</v>
      </c>
      <c r="D500" s="1" t="s">
        <v>25</v>
      </c>
      <c r="E500">
        <v>713675</v>
      </c>
      <c r="F500">
        <v>13</v>
      </c>
      <c r="G500" s="1" t="s">
        <v>35</v>
      </c>
      <c r="H500">
        <v>22531</v>
      </c>
      <c r="I500">
        <v>29600</v>
      </c>
      <c r="J500" s="1" t="s">
        <v>27</v>
      </c>
      <c r="K500" s="3">
        <v>28</v>
      </c>
      <c r="L500" s="1" t="s">
        <v>36</v>
      </c>
      <c r="M500" s="1" t="s">
        <v>29</v>
      </c>
      <c r="N500" s="3">
        <v>2024010123</v>
      </c>
      <c r="O500" s="3">
        <f t="shared" si="63"/>
        <v>1.23</v>
      </c>
      <c r="P500" s="6">
        <f t="shared" si="64"/>
        <v>877820.25</v>
      </c>
      <c r="Q500" s="3" t="str">
        <f t="shared" si="65"/>
        <v>Excellent</v>
      </c>
      <c r="R500" s="3">
        <f t="shared" si="66"/>
        <v>7069</v>
      </c>
      <c r="S500" s="7">
        <f t="shared" si="67"/>
        <v>91897</v>
      </c>
      <c r="T500" s="3" t="str">
        <f t="shared" si="68"/>
        <v>High Profit</v>
      </c>
      <c r="U500" s="3" t="str">
        <f t="shared" si="69"/>
        <v>High Discount</v>
      </c>
      <c r="V500" s="3" t="str">
        <f t="shared" si="70"/>
        <v>Priority D</v>
      </c>
      <c r="W500">
        <f t="shared" si="71"/>
        <v>107051.25</v>
      </c>
      <c r="X500" t="s">
        <v>23</v>
      </c>
      <c r="Y500" t="s">
        <v>23</v>
      </c>
      <c r="Z500" t="s">
        <v>23</v>
      </c>
      <c r="AA500" t="s">
        <v>23</v>
      </c>
      <c r="AB500" t="s">
        <v>23</v>
      </c>
      <c r="AC500" t="s">
        <v>23</v>
      </c>
      <c r="AD500" t="s">
        <v>23</v>
      </c>
      <c r="AE500" t="s">
        <v>23</v>
      </c>
      <c r="AF500" t="s">
        <v>23</v>
      </c>
      <c r="AG500" t="s">
        <v>23</v>
      </c>
      <c r="AH500" t="s">
        <v>23</v>
      </c>
      <c r="AI500" t="s">
        <v>23</v>
      </c>
      <c r="AJ500" t="s">
        <v>23</v>
      </c>
    </row>
    <row r="501" spans="1:36" x14ac:dyDescent="0.35">
      <c r="A501" s="2">
        <v>1499</v>
      </c>
      <c r="B501" s="4">
        <v>45013</v>
      </c>
      <c r="C501" s="1" t="s">
        <v>34</v>
      </c>
      <c r="D501" s="1" t="s">
        <v>31</v>
      </c>
      <c r="E501">
        <v>802604</v>
      </c>
      <c r="F501">
        <v>18</v>
      </c>
      <c r="G501" s="1" t="s">
        <v>39</v>
      </c>
      <c r="H501">
        <v>33134</v>
      </c>
      <c r="I501">
        <v>37395</v>
      </c>
      <c r="J501" s="1" t="s">
        <v>27</v>
      </c>
      <c r="K501" s="3">
        <v>23</v>
      </c>
      <c r="L501" s="1" t="s">
        <v>40</v>
      </c>
      <c r="M501" s="1" t="s">
        <v>29</v>
      </c>
      <c r="N501" s="3">
        <v>2024010123</v>
      </c>
      <c r="O501" s="3">
        <f t="shared" si="63"/>
        <v>1.23</v>
      </c>
      <c r="P501" s="6">
        <f t="shared" si="64"/>
        <v>987202.92</v>
      </c>
      <c r="Q501" s="3" t="str">
        <f t="shared" si="65"/>
        <v>Excellent</v>
      </c>
      <c r="R501" s="3">
        <f t="shared" si="66"/>
        <v>4261</v>
      </c>
      <c r="S501" s="7">
        <f t="shared" si="67"/>
        <v>76698</v>
      </c>
      <c r="T501" s="3" t="str">
        <f t="shared" si="68"/>
        <v>High Profit</v>
      </c>
      <c r="U501" s="3" t="str">
        <f t="shared" si="69"/>
        <v>High Discount</v>
      </c>
      <c r="V501" s="3" t="str">
        <f t="shared" si="70"/>
        <v>Priority C</v>
      </c>
      <c r="W501">
        <f t="shared" si="71"/>
        <v>120390.59999999999</v>
      </c>
      <c r="X501" t="s">
        <v>23</v>
      </c>
      <c r="Y501" t="s">
        <v>23</v>
      </c>
      <c r="Z501" t="s">
        <v>23</v>
      </c>
      <c r="AA501" t="s">
        <v>23</v>
      </c>
      <c r="AB501" t="s">
        <v>23</v>
      </c>
      <c r="AC501" t="s">
        <v>23</v>
      </c>
      <c r="AD501" t="s">
        <v>23</v>
      </c>
      <c r="AE501" t="s">
        <v>23</v>
      </c>
      <c r="AF501" t="s">
        <v>23</v>
      </c>
      <c r="AG501" t="s">
        <v>23</v>
      </c>
      <c r="AH501" t="s">
        <v>23</v>
      </c>
      <c r="AI501" t="s">
        <v>23</v>
      </c>
      <c r="AJ501" t="s">
        <v>23</v>
      </c>
    </row>
    <row r="502" spans="1:36" x14ac:dyDescent="0.35">
      <c r="A502" s="2">
        <v>1500</v>
      </c>
      <c r="B502" s="4">
        <v>45116</v>
      </c>
      <c r="C502" s="1" t="s">
        <v>34</v>
      </c>
      <c r="D502" s="1" t="s">
        <v>31</v>
      </c>
      <c r="E502">
        <v>812154</v>
      </c>
      <c r="F502">
        <v>12</v>
      </c>
      <c r="G502" s="1" t="s">
        <v>39</v>
      </c>
      <c r="H502">
        <v>12000</v>
      </c>
      <c r="I502">
        <v>23000</v>
      </c>
      <c r="J502" s="1" t="s">
        <v>27</v>
      </c>
      <c r="K502" s="3">
        <v>0</v>
      </c>
      <c r="L502" s="1" t="s">
        <v>40</v>
      </c>
      <c r="M502" s="1" t="s">
        <v>37</v>
      </c>
      <c r="N502" s="3">
        <v>2024010123</v>
      </c>
      <c r="O502" s="3">
        <f t="shared" si="63"/>
        <v>1.23</v>
      </c>
      <c r="P502" s="6">
        <f t="shared" si="64"/>
        <v>998949.42</v>
      </c>
      <c r="Q502" s="3" t="str">
        <f t="shared" si="65"/>
        <v>Excellent</v>
      </c>
      <c r="R502" s="3">
        <f t="shared" si="66"/>
        <v>11000</v>
      </c>
      <c r="S502" s="7">
        <f t="shared" si="67"/>
        <v>132000</v>
      </c>
      <c r="T502" s="3" t="str">
        <f t="shared" si="68"/>
        <v>High Profit</v>
      </c>
      <c r="U502" s="3" t="str">
        <f t="shared" si="69"/>
        <v>No Discount</v>
      </c>
      <c r="V502" s="3" t="str">
        <f t="shared" si="70"/>
        <v>Priority C</v>
      </c>
      <c r="W502">
        <f t="shared" si="71"/>
        <v>121823.09999999999</v>
      </c>
      <c r="X502" t="s">
        <v>23</v>
      </c>
      <c r="Y502" t="s">
        <v>23</v>
      </c>
      <c r="Z502" t="s">
        <v>23</v>
      </c>
      <c r="AA502" t="s">
        <v>23</v>
      </c>
      <c r="AB502" t="s">
        <v>23</v>
      </c>
      <c r="AC502" t="s">
        <v>23</v>
      </c>
      <c r="AD502" t="s">
        <v>23</v>
      </c>
      <c r="AE502" t="s">
        <v>23</v>
      </c>
      <c r="AF502" t="s">
        <v>23</v>
      </c>
      <c r="AG502" t="s">
        <v>23</v>
      </c>
      <c r="AH502" t="s">
        <v>23</v>
      </c>
      <c r="AI502" t="s">
        <v>23</v>
      </c>
      <c r="AJ502" t="s">
        <v>23</v>
      </c>
    </row>
    <row r="503" spans="1:36" x14ac:dyDescent="0.35">
      <c r="A503" s="2">
        <v>1501</v>
      </c>
      <c r="B503" s="4">
        <v>45267</v>
      </c>
      <c r="C503" s="1" t="s">
        <v>38</v>
      </c>
      <c r="D503" s="1" t="s">
        <v>25</v>
      </c>
      <c r="E503">
        <v>981269</v>
      </c>
      <c r="F503">
        <v>9</v>
      </c>
      <c r="G503" s="1" t="s">
        <v>39</v>
      </c>
      <c r="H503">
        <v>22070</v>
      </c>
      <c r="I503">
        <v>24024</v>
      </c>
      <c r="J503" s="1" t="s">
        <v>33</v>
      </c>
      <c r="K503" s="3">
        <v>2</v>
      </c>
      <c r="L503" s="1" t="s">
        <v>40</v>
      </c>
      <c r="M503" s="1" t="s">
        <v>29</v>
      </c>
      <c r="N503" s="3">
        <v>2024010123</v>
      </c>
      <c r="O503" s="3">
        <f t="shared" si="63"/>
        <v>1.23</v>
      </c>
      <c r="P503" s="6">
        <f t="shared" si="64"/>
        <v>1206960.8699999999</v>
      </c>
      <c r="Q503" s="3" t="str">
        <f t="shared" si="65"/>
        <v>Excellent</v>
      </c>
      <c r="R503" s="3">
        <f t="shared" si="66"/>
        <v>1954</v>
      </c>
      <c r="S503" s="7">
        <f t="shared" si="67"/>
        <v>17586</v>
      </c>
      <c r="T503" s="3" t="str">
        <f t="shared" si="68"/>
        <v>High Profit</v>
      </c>
      <c r="U503" s="3" t="str">
        <f t="shared" si="69"/>
        <v>Low Discount</v>
      </c>
      <c r="V503" s="3" t="str">
        <f t="shared" si="70"/>
        <v>Priority D</v>
      </c>
      <c r="W503">
        <f t="shared" si="71"/>
        <v>98126.900000000009</v>
      </c>
      <c r="X503" t="s">
        <v>23</v>
      </c>
      <c r="Y503" t="s">
        <v>23</v>
      </c>
      <c r="Z503" t="s">
        <v>23</v>
      </c>
      <c r="AA503" t="s">
        <v>23</v>
      </c>
      <c r="AB503" t="s">
        <v>23</v>
      </c>
      <c r="AC503" t="s">
        <v>23</v>
      </c>
      <c r="AD503" t="s">
        <v>23</v>
      </c>
      <c r="AE503" t="s">
        <v>23</v>
      </c>
      <c r="AF503" t="s">
        <v>23</v>
      </c>
      <c r="AG503" t="s">
        <v>23</v>
      </c>
      <c r="AH503" t="s">
        <v>23</v>
      </c>
      <c r="AI503" t="s">
        <v>23</v>
      </c>
      <c r="AJ503" t="s">
        <v>23</v>
      </c>
    </row>
    <row r="504" spans="1:36" x14ac:dyDescent="0.35">
      <c r="A504" s="2">
        <v>1502</v>
      </c>
      <c r="B504" s="4">
        <v>45237</v>
      </c>
      <c r="C504" s="1" t="s">
        <v>34</v>
      </c>
      <c r="D504" s="1" t="s">
        <v>43</v>
      </c>
      <c r="E504">
        <v>990245</v>
      </c>
      <c r="F504">
        <v>12</v>
      </c>
      <c r="G504" s="1" t="s">
        <v>39</v>
      </c>
      <c r="H504">
        <v>31065</v>
      </c>
      <c r="I504">
        <v>32743</v>
      </c>
      <c r="J504" s="1" t="s">
        <v>33</v>
      </c>
      <c r="K504" s="3">
        <v>1</v>
      </c>
      <c r="L504" s="1" t="s">
        <v>28</v>
      </c>
      <c r="M504" s="1" t="s">
        <v>29</v>
      </c>
      <c r="N504" s="3">
        <v>2024010123</v>
      </c>
      <c r="O504" s="3">
        <f t="shared" si="63"/>
        <v>1.23</v>
      </c>
      <c r="P504" s="6">
        <f t="shared" si="64"/>
        <v>1218001.3500000001</v>
      </c>
      <c r="Q504" s="3" t="str">
        <f t="shared" si="65"/>
        <v>Excellent</v>
      </c>
      <c r="R504" s="3">
        <f t="shared" si="66"/>
        <v>1678</v>
      </c>
      <c r="S504" s="7">
        <f t="shared" si="67"/>
        <v>20136</v>
      </c>
      <c r="T504" s="3" t="str">
        <f t="shared" si="68"/>
        <v>High Profit</v>
      </c>
      <c r="U504" s="3" t="str">
        <f t="shared" si="69"/>
        <v>Low Discount</v>
      </c>
      <c r="V504" s="3" t="str">
        <f t="shared" si="70"/>
        <v>Priority D</v>
      </c>
      <c r="W504">
        <f t="shared" si="71"/>
        <v>99024.5</v>
      </c>
      <c r="X504" t="s">
        <v>23</v>
      </c>
      <c r="Y504" t="s">
        <v>23</v>
      </c>
      <c r="Z504" t="s">
        <v>23</v>
      </c>
      <c r="AA504" t="s">
        <v>23</v>
      </c>
      <c r="AB504" t="s">
        <v>23</v>
      </c>
      <c r="AC504" t="s">
        <v>23</v>
      </c>
      <c r="AD504" t="s">
        <v>23</v>
      </c>
      <c r="AE504" t="s">
        <v>23</v>
      </c>
      <c r="AF504" t="s">
        <v>23</v>
      </c>
      <c r="AG504" t="s">
        <v>23</v>
      </c>
      <c r="AH504" t="s">
        <v>23</v>
      </c>
      <c r="AI504" t="s">
        <v>23</v>
      </c>
      <c r="AJ504" t="s">
        <v>23</v>
      </c>
    </row>
    <row r="505" spans="1:36" x14ac:dyDescent="0.35">
      <c r="A505" s="2">
        <v>1503</v>
      </c>
      <c r="B505" s="4">
        <v>45083</v>
      </c>
      <c r="C505" s="1" t="s">
        <v>41</v>
      </c>
      <c r="D505" s="1" t="s">
        <v>43</v>
      </c>
      <c r="E505">
        <v>748721</v>
      </c>
      <c r="F505">
        <v>12</v>
      </c>
      <c r="G505" s="1" t="s">
        <v>35</v>
      </c>
      <c r="H505">
        <v>51367</v>
      </c>
      <c r="I505">
        <v>52973</v>
      </c>
      <c r="J505" s="1" t="s">
        <v>27</v>
      </c>
      <c r="K505" s="3">
        <v>14</v>
      </c>
      <c r="L505" s="1" t="s">
        <v>36</v>
      </c>
      <c r="M505" s="1" t="s">
        <v>29</v>
      </c>
      <c r="N505" s="3">
        <v>2024010123</v>
      </c>
      <c r="O505" s="3">
        <f t="shared" si="63"/>
        <v>1.23</v>
      </c>
      <c r="P505" s="6">
        <f t="shared" si="64"/>
        <v>920926.83</v>
      </c>
      <c r="Q505" s="3" t="str">
        <f t="shared" si="65"/>
        <v>Excellent</v>
      </c>
      <c r="R505" s="3">
        <f t="shared" si="66"/>
        <v>1606</v>
      </c>
      <c r="S505" s="7">
        <f t="shared" si="67"/>
        <v>19272</v>
      </c>
      <c r="T505" s="3" t="str">
        <f t="shared" si="68"/>
        <v>High Profit</v>
      </c>
      <c r="U505" s="3" t="str">
        <f t="shared" si="69"/>
        <v>Medium Discount</v>
      </c>
      <c r="V505" s="3" t="str">
        <f t="shared" si="70"/>
        <v>Priority D</v>
      </c>
      <c r="W505">
        <f t="shared" si="71"/>
        <v>112308.15</v>
      </c>
      <c r="X505" t="s">
        <v>23</v>
      </c>
      <c r="Y505" t="s">
        <v>23</v>
      </c>
      <c r="Z505" t="s">
        <v>23</v>
      </c>
      <c r="AA505" t="s">
        <v>23</v>
      </c>
      <c r="AB505" t="s">
        <v>23</v>
      </c>
      <c r="AC505" t="s">
        <v>23</v>
      </c>
      <c r="AD505" t="s">
        <v>23</v>
      </c>
      <c r="AE505" t="s">
        <v>23</v>
      </c>
      <c r="AF505" t="s">
        <v>23</v>
      </c>
      <c r="AG505" t="s">
        <v>23</v>
      </c>
      <c r="AH505" t="s">
        <v>23</v>
      </c>
      <c r="AI505" t="s">
        <v>23</v>
      </c>
      <c r="AJ505" t="s">
        <v>23</v>
      </c>
    </row>
    <row r="506" spans="1:36" x14ac:dyDescent="0.35">
      <c r="A506" s="2">
        <v>1504</v>
      </c>
      <c r="B506" s="4">
        <v>45027</v>
      </c>
      <c r="C506" s="1" t="s">
        <v>30</v>
      </c>
      <c r="D506" s="1" t="s">
        <v>43</v>
      </c>
      <c r="E506">
        <v>415455</v>
      </c>
      <c r="F506">
        <v>12</v>
      </c>
      <c r="G506" s="1" t="s">
        <v>35</v>
      </c>
      <c r="H506">
        <v>53127</v>
      </c>
      <c r="I506">
        <v>56553</v>
      </c>
      <c r="J506" s="1" t="s">
        <v>27</v>
      </c>
      <c r="K506" s="3">
        <v>7</v>
      </c>
      <c r="L506" s="1" t="s">
        <v>28</v>
      </c>
      <c r="M506" s="1" t="s">
        <v>29</v>
      </c>
      <c r="N506" s="3">
        <v>2024010123</v>
      </c>
      <c r="O506" s="3">
        <f t="shared" si="63"/>
        <v>1.23</v>
      </c>
      <c r="P506" s="6">
        <f t="shared" si="64"/>
        <v>511009.64999999997</v>
      </c>
      <c r="Q506" s="3" t="str">
        <f t="shared" si="65"/>
        <v>Excellent</v>
      </c>
      <c r="R506" s="3">
        <f t="shared" si="66"/>
        <v>3426</v>
      </c>
      <c r="S506" s="7">
        <f t="shared" si="67"/>
        <v>41112</v>
      </c>
      <c r="T506" s="3" t="str">
        <f t="shared" si="68"/>
        <v>High Profit</v>
      </c>
      <c r="U506" s="3" t="str">
        <f t="shared" si="69"/>
        <v>Medium Discount</v>
      </c>
      <c r="V506" s="3" t="str">
        <f t="shared" si="70"/>
        <v>Priority D</v>
      </c>
      <c r="W506">
        <f t="shared" si="71"/>
        <v>62318.25</v>
      </c>
      <c r="X506" t="s">
        <v>23</v>
      </c>
      <c r="Y506" t="s">
        <v>23</v>
      </c>
      <c r="Z506" t="s">
        <v>23</v>
      </c>
      <c r="AA506" t="s">
        <v>23</v>
      </c>
      <c r="AB506" t="s">
        <v>23</v>
      </c>
      <c r="AC506" t="s">
        <v>23</v>
      </c>
      <c r="AD506" t="s">
        <v>23</v>
      </c>
      <c r="AE506" t="s">
        <v>23</v>
      </c>
      <c r="AF506" t="s">
        <v>23</v>
      </c>
      <c r="AG506" t="s">
        <v>23</v>
      </c>
      <c r="AH506" t="s">
        <v>23</v>
      </c>
      <c r="AI506" t="s">
        <v>23</v>
      </c>
      <c r="AJ506" t="s">
        <v>23</v>
      </c>
    </row>
    <row r="507" spans="1:36" x14ac:dyDescent="0.35">
      <c r="A507" s="2">
        <v>1505</v>
      </c>
      <c r="B507" s="4">
        <v>45068</v>
      </c>
      <c r="C507" s="1" t="s">
        <v>34</v>
      </c>
      <c r="D507" s="1" t="s">
        <v>25</v>
      </c>
      <c r="E507">
        <v>479554</v>
      </c>
      <c r="F507">
        <v>12</v>
      </c>
      <c r="G507" s="1" t="s">
        <v>26</v>
      </c>
      <c r="H507">
        <v>48105</v>
      </c>
      <c r="I507">
        <v>49684</v>
      </c>
      <c r="J507" s="1" t="s">
        <v>27</v>
      </c>
      <c r="K507" s="3">
        <v>12</v>
      </c>
      <c r="L507" s="1" t="s">
        <v>36</v>
      </c>
      <c r="M507" s="1" t="s">
        <v>29</v>
      </c>
      <c r="N507" s="3">
        <v>2024010123</v>
      </c>
      <c r="O507" s="3">
        <f t="shared" si="63"/>
        <v>1.23</v>
      </c>
      <c r="P507" s="6">
        <f t="shared" si="64"/>
        <v>589851.42000000004</v>
      </c>
      <c r="Q507" s="3" t="str">
        <f t="shared" si="65"/>
        <v>Excellent</v>
      </c>
      <c r="R507" s="3">
        <f t="shared" si="66"/>
        <v>1579</v>
      </c>
      <c r="S507" s="7">
        <f t="shared" si="67"/>
        <v>18948</v>
      </c>
      <c r="T507" s="3" t="str">
        <f t="shared" si="68"/>
        <v>High Profit</v>
      </c>
      <c r="U507" s="3" t="str">
        <f t="shared" si="69"/>
        <v>Medium Discount</v>
      </c>
      <c r="V507" s="3" t="str">
        <f t="shared" si="70"/>
        <v>Priority D</v>
      </c>
      <c r="W507">
        <f t="shared" si="71"/>
        <v>71933.099999999991</v>
      </c>
      <c r="X507" t="s">
        <v>23</v>
      </c>
      <c r="Y507" t="s">
        <v>23</v>
      </c>
      <c r="Z507" t="s">
        <v>23</v>
      </c>
      <c r="AA507" t="s">
        <v>23</v>
      </c>
      <c r="AB507" t="s">
        <v>23</v>
      </c>
      <c r="AC507" t="s">
        <v>23</v>
      </c>
      <c r="AD507" t="s">
        <v>23</v>
      </c>
      <c r="AE507" t="s">
        <v>23</v>
      </c>
      <c r="AF507" t="s">
        <v>23</v>
      </c>
      <c r="AG507" t="s">
        <v>23</v>
      </c>
      <c r="AH507" t="s">
        <v>23</v>
      </c>
      <c r="AI507" t="s">
        <v>23</v>
      </c>
      <c r="AJ507" t="s">
        <v>23</v>
      </c>
    </row>
    <row r="508" spans="1:36" x14ac:dyDescent="0.35">
      <c r="A508" s="2">
        <v>1506</v>
      </c>
      <c r="B508" s="4">
        <v>45050</v>
      </c>
      <c r="C508" s="1" t="s">
        <v>24</v>
      </c>
      <c r="D508" s="1" t="s">
        <v>43</v>
      </c>
      <c r="E508">
        <v>40048</v>
      </c>
      <c r="F508">
        <v>12</v>
      </c>
      <c r="G508" s="1" t="s">
        <v>32</v>
      </c>
      <c r="H508">
        <v>41577</v>
      </c>
      <c r="I508">
        <v>44899</v>
      </c>
      <c r="J508" s="1" t="s">
        <v>27</v>
      </c>
      <c r="K508" s="3">
        <v>17</v>
      </c>
      <c r="L508" s="1" t="s">
        <v>28</v>
      </c>
      <c r="M508" s="1" t="s">
        <v>29</v>
      </c>
      <c r="N508" s="3">
        <v>2024010123</v>
      </c>
      <c r="O508" s="3">
        <f t="shared" si="63"/>
        <v>1.23</v>
      </c>
      <c r="P508" s="6">
        <f t="shared" si="64"/>
        <v>49259.040000000001</v>
      </c>
      <c r="Q508" s="3" t="str">
        <f t="shared" si="65"/>
        <v>Excellent</v>
      </c>
      <c r="R508" s="3">
        <f t="shared" si="66"/>
        <v>3322</v>
      </c>
      <c r="S508" s="7">
        <f t="shared" si="67"/>
        <v>39864</v>
      </c>
      <c r="T508" s="3" t="str">
        <f t="shared" si="68"/>
        <v>High Profit</v>
      </c>
      <c r="U508" s="3" t="str">
        <f t="shared" si="69"/>
        <v>High Discount</v>
      </c>
      <c r="V508" s="3" t="str">
        <f t="shared" si="70"/>
        <v>Priority D</v>
      </c>
      <c r="W508">
        <f t="shared" si="71"/>
        <v>6007.2</v>
      </c>
      <c r="X508" t="s">
        <v>23</v>
      </c>
      <c r="Y508" t="s">
        <v>23</v>
      </c>
      <c r="Z508" t="s">
        <v>23</v>
      </c>
      <c r="AA508" t="s">
        <v>23</v>
      </c>
      <c r="AB508" t="s">
        <v>23</v>
      </c>
      <c r="AC508" t="s">
        <v>23</v>
      </c>
      <c r="AD508" t="s">
        <v>23</v>
      </c>
      <c r="AE508" t="s">
        <v>23</v>
      </c>
      <c r="AF508" t="s">
        <v>23</v>
      </c>
      <c r="AG508" t="s">
        <v>23</v>
      </c>
      <c r="AH508" t="s">
        <v>23</v>
      </c>
      <c r="AI508" t="s">
        <v>23</v>
      </c>
      <c r="AJ508" t="s">
        <v>23</v>
      </c>
    </row>
    <row r="509" spans="1:36" x14ac:dyDescent="0.35">
      <c r="A509" s="2">
        <v>1507</v>
      </c>
      <c r="B509" s="4">
        <v>45102</v>
      </c>
      <c r="C509" s="1" t="s">
        <v>24</v>
      </c>
      <c r="D509" s="1" t="s">
        <v>42</v>
      </c>
      <c r="E509">
        <v>438691</v>
      </c>
      <c r="F509">
        <v>6</v>
      </c>
      <c r="G509" s="1" t="s">
        <v>26</v>
      </c>
      <c r="H509">
        <v>56237</v>
      </c>
      <c r="I509">
        <v>59523</v>
      </c>
      <c r="J509" s="1" t="s">
        <v>33</v>
      </c>
      <c r="K509" s="3">
        <v>30</v>
      </c>
      <c r="L509" s="1" t="s">
        <v>36</v>
      </c>
      <c r="M509" s="1" t="s">
        <v>37</v>
      </c>
      <c r="N509" s="3">
        <v>2024010123</v>
      </c>
      <c r="O509" s="3">
        <f t="shared" si="63"/>
        <v>1.23</v>
      </c>
      <c r="P509" s="6">
        <f t="shared" si="64"/>
        <v>539589.92999999993</v>
      </c>
      <c r="Q509" s="3" t="str">
        <f t="shared" si="65"/>
        <v>Excellent</v>
      </c>
      <c r="R509" s="3">
        <f t="shared" si="66"/>
        <v>3286</v>
      </c>
      <c r="S509" s="7">
        <f t="shared" si="67"/>
        <v>19716</v>
      </c>
      <c r="T509" s="3" t="str">
        <f t="shared" si="68"/>
        <v>High Profit</v>
      </c>
      <c r="U509" s="3" t="str">
        <f t="shared" si="69"/>
        <v>High Discount</v>
      </c>
      <c r="V509" s="3" t="str">
        <f t="shared" si="70"/>
        <v>Priority C</v>
      </c>
      <c r="W509">
        <f t="shared" si="71"/>
        <v>43869.100000000006</v>
      </c>
      <c r="X509" t="s">
        <v>23</v>
      </c>
      <c r="Y509" t="s">
        <v>23</v>
      </c>
      <c r="Z509" t="s">
        <v>23</v>
      </c>
      <c r="AA509" t="s">
        <v>23</v>
      </c>
      <c r="AB509" t="s">
        <v>23</v>
      </c>
      <c r="AC509" t="s">
        <v>23</v>
      </c>
      <c r="AD509" t="s">
        <v>23</v>
      </c>
      <c r="AE509" t="s">
        <v>23</v>
      </c>
      <c r="AF509" t="s">
        <v>23</v>
      </c>
      <c r="AG509" t="s">
        <v>23</v>
      </c>
      <c r="AH509" t="s">
        <v>23</v>
      </c>
      <c r="AI509" t="s">
        <v>23</v>
      </c>
      <c r="AJ509" t="s">
        <v>23</v>
      </c>
    </row>
    <row r="510" spans="1:36" x14ac:dyDescent="0.35">
      <c r="A510" s="2">
        <v>1508</v>
      </c>
      <c r="B510" s="4">
        <v>44997</v>
      </c>
      <c r="C510" s="1" t="s">
        <v>24</v>
      </c>
      <c r="D510" s="1" t="s">
        <v>31</v>
      </c>
      <c r="E510">
        <v>838408</v>
      </c>
      <c r="F510">
        <v>12</v>
      </c>
      <c r="G510" s="1" t="s">
        <v>39</v>
      </c>
      <c r="H510">
        <v>57724</v>
      </c>
      <c r="I510">
        <v>61800</v>
      </c>
      <c r="J510" s="1" t="s">
        <v>27</v>
      </c>
      <c r="K510" s="3">
        <v>16</v>
      </c>
      <c r="L510" s="1" t="s">
        <v>40</v>
      </c>
      <c r="M510" s="1" t="s">
        <v>37</v>
      </c>
      <c r="N510" s="3">
        <v>2024010123</v>
      </c>
      <c r="O510" s="3">
        <f t="shared" si="63"/>
        <v>1.23</v>
      </c>
      <c r="P510" s="6">
        <f t="shared" si="64"/>
        <v>1031241.84</v>
      </c>
      <c r="Q510" s="3" t="str">
        <f t="shared" si="65"/>
        <v>Excellent</v>
      </c>
      <c r="R510" s="3">
        <f t="shared" si="66"/>
        <v>4076</v>
      </c>
      <c r="S510" s="7">
        <f t="shared" si="67"/>
        <v>48912</v>
      </c>
      <c r="T510" s="3" t="str">
        <f t="shared" si="68"/>
        <v>High Profit</v>
      </c>
      <c r="U510" s="3" t="str">
        <f t="shared" si="69"/>
        <v>High Discount</v>
      </c>
      <c r="V510" s="3" t="str">
        <f t="shared" si="70"/>
        <v>Priority C</v>
      </c>
      <c r="W510">
        <f t="shared" si="71"/>
        <v>125761.2</v>
      </c>
      <c r="X510" t="s">
        <v>23</v>
      </c>
      <c r="Y510" t="s">
        <v>23</v>
      </c>
      <c r="Z510" t="s">
        <v>23</v>
      </c>
      <c r="AA510" t="s">
        <v>23</v>
      </c>
      <c r="AB510" t="s">
        <v>23</v>
      </c>
      <c r="AC510" t="s">
        <v>23</v>
      </c>
      <c r="AD510" t="s">
        <v>23</v>
      </c>
      <c r="AE510" t="s">
        <v>23</v>
      </c>
      <c r="AF510" t="s">
        <v>23</v>
      </c>
      <c r="AG510" t="s">
        <v>23</v>
      </c>
      <c r="AH510" t="s">
        <v>23</v>
      </c>
      <c r="AI510" t="s">
        <v>23</v>
      </c>
      <c r="AJ510" t="s">
        <v>23</v>
      </c>
    </row>
    <row r="511" spans="1:36" x14ac:dyDescent="0.35">
      <c r="A511" s="2">
        <v>1509</v>
      </c>
      <c r="B511" s="4">
        <v>45147</v>
      </c>
      <c r="C511" s="1" t="s">
        <v>38</v>
      </c>
      <c r="D511" s="1" t="s">
        <v>31</v>
      </c>
      <c r="E511">
        <v>728571</v>
      </c>
      <c r="F511">
        <v>7</v>
      </c>
      <c r="G511" s="1" t="s">
        <v>32</v>
      </c>
      <c r="H511">
        <v>58698</v>
      </c>
      <c r="I511">
        <v>62620</v>
      </c>
      <c r="J511" s="1" t="s">
        <v>33</v>
      </c>
      <c r="K511" s="3">
        <v>23</v>
      </c>
      <c r="L511" s="1" t="s">
        <v>28</v>
      </c>
      <c r="M511" s="1" t="s">
        <v>37</v>
      </c>
      <c r="N511" s="3">
        <v>2024010123</v>
      </c>
      <c r="O511" s="3">
        <f t="shared" si="63"/>
        <v>1.23</v>
      </c>
      <c r="P511" s="6">
        <f t="shared" si="64"/>
        <v>896142.33</v>
      </c>
      <c r="Q511" s="3" t="str">
        <f t="shared" si="65"/>
        <v>Excellent</v>
      </c>
      <c r="R511" s="3">
        <f t="shared" si="66"/>
        <v>3922</v>
      </c>
      <c r="S511" s="7">
        <f t="shared" si="67"/>
        <v>27454</v>
      </c>
      <c r="T511" s="3" t="str">
        <f t="shared" si="68"/>
        <v>High Profit</v>
      </c>
      <c r="U511" s="3" t="str">
        <f t="shared" si="69"/>
        <v>High Discount</v>
      </c>
      <c r="V511" s="3" t="str">
        <f t="shared" si="70"/>
        <v>Priority C</v>
      </c>
      <c r="W511">
        <f t="shared" si="71"/>
        <v>72857.100000000006</v>
      </c>
      <c r="X511" t="s">
        <v>23</v>
      </c>
      <c r="Y511" t="s">
        <v>23</v>
      </c>
      <c r="Z511" t="s">
        <v>23</v>
      </c>
      <c r="AA511" t="s">
        <v>23</v>
      </c>
      <c r="AB511" t="s">
        <v>23</v>
      </c>
      <c r="AC511" t="s">
        <v>23</v>
      </c>
      <c r="AD511" t="s">
        <v>23</v>
      </c>
      <c r="AE511" t="s">
        <v>23</v>
      </c>
      <c r="AF511" t="s">
        <v>23</v>
      </c>
      <c r="AG511" t="s">
        <v>23</v>
      </c>
      <c r="AH511" t="s">
        <v>23</v>
      </c>
      <c r="AI511" t="s">
        <v>23</v>
      </c>
      <c r="AJ511" t="s">
        <v>23</v>
      </c>
    </row>
    <row r="512" spans="1:36" x14ac:dyDescent="0.35">
      <c r="A512" s="2">
        <v>1510</v>
      </c>
      <c r="B512" s="4">
        <v>45220</v>
      </c>
      <c r="C512" s="1" t="s">
        <v>30</v>
      </c>
      <c r="D512" s="1" t="s">
        <v>42</v>
      </c>
      <c r="E512">
        <v>446762</v>
      </c>
      <c r="F512">
        <v>30</v>
      </c>
      <c r="G512" s="1" t="s">
        <v>32</v>
      </c>
      <c r="H512">
        <v>22670</v>
      </c>
      <c r="I512">
        <v>34813</v>
      </c>
      <c r="J512" s="1" t="s">
        <v>33</v>
      </c>
      <c r="K512" s="3">
        <v>0</v>
      </c>
      <c r="L512" s="1" t="s">
        <v>36</v>
      </c>
      <c r="M512" s="1" t="s">
        <v>29</v>
      </c>
      <c r="N512" s="3">
        <v>2024010123</v>
      </c>
      <c r="O512" s="3">
        <f t="shared" si="63"/>
        <v>1.23</v>
      </c>
      <c r="P512" s="6">
        <f t="shared" si="64"/>
        <v>549517.26</v>
      </c>
      <c r="Q512" s="3" t="str">
        <f t="shared" si="65"/>
        <v>Excellent</v>
      </c>
      <c r="R512" s="3">
        <f t="shared" si="66"/>
        <v>12143</v>
      </c>
      <c r="S512" s="7">
        <f t="shared" si="67"/>
        <v>364290</v>
      </c>
      <c r="T512" s="3" t="str">
        <f t="shared" si="68"/>
        <v>High Profit</v>
      </c>
      <c r="U512" s="3" t="str">
        <f t="shared" si="69"/>
        <v>No Discount</v>
      </c>
      <c r="V512" s="3" t="str">
        <f t="shared" si="70"/>
        <v>Priority B</v>
      </c>
      <c r="W512">
        <f t="shared" si="71"/>
        <v>44676.200000000004</v>
      </c>
      <c r="X512" t="s">
        <v>23</v>
      </c>
      <c r="Y512" t="s">
        <v>23</v>
      </c>
      <c r="Z512" t="s">
        <v>23</v>
      </c>
      <c r="AA512" t="s">
        <v>23</v>
      </c>
      <c r="AB512" t="s">
        <v>23</v>
      </c>
      <c r="AC512" t="s">
        <v>23</v>
      </c>
      <c r="AD512" t="s">
        <v>23</v>
      </c>
      <c r="AE512" t="s">
        <v>23</v>
      </c>
      <c r="AF512" t="s">
        <v>23</v>
      </c>
      <c r="AG512" t="s">
        <v>23</v>
      </c>
      <c r="AH512" t="s">
        <v>23</v>
      </c>
      <c r="AI512" t="s">
        <v>23</v>
      </c>
      <c r="AJ512" t="s">
        <v>23</v>
      </c>
    </row>
    <row r="513" spans="1:36" x14ac:dyDescent="0.35">
      <c r="A513" s="2">
        <v>1511</v>
      </c>
      <c r="B513" s="4">
        <v>45174</v>
      </c>
      <c r="C513" s="1" t="s">
        <v>38</v>
      </c>
      <c r="D513" s="1" t="s">
        <v>25</v>
      </c>
      <c r="E513">
        <v>995246</v>
      </c>
      <c r="F513">
        <v>12</v>
      </c>
      <c r="G513" s="1" t="s">
        <v>35</v>
      </c>
      <c r="H513">
        <v>11638</v>
      </c>
      <c r="I513">
        <v>18139</v>
      </c>
      <c r="J513" s="1" t="s">
        <v>27</v>
      </c>
      <c r="K513" s="3">
        <v>1</v>
      </c>
      <c r="L513" s="1" t="s">
        <v>28</v>
      </c>
      <c r="M513" s="1" t="s">
        <v>29</v>
      </c>
      <c r="N513" s="3">
        <v>2024010123</v>
      </c>
      <c r="O513" s="3">
        <f t="shared" si="63"/>
        <v>1.23</v>
      </c>
      <c r="P513" s="6">
        <f t="shared" si="64"/>
        <v>1224152.58</v>
      </c>
      <c r="Q513" s="3" t="str">
        <f t="shared" si="65"/>
        <v>Excellent</v>
      </c>
      <c r="R513" s="3">
        <f t="shared" si="66"/>
        <v>6501</v>
      </c>
      <c r="S513" s="7">
        <f t="shared" si="67"/>
        <v>78012</v>
      </c>
      <c r="T513" s="3" t="str">
        <f t="shared" si="68"/>
        <v>High Profit</v>
      </c>
      <c r="U513" s="3" t="str">
        <f t="shared" si="69"/>
        <v>Low Discount</v>
      </c>
      <c r="V513" s="3" t="str">
        <f t="shared" si="70"/>
        <v>Priority D</v>
      </c>
      <c r="W513">
        <f t="shared" si="71"/>
        <v>149286.9</v>
      </c>
      <c r="X513" t="s">
        <v>23</v>
      </c>
      <c r="Y513" t="s">
        <v>23</v>
      </c>
      <c r="Z513" t="s">
        <v>23</v>
      </c>
      <c r="AA513" t="s">
        <v>23</v>
      </c>
      <c r="AB513" t="s">
        <v>23</v>
      </c>
      <c r="AC513" t="s">
        <v>23</v>
      </c>
      <c r="AD513" t="s">
        <v>23</v>
      </c>
      <c r="AE513" t="s">
        <v>23</v>
      </c>
      <c r="AF513" t="s">
        <v>23</v>
      </c>
      <c r="AG513" t="s">
        <v>23</v>
      </c>
      <c r="AH513" t="s">
        <v>23</v>
      </c>
      <c r="AI513" t="s">
        <v>23</v>
      </c>
      <c r="AJ513" t="s">
        <v>23</v>
      </c>
    </row>
    <row r="514" spans="1:36" x14ac:dyDescent="0.35">
      <c r="A514" s="2">
        <v>1512</v>
      </c>
      <c r="B514" s="4">
        <v>44928</v>
      </c>
      <c r="C514" s="1" t="s">
        <v>34</v>
      </c>
      <c r="D514" s="1" t="s">
        <v>25</v>
      </c>
      <c r="E514">
        <v>583032</v>
      </c>
      <c r="F514">
        <v>44</v>
      </c>
      <c r="G514" s="1" t="s">
        <v>35</v>
      </c>
      <c r="H514">
        <v>10727</v>
      </c>
      <c r="I514">
        <v>19977</v>
      </c>
      <c r="J514" s="1" t="s">
        <v>33</v>
      </c>
      <c r="K514" s="3">
        <v>3</v>
      </c>
      <c r="L514" s="1" t="s">
        <v>28</v>
      </c>
      <c r="M514" s="1" t="s">
        <v>29</v>
      </c>
      <c r="N514" s="3">
        <v>2024010123</v>
      </c>
      <c r="O514" s="3">
        <f t="shared" si="63"/>
        <v>1.23</v>
      </c>
      <c r="P514" s="6">
        <f t="shared" si="64"/>
        <v>717129.36</v>
      </c>
      <c r="Q514" s="3" t="str">
        <f t="shared" si="65"/>
        <v>Excellent</v>
      </c>
      <c r="R514" s="3">
        <f t="shared" si="66"/>
        <v>9250</v>
      </c>
      <c r="S514" s="7">
        <f t="shared" si="67"/>
        <v>407000</v>
      </c>
      <c r="T514" s="3" t="str">
        <f t="shared" si="68"/>
        <v>High Profit</v>
      </c>
      <c r="U514" s="3" t="str">
        <f t="shared" si="69"/>
        <v>Low Discount</v>
      </c>
      <c r="V514" s="3" t="str">
        <f t="shared" si="70"/>
        <v>Priority C</v>
      </c>
      <c r="W514">
        <f t="shared" si="71"/>
        <v>58303.200000000004</v>
      </c>
      <c r="X514" t="s">
        <v>23</v>
      </c>
      <c r="Y514" t="s">
        <v>23</v>
      </c>
      <c r="Z514" t="s">
        <v>23</v>
      </c>
      <c r="AA514" t="s">
        <v>23</v>
      </c>
      <c r="AB514" t="s">
        <v>23</v>
      </c>
      <c r="AC514" t="s">
        <v>23</v>
      </c>
      <c r="AD514" t="s">
        <v>23</v>
      </c>
      <c r="AE514" t="s">
        <v>23</v>
      </c>
      <c r="AF514" t="s">
        <v>23</v>
      </c>
      <c r="AG514" t="s">
        <v>23</v>
      </c>
      <c r="AH514" t="s">
        <v>23</v>
      </c>
      <c r="AI514" t="s">
        <v>23</v>
      </c>
      <c r="AJ514" t="s">
        <v>23</v>
      </c>
    </row>
    <row r="515" spans="1:36" x14ac:dyDescent="0.35">
      <c r="A515" s="2">
        <v>1513</v>
      </c>
      <c r="B515" s="4">
        <v>45105</v>
      </c>
      <c r="C515" s="1" t="s">
        <v>24</v>
      </c>
      <c r="D515" s="1" t="s">
        <v>42</v>
      </c>
      <c r="E515">
        <v>514499</v>
      </c>
      <c r="F515">
        <v>15</v>
      </c>
      <c r="G515" s="1" t="s">
        <v>35</v>
      </c>
      <c r="H515">
        <v>15786</v>
      </c>
      <c r="I515">
        <v>26634</v>
      </c>
      <c r="J515" s="1" t="s">
        <v>33</v>
      </c>
      <c r="K515" s="3">
        <v>11</v>
      </c>
      <c r="L515" s="1" t="s">
        <v>36</v>
      </c>
      <c r="M515" s="1" t="s">
        <v>37</v>
      </c>
      <c r="N515" s="3">
        <v>2024010123</v>
      </c>
      <c r="O515" s="3">
        <f t="shared" ref="O515:O578" si="72">VALUE(RIGHT($N$2,3))/100</f>
        <v>1.23</v>
      </c>
      <c r="P515" s="6">
        <f t="shared" ref="P515:P578" si="73">E515*$O515</f>
        <v>632833.77</v>
      </c>
      <c r="Q515" s="3" t="str">
        <f t="shared" ref="Q515:Q578" si="74">IF(P515&gt;=5000,"Excellent",
   IF(P515&gt;=3000,"Good",
      IF(P515&gt;=1500,"Average","Below Average")))</f>
        <v>Excellent</v>
      </c>
      <c r="R515" s="3">
        <f t="shared" ref="R515:R578" si="75">I515-H515</f>
        <v>10848</v>
      </c>
      <c r="S515" s="7">
        <f t="shared" ref="S515:S578" si="76">R515*F515</f>
        <v>162720</v>
      </c>
      <c r="T515" s="3" t="str">
        <f t="shared" ref="T515:T578" si="77">IF(S515&gt;=1000,"High Profit",
   IF(S515&gt;=500,"Medium Profit","Low Profit"))</f>
        <v>High Profit</v>
      </c>
      <c r="U515" s="3" t="str">
        <f t="shared" ref="U515:U578" si="78">_xlfn.LET(
  _xlpm.d0, K515,
  _xlpm.d, IF(_xlpm.d0&gt;=1, _xlpm.d0/100, _xlpm.d0),
  IF(_xlpm.d&gt;=0.15, "High Discount",
     IF(_xlpm.d&gt;=0.05, "Medium Discount",
        IF(_xlpm.d&gt;0, "Low Discount", "No Discount")))
)</f>
        <v>Medium Discount</v>
      </c>
      <c r="V515" s="3" t="str">
        <f t="shared" ref="V515:V578" si="79">IF(AND(G515="Electronics",F515&gt;=30,M515="Online"),"Priority A",
   IF(AND(OR(G515="Furniture",G515="Electronics"),F515&gt;=20),"Priority B",
      IF(OR(M515="Online",F515&gt;=15),"Priority C","Priority D")))</f>
        <v>Priority C</v>
      </c>
      <c r="W515">
        <f t="shared" ref="W515:W578" si="80">IF(AND(Q515="Excellent",J515="Returning",T515="High Profit"),E515*0.15,
   IF(AND(Q515="Excellent",J515="New"),E515*0.1,
      IF(AND(OR(Q515="Good",Q515="Excellent"),L515="Cash"),E515*0.08,
         IF(AND(Q515="Good",T515="High Profit"),E515*0.06,
            IF(Q515="Average",E515*0.03,
               IF(Q515="Below Average",E515*0.01,0))))))</f>
        <v>51449.9</v>
      </c>
      <c r="X515" t="s">
        <v>23</v>
      </c>
      <c r="Y515" t="s">
        <v>23</v>
      </c>
      <c r="Z515" t="s">
        <v>23</v>
      </c>
      <c r="AA515" t="s">
        <v>23</v>
      </c>
      <c r="AB515" t="s">
        <v>23</v>
      </c>
      <c r="AC515" t="s">
        <v>23</v>
      </c>
      <c r="AD515" t="s">
        <v>23</v>
      </c>
      <c r="AE515" t="s">
        <v>23</v>
      </c>
      <c r="AF515" t="s">
        <v>23</v>
      </c>
      <c r="AG515" t="s">
        <v>23</v>
      </c>
      <c r="AH515" t="s">
        <v>23</v>
      </c>
      <c r="AI515" t="s">
        <v>23</v>
      </c>
      <c r="AJ515" t="s">
        <v>23</v>
      </c>
    </row>
    <row r="516" spans="1:36" x14ac:dyDescent="0.35">
      <c r="A516" s="2">
        <v>1514</v>
      </c>
      <c r="B516" s="4">
        <v>45114</v>
      </c>
      <c r="C516" s="1" t="s">
        <v>24</v>
      </c>
      <c r="D516" s="1" t="s">
        <v>25</v>
      </c>
      <c r="E516">
        <v>457489</v>
      </c>
      <c r="F516">
        <v>22</v>
      </c>
      <c r="G516" s="1" t="s">
        <v>26</v>
      </c>
      <c r="H516">
        <v>27552</v>
      </c>
      <c r="I516">
        <v>41312</v>
      </c>
      <c r="J516" s="1" t="s">
        <v>33</v>
      </c>
      <c r="K516" s="3">
        <v>9</v>
      </c>
      <c r="L516" s="1" t="s">
        <v>36</v>
      </c>
      <c r="M516" s="1" t="s">
        <v>37</v>
      </c>
      <c r="N516" s="3">
        <v>2024010123</v>
      </c>
      <c r="O516" s="3">
        <f t="shared" si="72"/>
        <v>1.23</v>
      </c>
      <c r="P516" s="6">
        <f t="shared" si="73"/>
        <v>562711.47</v>
      </c>
      <c r="Q516" s="3" t="str">
        <f t="shared" si="74"/>
        <v>Excellent</v>
      </c>
      <c r="R516" s="3">
        <f t="shared" si="75"/>
        <v>13760</v>
      </c>
      <c r="S516" s="7">
        <f t="shared" si="76"/>
        <v>302720</v>
      </c>
      <c r="T516" s="3" t="str">
        <f t="shared" si="77"/>
        <v>High Profit</v>
      </c>
      <c r="U516" s="3" t="str">
        <f t="shared" si="78"/>
        <v>Medium Discount</v>
      </c>
      <c r="V516" s="3" t="str">
        <f t="shared" si="79"/>
        <v>Priority C</v>
      </c>
      <c r="W516">
        <f t="shared" si="80"/>
        <v>45748.9</v>
      </c>
      <c r="X516" t="s">
        <v>23</v>
      </c>
      <c r="Y516" t="s">
        <v>23</v>
      </c>
      <c r="Z516" t="s">
        <v>23</v>
      </c>
      <c r="AA516" t="s">
        <v>23</v>
      </c>
      <c r="AB516" t="s">
        <v>23</v>
      </c>
      <c r="AC516" t="s">
        <v>23</v>
      </c>
      <c r="AD516" t="s">
        <v>23</v>
      </c>
      <c r="AE516" t="s">
        <v>23</v>
      </c>
      <c r="AF516" t="s">
        <v>23</v>
      </c>
      <c r="AG516" t="s">
        <v>23</v>
      </c>
      <c r="AH516" t="s">
        <v>23</v>
      </c>
      <c r="AI516" t="s">
        <v>23</v>
      </c>
      <c r="AJ516" t="s">
        <v>23</v>
      </c>
    </row>
    <row r="517" spans="1:36" x14ac:dyDescent="0.35">
      <c r="A517" s="2">
        <v>1515</v>
      </c>
      <c r="B517" s="4">
        <v>44952</v>
      </c>
      <c r="C517" s="1" t="s">
        <v>38</v>
      </c>
      <c r="D517" s="1" t="s">
        <v>43</v>
      </c>
      <c r="E517">
        <v>946326</v>
      </c>
      <c r="F517">
        <v>12</v>
      </c>
      <c r="G517" s="1" t="s">
        <v>39</v>
      </c>
      <c r="H517">
        <v>20132</v>
      </c>
      <c r="I517">
        <v>33060</v>
      </c>
      <c r="J517" s="1" t="s">
        <v>33</v>
      </c>
      <c r="K517" s="3">
        <v>8</v>
      </c>
      <c r="L517" s="1" t="s">
        <v>36</v>
      </c>
      <c r="M517" s="1" t="s">
        <v>37</v>
      </c>
      <c r="N517" s="3">
        <v>2024010123</v>
      </c>
      <c r="O517" s="3">
        <f t="shared" si="72"/>
        <v>1.23</v>
      </c>
      <c r="P517" s="6">
        <f t="shared" si="73"/>
        <v>1163980.98</v>
      </c>
      <c r="Q517" s="3" t="str">
        <f t="shared" si="74"/>
        <v>Excellent</v>
      </c>
      <c r="R517" s="3">
        <f t="shared" si="75"/>
        <v>12928</v>
      </c>
      <c r="S517" s="7">
        <f t="shared" si="76"/>
        <v>155136</v>
      </c>
      <c r="T517" s="3" t="str">
        <f t="shared" si="77"/>
        <v>High Profit</v>
      </c>
      <c r="U517" s="3" t="str">
        <f t="shared" si="78"/>
        <v>Medium Discount</v>
      </c>
      <c r="V517" s="3" t="str">
        <f t="shared" si="79"/>
        <v>Priority C</v>
      </c>
      <c r="W517">
        <f t="shared" si="80"/>
        <v>94632.6</v>
      </c>
      <c r="X517" t="s">
        <v>23</v>
      </c>
      <c r="Y517" t="s">
        <v>23</v>
      </c>
      <c r="Z517" t="s">
        <v>23</v>
      </c>
      <c r="AA517" t="s">
        <v>23</v>
      </c>
      <c r="AB517" t="s">
        <v>23</v>
      </c>
      <c r="AC517" t="s">
        <v>23</v>
      </c>
      <c r="AD517" t="s">
        <v>23</v>
      </c>
      <c r="AE517" t="s">
        <v>23</v>
      </c>
      <c r="AF517" t="s">
        <v>23</v>
      </c>
      <c r="AG517" t="s">
        <v>23</v>
      </c>
      <c r="AH517" t="s">
        <v>23</v>
      </c>
      <c r="AI517" t="s">
        <v>23</v>
      </c>
      <c r="AJ517" t="s">
        <v>23</v>
      </c>
    </row>
    <row r="518" spans="1:36" x14ac:dyDescent="0.35">
      <c r="A518" s="2">
        <v>1516</v>
      </c>
      <c r="B518" s="4">
        <v>44938</v>
      </c>
      <c r="C518" s="1" t="s">
        <v>24</v>
      </c>
      <c r="D518" s="1" t="s">
        <v>42</v>
      </c>
      <c r="E518">
        <v>480712</v>
      </c>
      <c r="F518">
        <v>47</v>
      </c>
      <c r="G518" s="1" t="s">
        <v>26</v>
      </c>
      <c r="H518">
        <v>21399</v>
      </c>
      <c r="I518">
        <v>27745</v>
      </c>
      <c r="J518" s="1" t="s">
        <v>27</v>
      </c>
      <c r="K518" s="3">
        <v>23</v>
      </c>
      <c r="L518" s="1" t="s">
        <v>40</v>
      </c>
      <c r="M518" s="1" t="s">
        <v>29</v>
      </c>
      <c r="N518" s="3">
        <v>2024010123</v>
      </c>
      <c r="O518" s="3">
        <f t="shared" si="72"/>
        <v>1.23</v>
      </c>
      <c r="P518" s="6">
        <f t="shared" si="73"/>
        <v>591275.76</v>
      </c>
      <c r="Q518" s="3" t="str">
        <f t="shared" si="74"/>
        <v>Excellent</v>
      </c>
      <c r="R518" s="3">
        <f t="shared" si="75"/>
        <v>6346</v>
      </c>
      <c r="S518" s="7">
        <f t="shared" si="76"/>
        <v>298262</v>
      </c>
      <c r="T518" s="3" t="str">
        <f t="shared" si="77"/>
        <v>High Profit</v>
      </c>
      <c r="U518" s="3" t="str">
        <f t="shared" si="78"/>
        <v>High Discount</v>
      </c>
      <c r="V518" s="3" t="str">
        <f t="shared" si="79"/>
        <v>Priority C</v>
      </c>
      <c r="W518">
        <f t="shared" si="80"/>
        <v>72106.8</v>
      </c>
      <c r="X518" t="s">
        <v>23</v>
      </c>
      <c r="Y518" t="s">
        <v>23</v>
      </c>
      <c r="Z518" t="s">
        <v>23</v>
      </c>
      <c r="AA518" t="s">
        <v>23</v>
      </c>
      <c r="AB518" t="s">
        <v>23</v>
      </c>
      <c r="AC518" t="s">
        <v>23</v>
      </c>
      <c r="AD518" t="s">
        <v>23</v>
      </c>
      <c r="AE518" t="s">
        <v>23</v>
      </c>
      <c r="AF518" t="s">
        <v>23</v>
      </c>
      <c r="AG518" t="s">
        <v>23</v>
      </c>
      <c r="AH518" t="s">
        <v>23</v>
      </c>
      <c r="AI518" t="s">
        <v>23</v>
      </c>
      <c r="AJ518" t="s">
        <v>23</v>
      </c>
    </row>
    <row r="519" spans="1:36" x14ac:dyDescent="0.35">
      <c r="A519" s="2">
        <v>1517</v>
      </c>
      <c r="B519" s="4">
        <v>45181</v>
      </c>
      <c r="C519" s="1" t="s">
        <v>24</v>
      </c>
      <c r="D519" s="1" t="s">
        <v>43</v>
      </c>
      <c r="E519">
        <v>312808</v>
      </c>
      <c r="F519">
        <v>36</v>
      </c>
      <c r="G519" s="1" t="s">
        <v>35</v>
      </c>
      <c r="H519">
        <v>18006</v>
      </c>
      <c r="I519">
        <v>24352</v>
      </c>
      <c r="J519" s="1" t="s">
        <v>27</v>
      </c>
      <c r="K519" s="3">
        <v>18</v>
      </c>
      <c r="L519" s="1" t="s">
        <v>36</v>
      </c>
      <c r="M519" s="1" t="s">
        <v>29</v>
      </c>
      <c r="N519" s="3">
        <v>2024010123</v>
      </c>
      <c r="O519" s="3">
        <f t="shared" si="72"/>
        <v>1.23</v>
      </c>
      <c r="P519" s="6">
        <f t="shared" si="73"/>
        <v>384753.83999999997</v>
      </c>
      <c r="Q519" s="3" t="str">
        <f t="shared" si="74"/>
        <v>Excellent</v>
      </c>
      <c r="R519" s="3">
        <f t="shared" si="75"/>
        <v>6346</v>
      </c>
      <c r="S519" s="7">
        <f t="shared" si="76"/>
        <v>228456</v>
      </c>
      <c r="T519" s="3" t="str">
        <f t="shared" si="77"/>
        <v>High Profit</v>
      </c>
      <c r="U519" s="3" t="str">
        <f t="shared" si="78"/>
        <v>High Discount</v>
      </c>
      <c r="V519" s="3" t="str">
        <f t="shared" si="79"/>
        <v>Priority C</v>
      </c>
      <c r="W519">
        <f t="shared" si="80"/>
        <v>46921.2</v>
      </c>
      <c r="X519" t="s">
        <v>23</v>
      </c>
      <c r="Y519" t="s">
        <v>23</v>
      </c>
      <c r="Z519" t="s">
        <v>23</v>
      </c>
      <c r="AA519" t="s">
        <v>23</v>
      </c>
      <c r="AB519" t="s">
        <v>23</v>
      </c>
      <c r="AC519" t="s">
        <v>23</v>
      </c>
      <c r="AD519" t="s">
        <v>23</v>
      </c>
      <c r="AE519" t="s">
        <v>23</v>
      </c>
      <c r="AF519" t="s">
        <v>23</v>
      </c>
      <c r="AG519" t="s">
        <v>23</v>
      </c>
      <c r="AH519" t="s">
        <v>23</v>
      </c>
      <c r="AI519" t="s">
        <v>23</v>
      </c>
      <c r="AJ519" t="s">
        <v>23</v>
      </c>
    </row>
    <row r="520" spans="1:36" x14ac:dyDescent="0.35">
      <c r="A520" s="2">
        <v>1518</v>
      </c>
      <c r="B520" s="4">
        <v>45010</v>
      </c>
      <c r="C520" s="1" t="s">
        <v>38</v>
      </c>
      <c r="D520" s="1" t="s">
        <v>31</v>
      </c>
      <c r="E520">
        <v>790876</v>
      </c>
      <c r="F520">
        <v>12</v>
      </c>
      <c r="G520" s="1" t="s">
        <v>26</v>
      </c>
      <c r="H520">
        <v>19606</v>
      </c>
      <c r="I520">
        <v>25839</v>
      </c>
      <c r="J520" s="1" t="s">
        <v>33</v>
      </c>
      <c r="K520" s="3">
        <v>20</v>
      </c>
      <c r="L520" s="1" t="s">
        <v>40</v>
      </c>
      <c r="M520" s="1" t="s">
        <v>37</v>
      </c>
      <c r="N520" s="3">
        <v>2024010123</v>
      </c>
      <c r="O520" s="3">
        <f t="shared" si="72"/>
        <v>1.23</v>
      </c>
      <c r="P520" s="6">
        <f t="shared" si="73"/>
        <v>972777.48</v>
      </c>
      <c r="Q520" s="3" t="str">
        <f t="shared" si="74"/>
        <v>Excellent</v>
      </c>
      <c r="R520" s="3">
        <f t="shared" si="75"/>
        <v>6233</v>
      </c>
      <c r="S520" s="7">
        <f t="shared" si="76"/>
        <v>74796</v>
      </c>
      <c r="T520" s="3" t="str">
        <f t="shared" si="77"/>
        <v>High Profit</v>
      </c>
      <c r="U520" s="3" t="str">
        <f t="shared" si="78"/>
        <v>High Discount</v>
      </c>
      <c r="V520" s="3" t="str">
        <f t="shared" si="79"/>
        <v>Priority C</v>
      </c>
      <c r="W520">
        <f t="shared" si="80"/>
        <v>79087.600000000006</v>
      </c>
      <c r="X520" t="s">
        <v>23</v>
      </c>
      <c r="Y520" t="s">
        <v>23</v>
      </c>
      <c r="Z520" t="s">
        <v>23</v>
      </c>
      <c r="AA520" t="s">
        <v>23</v>
      </c>
      <c r="AB520" t="s">
        <v>23</v>
      </c>
      <c r="AC520" t="s">
        <v>23</v>
      </c>
      <c r="AD520" t="s">
        <v>23</v>
      </c>
      <c r="AE520" t="s">
        <v>23</v>
      </c>
      <c r="AF520" t="s">
        <v>23</v>
      </c>
      <c r="AG520" t="s">
        <v>23</v>
      </c>
      <c r="AH520" t="s">
        <v>23</v>
      </c>
      <c r="AI520" t="s">
        <v>23</v>
      </c>
      <c r="AJ520" t="s">
        <v>23</v>
      </c>
    </row>
    <row r="521" spans="1:36" x14ac:dyDescent="0.35">
      <c r="A521" s="2">
        <v>1519</v>
      </c>
      <c r="B521" s="4">
        <v>45015</v>
      </c>
      <c r="C521" s="1" t="s">
        <v>24</v>
      </c>
      <c r="D521" s="1" t="s">
        <v>25</v>
      </c>
      <c r="E521">
        <v>883585</v>
      </c>
      <c r="F521">
        <v>12</v>
      </c>
      <c r="G521" s="1" t="s">
        <v>32</v>
      </c>
      <c r="H521">
        <v>21148</v>
      </c>
      <c r="I521">
        <v>27875</v>
      </c>
      <c r="J521" s="1" t="s">
        <v>33</v>
      </c>
      <c r="K521" s="3">
        <v>30</v>
      </c>
      <c r="L521" s="1" t="s">
        <v>36</v>
      </c>
      <c r="M521" s="1" t="s">
        <v>37</v>
      </c>
      <c r="N521" s="3">
        <v>2024010123</v>
      </c>
      <c r="O521" s="3">
        <f t="shared" si="72"/>
        <v>1.23</v>
      </c>
      <c r="P521" s="6">
        <f t="shared" si="73"/>
        <v>1086809.55</v>
      </c>
      <c r="Q521" s="3" t="str">
        <f t="shared" si="74"/>
        <v>Excellent</v>
      </c>
      <c r="R521" s="3">
        <f t="shared" si="75"/>
        <v>6727</v>
      </c>
      <c r="S521" s="7">
        <f t="shared" si="76"/>
        <v>80724</v>
      </c>
      <c r="T521" s="3" t="str">
        <f t="shared" si="77"/>
        <v>High Profit</v>
      </c>
      <c r="U521" s="3" t="str">
        <f t="shared" si="78"/>
        <v>High Discount</v>
      </c>
      <c r="V521" s="3" t="str">
        <f t="shared" si="79"/>
        <v>Priority C</v>
      </c>
      <c r="W521">
        <f t="shared" si="80"/>
        <v>88358.5</v>
      </c>
      <c r="X521" t="s">
        <v>23</v>
      </c>
      <c r="Y521" t="s">
        <v>23</v>
      </c>
      <c r="Z521" t="s">
        <v>23</v>
      </c>
      <c r="AA521" t="s">
        <v>23</v>
      </c>
      <c r="AB521" t="s">
        <v>23</v>
      </c>
      <c r="AC521" t="s">
        <v>23</v>
      </c>
      <c r="AD521" t="s">
        <v>23</v>
      </c>
      <c r="AE521" t="s">
        <v>23</v>
      </c>
      <c r="AF521" t="s">
        <v>23</v>
      </c>
      <c r="AG521" t="s">
        <v>23</v>
      </c>
      <c r="AH521" t="s">
        <v>23</v>
      </c>
      <c r="AI521" t="s">
        <v>23</v>
      </c>
      <c r="AJ521" t="s">
        <v>23</v>
      </c>
    </row>
    <row r="522" spans="1:36" x14ac:dyDescent="0.35">
      <c r="A522" s="2">
        <v>1520</v>
      </c>
      <c r="B522" s="4">
        <v>45171</v>
      </c>
      <c r="C522" s="1" t="s">
        <v>24</v>
      </c>
      <c r="D522" s="1" t="s">
        <v>25</v>
      </c>
      <c r="E522">
        <v>727388</v>
      </c>
      <c r="F522">
        <v>8</v>
      </c>
      <c r="G522" s="1" t="s">
        <v>35</v>
      </c>
      <c r="H522">
        <v>31946</v>
      </c>
      <c r="I522">
        <v>38355</v>
      </c>
      <c r="J522" s="1" t="s">
        <v>33</v>
      </c>
      <c r="K522" s="3">
        <v>0</v>
      </c>
      <c r="L522" s="1" t="s">
        <v>28</v>
      </c>
      <c r="M522" s="1" t="s">
        <v>29</v>
      </c>
      <c r="N522" s="3">
        <v>2024010123</v>
      </c>
      <c r="O522" s="3">
        <f t="shared" si="72"/>
        <v>1.23</v>
      </c>
      <c r="P522" s="6">
        <f t="shared" si="73"/>
        <v>894687.24</v>
      </c>
      <c r="Q522" s="3" t="str">
        <f t="shared" si="74"/>
        <v>Excellent</v>
      </c>
      <c r="R522" s="3">
        <f t="shared" si="75"/>
        <v>6409</v>
      </c>
      <c r="S522" s="7">
        <f t="shared" si="76"/>
        <v>51272</v>
      </c>
      <c r="T522" s="3" t="str">
        <f t="shared" si="77"/>
        <v>High Profit</v>
      </c>
      <c r="U522" s="3" t="str">
        <f t="shared" si="78"/>
        <v>No Discount</v>
      </c>
      <c r="V522" s="3" t="str">
        <f t="shared" si="79"/>
        <v>Priority D</v>
      </c>
      <c r="W522">
        <f t="shared" si="80"/>
        <v>72738.8</v>
      </c>
      <c r="X522" t="s">
        <v>23</v>
      </c>
      <c r="Y522" t="s">
        <v>23</v>
      </c>
      <c r="Z522" t="s">
        <v>23</v>
      </c>
      <c r="AA522" t="s">
        <v>23</v>
      </c>
      <c r="AB522" t="s">
        <v>23</v>
      </c>
      <c r="AC522" t="s">
        <v>23</v>
      </c>
      <c r="AD522" t="s">
        <v>23</v>
      </c>
      <c r="AE522" t="s">
        <v>23</v>
      </c>
      <c r="AF522" t="s">
        <v>23</v>
      </c>
      <c r="AG522" t="s">
        <v>23</v>
      </c>
      <c r="AH522" t="s">
        <v>23</v>
      </c>
      <c r="AI522" t="s">
        <v>23</v>
      </c>
      <c r="AJ522" t="s">
        <v>23</v>
      </c>
    </row>
    <row r="523" spans="1:36" x14ac:dyDescent="0.35">
      <c r="A523" s="2">
        <v>1521</v>
      </c>
      <c r="B523" s="4">
        <v>44954</v>
      </c>
      <c r="C523" s="1" t="s">
        <v>34</v>
      </c>
      <c r="D523" s="1" t="s">
        <v>31</v>
      </c>
      <c r="E523">
        <v>412344</v>
      </c>
      <c r="F523">
        <v>8</v>
      </c>
      <c r="G523" s="1" t="s">
        <v>35</v>
      </c>
      <c r="H523">
        <v>23547</v>
      </c>
      <c r="I523">
        <v>30343</v>
      </c>
      <c r="J523" s="1" t="s">
        <v>33</v>
      </c>
      <c r="K523" s="3">
        <v>3</v>
      </c>
      <c r="L523" s="1" t="s">
        <v>36</v>
      </c>
      <c r="M523" s="1" t="s">
        <v>37</v>
      </c>
      <c r="N523" s="3">
        <v>2024010123</v>
      </c>
      <c r="O523" s="3">
        <f t="shared" si="72"/>
        <v>1.23</v>
      </c>
      <c r="P523" s="6">
        <f t="shared" si="73"/>
        <v>507183.12</v>
      </c>
      <c r="Q523" s="3" t="str">
        <f t="shared" si="74"/>
        <v>Excellent</v>
      </c>
      <c r="R523" s="3">
        <f t="shared" si="75"/>
        <v>6796</v>
      </c>
      <c r="S523" s="7">
        <f t="shared" si="76"/>
        <v>54368</v>
      </c>
      <c r="T523" s="3" t="str">
        <f t="shared" si="77"/>
        <v>High Profit</v>
      </c>
      <c r="U523" s="3" t="str">
        <f t="shared" si="78"/>
        <v>Low Discount</v>
      </c>
      <c r="V523" s="3" t="str">
        <f t="shared" si="79"/>
        <v>Priority C</v>
      </c>
      <c r="W523">
        <f t="shared" si="80"/>
        <v>41234.400000000001</v>
      </c>
      <c r="X523" t="s">
        <v>23</v>
      </c>
      <c r="Y523" t="s">
        <v>23</v>
      </c>
      <c r="Z523" t="s">
        <v>23</v>
      </c>
      <c r="AA523" t="s">
        <v>23</v>
      </c>
      <c r="AB523" t="s">
        <v>23</v>
      </c>
      <c r="AC523" t="s">
        <v>23</v>
      </c>
      <c r="AD523" t="s">
        <v>23</v>
      </c>
      <c r="AE523" t="s">
        <v>23</v>
      </c>
      <c r="AF523" t="s">
        <v>23</v>
      </c>
      <c r="AG523" t="s">
        <v>23</v>
      </c>
      <c r="AH523" t="s">
        <v>23</v>
      </c>
      <c r="AI523" t="s">
        <v>23</v>
      </c>
      <c r="AJ523" t="s">
        <v>23</v>
      </c>
    </row>
    <row r="524" spans="1:36" x14ac:dyDescent="0.35">
      <c r="A524" s="2">
        <v>1522</v>
      </c>
      <c r="B524" s="4">
        <v>44952</v>
      </c>
      <c r="C524" s="1" t="s">
        <v>41</v>
      </c>
      <c r="D524" s="1" t="s">
        <v>25</v>
      </c>
      <c r="E524">
        <v>365315</v>
      </c>
      <c r="F524">
        <v>18</v>
      </c>
      <c r="G524" s="1" t="s">
        <v>26</v>
      </c>
      <c r="H524">
        <v>35621</v>
      </c>
      <c r="I524">
        <v>43462</v>
      </c>
      <c r="J524" s="1" t="s">
        <v>33</v>
      </c>
      <c r="K524" s="3">
        <v>2</v>
      </c>
      <c r="L524" s="1" t="s">
        <v>28</v>
      </c>
      <c r="M524" s="1" t="s">
        <v>37</v>
      </c>
      <c r="N524" s="3">
        <v>2024010123</v>
      </c>
      <c r="O524" s="3">
        <f t="shared" si="72"/>
        <v>1.23</v>
      </c>
      <c r="P524" s="6">
        <f t="shared" si="73"/>
        <v>449337.45</v>
      </c>
      <c r="Q524" s="3" t="str">
        <f t="shared" si="74"/>
        <v>Excellent</v>
      </c>
      <c r="R524" s="3">
        <f t="shared" si="75"/>
        <v>7841</v>
      </c>
      <c r="S524" s="7">
        <f t="shared" si="76"/>
        <v>141138</v>
      </c>
      <c r="T524" s="3" t="str">
        <f t="shared" si="77"/>
        <v>High Profit</v>
      </c>
      <c r="U524" s="3" t="str">
        <f t="shared" si="78"/>
        <v>Low Discount</v>
      </c>
      <c r="V524" s="3" t="str">
        <f t="shared" si="79"/>
        <v>Priority C</v>
      </c>
      <c r="W524">
        <f t="shared" si="80"/>
        <v>36531.5</v>
      </c>
      <c r="X524" t="s">
        <v>23</v>
      </c>
      <c r="Y524" t="s">
        <v>23</v>
      </c>
      <c r="Z524" t="s">
        <v>23</v>
      </c>
      <c r="AA524" t="s">
        <v>23</v>
      </c>
      <c r="AB524" t="s">
        <v>23</v>
      </c>
      <c r="AC524" t="s">
        <v>23</v>
      </c>
      <c r="AD524" t="s">
        <v>23</v>
      </c>
      <c r="AE524" t="s">
        <v>23</v>
      </c>
      <c r="AF524" t="s">
        <v>23</v>
      </c>
      <c r="AG524" t="s">
        <v>23</v>
      </c>
      <c r="AH524" t="s">
        <v>23</v>
      </c>
      <c r="AI524" t="s">
        <v>23</v>
      </c>
      <c r="AJ524" t="s">
        <v>23</v>
      </c>
    </row>
    <row r="525" spans="1:36" x14ac:dyDescent="0.35">
      <c r="A525" s="2">
        <v>1523</v>
      </c>
      <c r="B525" s="4">
        <v>45189</v>
      </c>
      <c r="C525" s="1" t="s">
        <v>24</v>
      </c>
      <c r="D525" s="1" t="s">
        <v>25</v>
      </c>
      <c r="E525">
        <v>947315</v>
      </c>
      <c r="F525">
        <v>15</v>
      </c>
      <c r="G525" s="1" t="s">
        <v>35</v>
      </c>
      <c r="H525">
        <v>27508</v>
      </c>
      <c r="I525">
        <v>35495</v>
      </c>
      <c r="J525" s="1" t="s">
        <v>33</v>
      </c>
      <c r="K525" s="3">
        <v>9</v>
      </c>
      <c r="L525" s="1" t="s">
        <v>36</v>
      </c>
      <c r="M525" s="1" t="s">
        <v>37</v>
      </c>
      <c r="N525" s="3">
        <v>2024010123</v>
      </c>
      <c r="O525" s="3">
        <f t="shared" si="72"/>
        <v>1.23</v>
      </c>
      <c r="P525" s="6">
        <f t="shared" si="73"/>
        <v>1165197.45</v>
      </c>
      <c r="Q525" s="3" t="str">
        <f t="shared" si="74"/>
        <v>Excellent</v>
      </c>
      <c r="R525" s="3">
        <f t="shared" si="75"/>
        <v>7987</v>
      </c>
      <c r="S525" s="7">
        <f t="shared" si="76"/>
        <v>119805</v>
      </c>
      <c r="T525" s="3" t="str">
        <f t="shared" si="77"/>
        <v>High Profit</v>
      </c>
      <c r="U525" s="3" t="str">
        <f t="shared" si="78"/>
        <v>Medium Discount</v>
      </c>
      <c r="V525" s="3" t="str">
        <f t="shared" si="79"/>
        <v>Priority C</v>
      </c>
      <c r="W525">
        <f t="shared" si="80"/>
        <v>94731.5</v>
      </c>
      <c r="X525" t="s">
        <v>23</v>
      </c>
      <c r="Y525" t="s">
        <v>23</v>
      </c>
      <c r="Z525" t="s">
        <v>23</v>
      </c>
      <c r="AA525" t="s">
        <v>23</v>
      </c>
      <c r="AB525" t="s">
        <v>23</v>
      </c>
      <c r="AC525" t="s">
        <v>23</v>
      </c>
      <c r="AD525" t="s">
        <v>23</v>
      </c>
      <c r="AE525" t="s">
        <v>23</v>
      </c>
      <c r="AF525" t="s">
        <v>23</v>
      </c>
      <c r="AG525" t="s">
        <v>23</v>
      </c>
      <c r="AH525" t="s">
        <v>23</v>
      </c>
      <c r="AI525" t="s">
        <v>23</v>
      </c>
      <c r="AJ525" t="s">
        <v>23</v>
      </c>
    </row>
    <row r="526" spans="1:36" x14ac:dyDescent="0.35">
      <c r="A526" s="2">
        <v>1524</v>
      </c>
      <c r="B526" s="4">
        <v>45059</v>
      </c>
      <c r="C526" s="1" t="s">
        <v>24</v>
      </c>
      <c r="D526" s="1" t="s">
        <v>43</v>
      </c>
      <c r="E526">
        <v>567567</v>
      </c>
      <c r="F526">
        <v>8</v>
      </c>
      <c r="G526" s="1" t="s">
        <v>32</v>
      </c>
      <c r="H526">
        <v>32097</v>
      </c>
      <c r="I526">
        <v>38242</v>
      </c>
      <c r="J526" s="1" t="s">
        <v>33</v>
      </c>
      <c r="K526" s="3">
        <v>8</v>
      </c>
      <c r="L526" s="1" t="s">
        <v>40</v>
      </c>
      <c r="M526" s="1" t="s">
        <v>37</v>
      </c>
      <c r="N526" s="3">
        <v>2024010123</v>
      </c>
      <c r="O526" s="3">
        <f t="shared" si="72"/>
        <v>1.23</v>
      </c>
      <c r="P526" s="6">
        <f t="shared" si="73"/>
        <v>698107.41</v>
      </c>
      <c r="Q526" s="3" t="str">
        <f t="shared" si="74"/>
        <v>Excellent</v>
      </c>
      <c r="R526" s="3">
        <f t="shared" si="75"/>
        <v>6145</v>
      </c>
      <c r="S526" s="7">
        <f t="shared" si="76"/>
        <v>49160</v>
      </c>
      <c r="T526" s="3" t="str">
        <f t="shared" si="77"/>
        <v>High Profit</v>
      </c>
      <c r="U526" s="3" t="str">
        <f t="shared" si="78"/>
        <v>Medium Discount</v>
      </c>
      <c r="V526" s="3" t="str">
        <f t="shared" si="79"/>
        <v>Priority C</v>
      </c>
      <c r="W526">
        <f t="shared" si="80"/>
        <v>56756.700000000004</v>
      </c>
      <c r="X526" t="s">
        <v>23</v>
      </c>
      <c r="Y526" t="s">
        <v>23</v>
      </c>
      <c r="Z526" t="s">
        <v>23</v>
      </c>
      <c r="AA526" t="s">
        <v>23</v>
      </c>
      <c r="AB526" t="s">
        <v>23</v>
      </c>
      <c r="AC526" t="s">
        <v>23</v>
      </c>
      <c r="AD526" t="s">
        <v>23</v>
      </c>
      <c r="AE526" t="s">
        <v>23</v>
      </c>
      <c r="AF526" t="s">
        <v>23</v>
      </c>
      <c r="AG526" t="s">
        <v>23</v>
      </c>
      <c r="AH526" t="s">
        <v>23</v>
      </c>
      <c r="AI526" t="s">
        <v>23</v>
      </c>
      <c r="AJ526" t="s">
        <v>23</v>
      </c>
    </row>
    <row r="527" spans="1:36" x14ac:dyDescent="0.35">
      <c r="A527" s="2">
        <v>1525</v>
      </c>
      <c r="B527" s="4">
        <v>44939</v>
      </c>
      <c r="C527" s="1" t="s">
        <v>41</v>
      </c>
      <c r="D527" s="1" t="s">
        <v>31</v>
      </c>
      <c r="E527">
        <v>751989</v>
      </c>
      <c r="F527">
        <v>18</v>
      </c>
      <c r="G527" s="1" t="s">
        <v>26</v>
      </c>
      <c r="H527">
        <v>26461</v>
      </c>
      <c r="I527">
        <v>34441</v>
      </c>
      <c r="J527" s="1" t="s">
        <v>33</v>
      </c>
      <c r="K527" s="3">
        <v>8</v>
      </c>
      <c r="L527" s="1" t="s">
        <v>36</v>
      </c>
      <c r="M527" s="1" t="s">
        <v>37</v>
      </c>
      <c r="N527" s="3">
        <v>2024010123</v>
      </c>
      <c r="O527" s="3">
        <f t="shared" si="72"/>
        <v>1.23</v>
      </c>
      <c r="P527" s="6">
        <f t="shared" si="73"/>
        <v>924946.47</v>
      </c>
      <c r="Q527" s="3" t="str">
        <f t="shared" si="74"/>
        <v>Excellent</v>
      </c>
      <c r="R527" s="3">
        <f t="shared" si="75"/>
        <v>7980</v>
      </c>
      <c r="S527" s="7">
        <f t="shared" si="76"/>
        <v>143640</v>
      </c>
      <c r="T527" s="3" t="str">
        <f t="shared" si="77"/>
        <v>High Profit</v>
      </c>
      <c r="U527" s="3" t="str">
        <f t="shared" si="78"/>
        <v>Medium Discount</v>
      </c>
      <c r="V527" s="3" t="str">
        <f t="shared" si="79"/>
        <v>Priority C</v>
      </c>
      <c r="W527">
        <f t="shared" si="80"/>
        <v>75198.900000000009</v>
      </c>
      <c r="X527" t="s">
        <v>23</v>
      </c>
      <c r="Y527" t="s">
        <v>23</v>
      </c>
      <c r="Z527" t="s">
        <v>23</v>
      </c>
      <c r="AA527" t="s">
        <v>23</v>
      </c>
      <c r="AB527" t="s">
        <v>23</v>
      </c>
      <c r="AC527" t="s">
        <v>23</v>
      </c>
      <c r="AD527" t="s">
        <v>23</v>
      </c>
      <c r="AE527" t="s">
        <v>23</v>
      </c>
      <c r="AF527" t="s">
        <v>23</v>
      </c>
      <c r="AG527" t="s">
        <v>23</v>
      </c>
      <c r="AH527" t="s">
        <v>23</v>
      </c>
      <c r="AI527" t="s">
        <v>23</v>
      </c>
      <c r="AJ527" t="s">
        <v>23</v>
      </c>
    </row>
    <row r="528" spans="1:36" x14ac:dyDescent="0.35">
      <c r="A528" s="2">
        <v>1526</v>
      </c>
      <c r="B528" s="4">
        <v>45108</v>
      </c>
      <c r="C528" s="1" t="s">
        <v>30</v>
      </c>
      <c r="D528" s="1" t="s">
        <v>31</v>
      </c>
      <c r="E528">
        <v>683844</v>
      </c>
      <c r="F528">
        <v>18</v>
      </c>
      <c r="G528" s="1" t="s">
        <v>26</v>
      </c>
      <c r="H528">
        <v>28124</v>
      </c>
      <c r="I528">
        <v>35864</v>
      </c>
      <c r="J528" s="1" t="s">
        <v>33</v>
      </c>
      <c r="K528" s="3">
        <v>21</v>
      </c>
      <c r="L528" s="1" t="s">
        <v>40</v>
      </c>
      <c r="M528" s="1" t="s">
        <v>29</v>
      </c>
      <c r="N528" s="3">
        <v>2024010123</v>
      </c>
      <c r="O528" s="3">
        <f t="shared" si="72"/>
        <v>1.23</v>
      </c>
      <c r="P528" s="6">
        <f t="shared" si="73"/>
        <v>841128.12</v>
      </c>
      <c r="Q528" s="3" t="str">
        <f t="shared" si="74"/>
        <v>Excellent</v>
      </c>
      <c r="R528" s="3">
        <f t="shared" si="75"/>
        <v>7740</v>
      </c>
      <c r="S528" s="7">
        <f t="shared" si="76"/>
        <v>139320</v>
      </c>
      <c r="T528" s="3" t="str">
        <f t="shared" si="77"/>
        <v>High Profit</v>
      </c>
      <c r="U528" s="3" t="str">
        <f t="shared" si="78"/>
        <v>High Discount</v>
      </c>
      <c r="V528" s="3" t="str">
        <f t="shared" si="79"/>
        <v>Priority C</v>
      </c>
      <c r="W528">
        <f t="shared" si="80"/>
        <v>68384.400000000009</v>
      </c>
      <c r="X528" t="s">
        <v>23</v>
      </c>
      <c r="Y528" t="s">
        <v>23</v>
      </c>
      <c r="Z528" t="s">
        <v>23</v>
      </c>
      <c r="AA528" t="s">
        <v>23</v>
      </c>
      <c r="AB528" t="s">
        <v>23</v>
      </c>
      <c r="AC528" t="s">
        <v>23</v>
      </c>
      <c r="AD528" t="s">
        <v>23</v>
      </c>
      <c r="AE528" t="s">
        <v>23</v>
      </c>
      <c r="AF528" t="s">
        <v>23</v>
      </c>
      <c r="AG528" t="s">
        <v>23</v>
      </c>
      <c r="AH528" t="s">
        <v>23</v>
      </c>
      <c r="AI528" t="s">
        <v>23</v>
      </c>
      <c r="AJ528" t="s">
        <v>23</v>
      </c>
    </row>
    <row r="529" spans="1:36" x14ac:dyDescent="0.35">
      <c r="A529" s="2">
        <v>1527</v>
      </c>
      <c r="B529" s="4">
        <v>45252</v>
      </c>
      <c r="C529" s="1" t="s">
        <v>24</v>
      </c>
      <c r="D529" s="1" t="s">
        <v>42</v>
      </c>
      <c r="E529">
        <v>724777</v>
      </c>
      <c r="F529">
        <v>18</v>
      </c>
      <c r="G529" s="1" t="s">
        <v>35</v>
      </c>
      <c r="H529">
        <v>21208</v>
      </c>
      <c r="I529">
        <v>26780</v>
      </c>
      <c r="J529" s="1" t="s">
        <v>27</v>
      </c>
      <c r="K529" s="3">
        <v>22</v>
      </c>
      <c r="L529" s="1" t="s">
        <v>36</v>
      </c>
      <c r="M529" s="1" t="s">
        <v>29</v>
      </c>
      <c r="N529" s="3">
        <v>2024010123</v>
      </c>
      <c r="O529" s="3">
        <f t="shared" si="72"/>
        <v>1.23</v>
      </c>
      <c r="P529" s="6">
        <f t="shared" si="73"/>
        <v>891475.71</v>
      </c>
      <c r="Q529" s="3" t="str">
        <f t="shared" si="74"/>
        <v>Excellent</v>
      </c>
      <c r="R529" s="3">
        <f t="shared" si="75"/>
        <v>5572</v>
      </c>
      <c r="S529" s="7">
        <f t="shared" si="76"/>
        <v>100296</v>
      </c>
      <c r="T529" s="3" t="str">
        <f t="shared" si="77"/>
        <v>High Profit</v>
      </c>
      <c r="U529" s="3" t="str">
        <f t="shared" si="78"/>
        <v>High Discount</v>
      </c>
      <c r="V529" s="3" t="str">
        <f t="shared" si="79"/>
        <v>Priority C</v>
      </c>
      <c r="W529">
        <f t="shared" si="80"/>
        <v>108716.55</v>
      </c>
      <c r="X529" t="s">
        <v>23</v>
      </c>
      <c r="Y529" t="s">
        <v>23</v>
      </c>
      <c r="Z529" t="s">
        <v>23</v>
      </c>
      <c r="AA529" t="s">
        <v>23</v>
      </c>
      <c r="AB529" t="s">
        <v>23</v>
      </c>
      <c r="AC529" t="s">
        <v>23</v>
      </c>
      <c r="AD529" t="s">
        <v>23</v>
      </c>
      <c r="AE529" t="s">
        <v>23</v>
      </c>
      <c r="AF529" t="s">
        <v>23</v>
      </c>
      <c r="AG529" t="s">
        <v>23</v>
      </c>
      <c r="AH529" t="s">
        <v>23</v>
      </c>
      <c r="AI529" t="s">
        <v>23</v>
      </c>
      <c r="AJ529" t="s">
        <v>23</v>
      </c>
    </row>
    <row r="530" spans="1:36" x14ac:dyDescent="0.35">
      <c r="A530" s="2">
        <v>1528</v>
      </c>
      <c r="B530" s="4">
        <v>45254</v>
      </c>
      <c r="C530" s="1" t="s">
        <v>34</v>
      </c>
      <c r="D530" s="1" t="s">
        <v>31</v>
      </c>
      <c r="E530">
        <v>253476</v>
      </c>
      <c r="F530">
        <v>18</v>
      </c>
      <c r="G530" s="1" t="s">
        <v>32</v>
      </c>
      <c r="H530">
        <v>27459</v>
      </c>
      <c r="I530">
        <v>31941</v>
      </c>
      <c r="J530" s="1" t="s">
        <v>27</v>
      </c>
      <c r="K530" s="3">
        <v>21</v>
      </c>
      <c r="L530" s="1" t="s">
        <v>40</v>
      </c>
      <c r="M530" s="1" t="s">
        <v>37</v>
      </c>
      <c r="N530" s="3">
        <v>2024010123</v>
      </c>
      <c r="O530" s="3">
        <f t="shared" si="72"/>
        <v>1.23</v>
      </c>
      <c r="P530" s="6">
        <f t="shared" si="73"/>
        <v>311775.48</v>
      </c>
      <c r="Q530" s="3" t="str">
        <f t="shared" si="74"/>
        <v>Excellent</v>
      </c>
      <c r="R530" s="3">
        <f t="shared" si="75"/>
        <v>4482</v>
      </c>
      <c r="S530" s="7">
        <f t="shared" si="76"/>
        <v>80676</v>
      </c>
      <c r="T530" s="3" t="str">
        <f t="shared" si="77"/>
        <v>High Profit</v>
      </c>
      <c r="U530" s="3" t="str">
        <f t="shared" si="78"/>
        <v>High Discount</v>
      </c>
      <c r="V530" s="3" t="str">
        <f t="shared" si="79"/>
        <v>Priority C</v>
      </c>
      <c r="W530">
        <f t="shared" si="80"/>
        <v>38021.4</v>
      </c>
      <c r="X530" t="s">
        <v>23</v>
      </c>
      <c r="Y530" t="s">
        <v>23</v>
      </c>
      <c r="Z530" t="s">
        <v>23</v>
      </c>
      <c r="AA530" t="s">
        <v>23</v>
      </c>
      <c r="AB530" t="s">
        <v>23</v>
      </c>
      <c r="AC530" t="s">
        <v>23</v>
      </c>
      <c r="AD530" t="s">
        <v>23</v>
      </c>
      <c r="AE530" t="s">
        <v>23</v>
      </c>
      <c r="AF530" t="s">
        <v>23</v>
      </c>
      <c r="AG530" t="s">
        <v>23</v>
      </c>
      <c r="AH530" t="s">
        <v>23</v>
      </c>
      <c r="AI530" t="s">
        <v>23</v>
      </c>
      <c r="AJ530" t="s">
        <v>23</v>
      </c>
    </row>
    <row r="531" spans="1:36" x14ac:dyDescent="0.35">
      <c r="A531" s="2">
        <v>1529</v>
      </c>
      <c r="B531" s="4">
        <v>45251</v>
      </c>
      <c r="C531" s="1" t="s">
        <v>24</v>
      </c>
      <c r="D531" s="1" t="s">
        <v>42</v>
      </c>
      <c r="E531">
        <v>504575</v>
      </c>
      <c r="F531">
        <v>10</v>
      </c>
      <c r="G531" s="1" t="s">
        <v>32</v>
      </c>
      <c r="H531">
        <v>34213</v>
      </c>
      <c r="I531">
        <v>39919</v>
      </c>
      <c r="J531" s="1" t="s">
        <v>33</v>
      </c>
      <c r="K531" s="3">
        <v>25</v>
      </c>
      <c r="L531" s="1" t="s">
        <v>36</v>
      </c>
      <c r="M531" s="1" t="s">
        <v>37</v>
      </c>
      <c r="N531" s="3">
        <v>2024010123</v>
      </c>
      <c r="O531" s="3">
        <f t="shared" si="72"/>
        <v>1.23</v>
      </c>
      <c r="P531" s="6">
        <f t="shared" si="73"/>
        <v>620627.25</v>
      </c>
      <c r="Q531" s="3" t="str">
        <f t="shared" si="74"/>
        <v>Excellent</v>
      </c>
      <c r="R531" s="3">
        <f t="shared" si="75"/>
        <v>5706</v>
      </c>
      <c r="S531" s="7">
        <f t="shared" si="76"/>
        <v>57060</v>
      </c>
      <c r="T531" s="3" t="str">
        <f t="shared" si="77"/>
        <v>High Profit</v>
      </c>
      <c r="U531" s="3" t="str">
        <f t="shared" si="78"/>
        <v>High Discount</v>
      </c>
      <c r="V531" s="3" t="str">
        <f t="shared" si="79"/>
        <v>Priority C</v>
      </c>
      <c r="W531">
        <f t="shared" si="80"/>
        <v>50457.5</v>
      </c>
      <c r="X531" t="s">
        <v>23</v>
      </c>
      <c r="Y531" t="s">
        <v>23</v>
      </c>
      <c r="Z531" t="s">
        <v>23</v>
      </c>
      <c r="AA531" t="s">
        <v>23</v>
      </c>
      <c r="AB531" t="s">
        <v>23</v>
      </c>
      <c r="AC531" t="s">
        <v>23</v>
      </c>
      <c r="AD531" t="s">
        <v>23</v>
      </c>
      <c r="AE531" t="s">
        <v>23</v>
      </c>
      <c r="AF531" t="s">
        <v>23</v>
      </c>
      <c r="AG531" t="s">
        <v>23</v>
      </c>
      <c r="AH531" t="s">
        <v>23</v>
      </c>
      <c r="AI531" t="s">
        <v>23</v>
      </c>
      <c r="AJ531" t="s">
        <v>23</v>
      </c>
    </row>
    <row r="532" spans="1:36" x14ac:dyDescent="0.35">
      <c r="A532" s="2">
        <v>1530</v>
      </c>
      <c r="B532" s="4">
        <v>45259</v>
      </c>
      <c r="C532" s="1" t="s">
        <v>24</v>
      </c>
      <c r="D532" s="1" t="s">
        <v>42</v>
      </c>
      <c r="E532">
        <v>25559</v>
      </c>
      <c r="F532">
        <v>12</v>
      </c>
      <c r="G532" s="1" t="s">
        <v>35</v>
      </c>
      <c r="H532">
        <v>42165</v>
      </c>
      <c r="I532">
        <v>47156</v>
      </c>
      <c r="J532" s="1" t="s">
        <v>33</v>
      </c>
      <c r="K532" s="3">
        <v>0</v>
      </c>
      <c r="L532" s="1" t="s">
        <v>36</v>
      </c>
      <c r="M532" s="1" t="s">
        <v>37</v>
      </c>
      <c r="N532" s="3">
        <v>2024010123</v>
      </c>
      <c r="O532" s="3">
        <f t="shared" si="72"/>
        <v>1.23</v>
      </c>
      <c r="P532" s="6">
        <f t="shared" si="73"/>
        <v>31437.57</v>
      </c>
      <c r="Q532" s="3" t="str">
        <f t="shared" si="74"/>
        <v>Excellent</v>
      </c>
      <c r="R532" s="3">
        <f t="shared" si="75"/>
        <v>4991</v>
      </c>
      <c r="S532" s="7">
        <f t="shared" si="76"/>
        <v>59892</v>
      </c>
      <c r="T532" s="3" t="str">
        <f t="shared" si="77"/>
        <v>High Profit</v>
      </c>
      <c r="U532" s="3" t="str">
        <f t="shared" si="78"/>
        <v>No Discount</v>
      </c>
      <c r="V532" s="3" t="str">
        <f t="shared" si="79"/>
        <v>Priority C</v>
      </c>
      <c r="W532">
        <f t="shared" si="80"/>
        <v>2555.9</v>
      </c>
      <c r="X532" t="s">
        <v>23</v>
      </c>
      <c r="Y532" t="s">
        <v>23</v>
      </c>
      <c r="Z532" t="s">
        <v>23</v>
      </c>
      <c r="AA532" t="s">
        <v>23</v>
      </c>
      <c r="AB532" t="s">
        <v>23</v>
      </c>
      <c r="AC532" t="s">
        <v>23</v>
      </c>
      <c r="AD532" t="s">
        <v>23</v>
      </c>
      <c r="AE532" t="s">
        <v>23</v>
      </c>
      <c r="AF532" t="s">
        <v>23</v>
      </c>
      <c r="AG532" t="s">
        <v>23</v>
      </c>
      <c r="AH532" t="s">
        <v>23</v>
      </c>
      <c r="AI532" t="s">
        <v>23</v>
      </c>
      <c r="AJ532" t="s">
        <v>23</v>
      </c>
    </row>
    <row r="533" spans="1:36" x14ac:dyDescent="0.35">
      <c r="A533" s="2">
        <v>1531</v>
      </c>
      <c r="B533" s="4">
        <v>45164</v>
      </c>
      <c r="C533" s="1" t="s">
        <v>41</v>
      </c>
      <c r="D533" s="1" t="s">
        <v>31</v>
      </c>
      <c r="E533">
        <v>837540</v>
      </c>
      <c r="F533">
        <v>12</v>
      </c>
      <c r="G533" s="1" t="s">
        <v>35</v>
      </c>
      <c r="H533">
        <v>43671</v>
      </c>
      <c r="I533">
        <v>47012</v>
      </c>
      <c r="J533" s="1" t="s">
        <v>33</v>
      </c>
      <c r="K533" s="3">
        <v>2</v>
      </c>
      <c r="L533" s="1" t="s">
        <v>40</v>
      </c>
      <c r="M533" s="1" t="s">
        <v>37</v>
      </c>
      <c r="N533" s="3">
        <v>2024010123</v>
      </c>
      <c r="O533" s="3">
        <f t="shared" si="72"/>
        <v>1.23</v>
      </c>
      <c r="P533" s="6">
        <f t="shared" si="73"/>
        <v>1030174.2</v>
      </c>
      <c r="Q533" s="3" t="str">
        <f t="shared" si="74"/>
        <v>Excellent</v>
      </c>
      <c r="R533" s="3">
        <f t="shared" si="75"/>
        <v>3341</v>
      </c>
      <c r="S533" s="7">
        <f t="shared" si="76"/>
        <v>40092</v>
      </c>
      <c r="T533" s="3" t="str">
        <f t="shared" si="77"/>
        <v>High Profit</v>
      </c>
      <c r="U533" s="3" t="str">
        <f t="shared" si="78"/>
        <v>Low Discount</v>
      </c>
      <c r="V533" s="3" t="str">
        <f t="shared" si="79"/>
        <v>Priority C</v>
      </c>
      <c r="W533">
        <f t="shared" si="80"/>
        <v>83754</v>
      </c>
      <c r="X533" t="s">
        <v>23</v>
      </c>
      <c r="Y533" t="s">
        <v>23</v>
      </c>
      <c r="Z533" t="s">
        <v>23</v>
      </c>
      <c r="AA533" t="s">
        <v>23</v>
      </c>
      <c r="AB533" t="s">
        <v>23</v>
      </c>
      <c r="AC533" t="s">
        <v>23</v>
      </c>
      <c r="AD533" t="s">
        <v>23</v>
      </c>
      <c r="AE533" t="s">
        <v>23</v>
      </c>
      <c r="AF533" t="s">
        <v>23</v>
      </c>
      <c r="AG533" t="s">
        <v>23</v>
      </c>
      <c r="AH533" t="s">
        <v>23</v>
      </c>
      <c r="AI533" t="s">
        <v>23</v>
      </c>
      <c r="AJ533" t="s">
        <v>23</v>
      </c>
    </row>
    <row r="534" spans="1:36" x14ac:dyDescent="0.35">
      <c r="A534" s="2">
        <v>1532</v>
      </c>
      <c r="B534" s="4">
        <v>45067</v>
      </c>
      <c r="C534" s="1" t="s">
        <v>30</v>
      </c>
      <c r="D534" s="1" t="s">
        <v>43</v>
      </c>
      <c r="E534">
        <v>121169</v>
      </c>
      <c r="F534">
        <v>4</v>
      </c>
      <c r="G534" s="1" t="s">
        <v>39</v>
      </c>
      <c r="H534">
        <v>30200</v>
      </c>
      <c r="I534">
        <v>33615</v>
      </c>
      <c r="J534" s="1" t="s">
        <v>27</v>
      </c>
      <c r="K534" s="3">
        <v>3</v>
      </c>
      <c r="L534" s="1" t="s">
        <v>40</v>
      </c>
      <c r="M534" s="1" t="s">
        <v>29</v>
      </c>
      <c r="N534" s="3">
        <v>2024010123</v>
      </c>
      <c r="O534" s="3">
        <f t="shared" si="72"/>
        <v>1.23</v>
      </c>
      <c r="P534" s="6">
        <f t="shared" si="73"/>
        <v>149037.87</v>
      </c>
      <c r="Q534" s="3" t="str">
        <f t="shared" si="74"/>
        <v>Excellent</v>
      </c>
      <c r="R534" s="3">
        <f t="shared" si="75"/>
        <v>3415</v>
      </c>
      <c r="S534" s="7">
        <f t="shared" si="76"/>
        <v>13660</v>
      </c>
      <c r="T534" s="3" t="str">
        <f t="shared" si="77"/>
        <v>High Profit</v>
      </c>
      <c r="U534" s="3" t="str">
        <f t="shared" si="78"/>
        <v>Low Discount</v>
      </c>
      <c r="V534" s="3" t="str">
        <f t="shared" si="79"/>
        <v>Priority D</v>
      </c>
      <c r="W534">
        <f t="shared" si="80"/>
        <v>18175.349999999999</v>
      </c>
      <c r="X534" t="s">
        <v>23</v>
      </c>
      <c r="Y534" t="s">
        <v>23</v>
      </c>
      <c r="Z534" t="s">
        <v>23</v>
      </c>
      <c r="AA534" t="s">
        <v>23</v>
      </c>
      <c r="AB534" t="s">
        <v>23</v>
      </c>
      <c r="AC534" t="s">
        <v>23</v>
      </c>
      <c r="AD534" t="s">
        <v>23</v>
      </c>
      <c r="AE534" t="s">
        <v>23</v>
      </c>
      <c r="AF534" t="s">
        <v>23</v>
      </c>
      <c r="AG534" t="s">
        <v>23</v>
      </c>
      <c r="AH534" t="s">
        <v>23</v>
      </c>
      <c r="AI534" t="s">
        <v>23</v>
      </c>
      <c r="AJ534" t="s">
        <v>23</v>
      </c>
    </row>
    <row r="535" spans="1:36" x14ac:dyDescent="0.35">
      <c r="A535" s="2">
        <v>1533</v>
      </c>
      <c r="B535" s="4">
        <v>45178</v>
      </c>
      <c r="C535" s="1" t="s">
        <v>24</v>
      </c>
      <c r="D535" s="1" t="s">
        <v>25</v>
      </c>
      <c r="E535">
        <v>427230</v>
      </c>
      <c r="F535">
        <v>12</v>
      </c>
      <c r="G535" s="1" t="s">
        <v>26</v>
      </c>
      <c r="H535">
        <v>49765</v>
      </c>
      <c r="I535">
        <v>53088</v>
      </c>
      <c r="J535" s="1" t="s">
        <v>33</v>
      </c>
      <c r="K535" s="3">
        <v>10</v>
      </c>
      <c r="L535" s="1" t="s">
        <v>40</v>
      </c>
      <c r="M535" s="1" t="s">
        <v>37</v>
      </c>
      <c r="N535" s="3">
        <v>2024010123</v>
      </c>
      <c r="O535" s="3">
        <f t="shared" si="72"/>
        <v>1.23</v>
      </c>
      <c r="P535" s="6">
        <f t="shared" si="73"/>
        <v>525492.9</v>
      </c>
      <c r="Q535" s="3" t="str">
        <f t="shared" si="74"/>
        <v>Excellent</v>
      </c>
      <c r="R535" s="3">
        <f t="shared" si="75"/>
        <v>3323</v>
      </c>
      <c r="S535" s="7">
        <f t="shared" si="76"/>
        <v>39876</v>
      </c>
      <c r="T535" s="3" t="str">
        <f t="shared" si="77"/>
        <v>High Profit</v>
      </c>
      <c r="U535" s="3" t="str">
        <f t="shared" si="78"/>
        <v>Medium Discount</v>
      </c>
      <c r="V535" s="3" t="str">
        <f t="shared" si="79"/>
        <v>Priority C</v>
      </c>
      <c r="W535">
        <f t="shared" si="80"/>
        <v>42723</v>
      </c>
      <c r="X535" t="s">
        <v>23</v>
      </c>
      <c r="Y535" t="s">
        <v>23</v>
      </c>
      <c r="Z535" t="s">
        <v>23</v>
      </c>
      <c r="AA535" t="s">
        <v>23</v>
      </c>
      <c r="AB535" t="s">
        <v>23</v>
      </c>
      <c r="AC535" t="s">
        <v>23</v>
      </c>
      <c r="AD535" t="s">
        <v>23</v>
      </c>
      <c r="AE535" t="s">
        <v>23</v>
      </c>
      <c r="AF535" t="s">
        <v>23</v>
      </c>
      <c r="AG535" t="s">
        <v>23</v>
      </c>
      <c r="AH535" t="s">
        <v>23</v>
      </c>
      <c r="AI535" t="s">
        <v>23</v>
      </c>
      <c r="AJ535" t="s">
        <v>23</v>
      </c>
    </row>
    <row r="536" spans="1:36" x14ac:dyDescent="0.35">
      <c r="A536" s="2">
        <v>1534</v>
      </c>
      <c r="B536" s="4">
        <v>45229</v>
      </c>
      <c r="C536" s="1" t="s">
        <v>30</v>
      </c>
      <c r="D536" s="1" t="s">
        <v>25</v>
      </c>
      <c r="E536">
        <v>906099</v>
      </c>
      <c r="F536">
        <v>12</v>
      </c>
      <c r="G536" s="1" t="s">
        <v>26</v>
      </c>
      <c r="H536">
        <v>46071</v>
      </c>
      <c r="I536">
        <v>48961</v>
      </c>
      <c r="J536" s="1" t="s">
        <v>33</v>
      </c>
      <c r="K536" s="3">
        <v>9</v>
      </c>
      <c r="L536" s="1" t="s">
        <v>36</v>
      </c>
      <c r="M536" s="1" t="s">
        <v>29</v>
      </c>
      <c r="N536" s="3">
        <v>2024010123</v>
      </c>
      <c r="O536" s="3">
        <f t="shared" si="72"/>
        <v>1.23</v>
      </c>
      <c r="P536" s="6">
        <f t="shared" si="73"/>
        <v>1114501.77</v>
      </c>
      <c r="Q536" s="3" t="str">
        <f t="shared" si="74"/>
        <v>Excellent</v>
      </c>
      <c r="R536" s="3">
        <f t="shared" si="75"/>
        <v>2890</v>
      </c>
      <c r="S536" s="7">
        <f t="shared" si="76"/>
        <v>34680</v>
      </c>
      <c r="T536" s="3" t="str">
        <f t="shared" si="77"/>
        <v>High Profit</v>
      </c>
      <c r="U536" s="3" t="str">
        <f t="shared" si="78"/>
        <v>Medium Discount</v>
      </c>
      <c r="V536" s="3" t="str">
        <f t="shared" si="79"/>
        <v>Priority D</v>
      </c>
      <c r="W536">
        <f t="shared" si="80"/>
        <v>90609.900000000009</v>
      </c>
      <c r="X536" t="s">
        <v>23</v>
      </c>
      <c r="Y536" t="s">
        <v>23</v>
      </c>
      <c r="Z536" t="s">
        <v>23</v>
      </c>
      <c r="AA536" t="s">
        <v>23</v>
      </c>
      <c r="AB536" t="s">
        <v>23</v>
      </c>
      <c r="AC536" t="s">
        <v>23</v>
      </c>
      <c r="AD536" t="s">
        <v>23</v>
      </c>
      <c r="AE536" t="s">
        <v>23</v>
      </c>
      <c r="AF536" t="s">
        <v>23</v>
      </c>
      <c r="AG536" t="s">
        <v>23</v>
      </c>
      <c r="AH536" t="s">
        <v>23</v>
      </c>
      <c r="AI536" t="s">
        <v>23</v>
      </c>
      <c r="AJ536" t="s">
        <v>23</v>
      </c>
    </row>
    <row r="537" spans="1:36" x14ac:dyDescent="0.35">
      <c r="A537" s="2">
        <v>1535</v>
      </c>
      <c r="B537" s="4">
        <v>45234</v>
      </c>
      <c r="C537" s="1" t="s">
        <v>30</v>
      </c>
      <c r="D537" s="1" t="s">
        <v>43</v>
      </c>
      <c r="E537">
        <v>218428</v>
      </c>
      <c r="F537">
        <v>12</v>
      </c>
      <c r="G537" s="1" t="s">
        <v>26</v>
      </c>
      <c r="H537">
        <v>21101</v>
      </c>
      <c r="I537">
        <v>23730</v>
      </c>
      <c r="J537" s="1" t="s">
        <v>33</v>
      </c>
      <c r="K537" s="3">
        <v>14</v>
      </c>
      <c r="L537" s="1" t="s">
        <v>28</v>
      </c>
      <c r="M537" s="1" t="s">
        <v>29</v>
      </c>
      <c r="N537" s="3">
        <v>2024010123</v>
      </c>
      <c r="O537" s="3">
        <f t="shared" si="72"/>
        <v>1.23</v>
      </c>
      <c r="P537" s="6">
        <f t="shared" si="73"/>
        <v>268666.44</v>
      </c>
      <c r="Q537" s="3" t="str">
        <f t="shared" si="74"/>
        <v>Excellent</v>
      </c>
      <c r="R537" s="3">
        <f t="shared" si="75"/>
        <v>2629</v>
      </c>
      <c r="S537" s="7">
        <f t="shared" si="76"/>
        <v>31548</v>
      </c>
      <c r="T537" s="3" t="str">
        <f t="shared" si="77"/>
        <v>High Profit</v>
      </c>
      <c r="U537" s="3" t="str">
        <f t="shared" si="78"/>
        <v>Medium Discount</v>
      </c>
      <c r="V537" s="3" t="str">
        <f t="shared" si="79"/>
        <v>Priority D</v>
      </c>
      <c r="W537">
        <f t="shared" si="80"/>
        <v>21842.800000000003</v>
      </c>
      <c r="X537" t="s">
        <v>23</v>
      </c>
      <c r="Y537" t="s">
        <v>23</v>
      </c>
      <c r="Z537" t="s">
        <v>23</v>
      </c>
      <c r="AA537" t="s">
        <v>23</v>
      </c>
      <c r="AB537" t="s">
        <v>23</v>
      </c>
      <c r="AC537" t="s">
        <v>23</v>
      </c>
      <c r="AD537" t="s">
        <v>23</v>
      </c>
      <c r="AE537" t="s">
        <v>23</v>
      </c>
      <c r="AF537" t="s">
        <v>23</v>
      </c>
      <c r="AG537" t="s">
        <v>23</v>
      </c>
      <c r="AH537" t="s">
        <v>23</v>
      </c>
      <c r="AI537" t="s">
        <v>23</v>
      </c>
      <c r="AJ537" t="s">
        <v>23</v>
      </c>
    </row>
    <row r="538" spans="1:36" x14ac:dyDescent="0.35">
      <c r="A538" s="2">
        <v>1536</v>
      </c>
      <c r="B538" s="4">
        <v>44998</v>
      </c>
      <c r="C538" s="1" t="s">
        <v>34</v>
      </c>
      <c r="D538" s="1" t="s">
        <v>42</v>
      </c>
      <c r="E538">
        <v>499075</v>
      </c>
      <c r="F538">
        <v>12</v>
      </c>
      <c r="G538" s="1" t="s">
        <v>26</v>
      </c>
      <c r="H538">
        <v>52973</v>
      </c>
      <c r="I538">
        <v>56315</v>
      </c>
      <c r="J538" s="1" t="s">
        <v>33</v>
      </c>
      <c r="K538" s="3">
        <v>20</v>
      </c>
      <c r="L538" s="1" t="s">
        <v>28</v>
      </c>
      <c r="M538" s="1" t="s">
        <v>29</v>
      </c>
      <c r="N538" s="3">
        <v>2024010123</v>
      </c>
      <c r="O538" s="3">
        <f t="shared" si="72"/>
        <v>1.23</v>
      </c>
      <c r="P538" s="6">
        <f t="shared" si="73"/>
        <v>613862.25</v>
      </c>
      <c r="Q538" s="3" t="str">
        <f t="shared" si="74"/>
        <v>Excellent</v>
      </c>
      <c r="R538" s="3">
        <f t="shared" si="75"/>
        <v>3342</v>
      </c>
      <c r="S538" s="7">
        <f t="shared" si="76"/>
        <v>40104</v>
      </c>
      <c r="T538" s="3" t="str">
        <f t="shared" si="77"/>
        <v>High Profit</v>
      </c>
      <c r="U538" s="3" t="str">
        <f t="shared" si="78"/>
        <v>High Discount</v>
      </c>
      <c r="V538" s="3" t="str">
        <f t="shared" si="79"/>
        <v>Priority D</v>
      </c>
      <c r="W538">
        <f t="shared" si="80"/>
        <v>49907.5</v>
      </c>
      <c r="X538" t="s">
        <v>23</v>
      </c>
      <c r="Y538" t="s">
        <v>23</v>
      </c>
      <c r="Z538" t="s">
        <v>23</v>
      </c>
      <c r="AA538" t="s">
        <v>23</v>
      </c>
      <c r="AB538" t="s">
        <v>23</v>
      </c>
      <c r="AC538" t="s">
        <v>23</v>
      </c>
      <c r="AD538" t="s">
        <v>23</v>
      </c>
      <c r="AE538" t="s">
        <v>23</v>
      </c>
      <c r="AF538" t="s">
        <v>23</v>
      </c>
      <c r="AG538" t="s">
        <v>23</v>
      </c>
      <c r="AH538" t="s">
        <v>23</v>
      </c>
      <c r="AI538" t="s">
        <v>23</v>
      </c>
      <c r="AJ538" t="s">
        <v>23</v>
      </c>
    </row>
    <row r="539" spans="1:36" x14ac:dyDescent="0.35">
      <c r="A539" s="2">
        <v>1537</v>
      </c>
      <c r="B539" s="4">
        <v>44963</v>
      </c>
      <c r="C539" s="1" t="s">
        <v>34</v>
      </c>
      <c r="D539" s="1" t="s">
        <v>31</v>
      </c>
      <c r="E539">
        <v>159590</v>
      </c>
      <c r="F539">
        <v>12</v>
      </c>
      <c r="G539" s="1" t="s">
        <v>39</v>
      </c>
      <c r="H539">
        <v>52024</v>
      </c>
      <c r="I539">
        <v>53692</v>
      </c>
      <c r="J539" s="1" t="s">
        <v>33</v>
      </c>
      <c r="K539" s="3">
        <v>28</v>
      </c>
      <c r="L539" s="1" t="s">
        <v>36</v>
      </c>
      <c r="M539" s="1" t="s">
        <v>29</v>
      </c>
      <c r="N539" s="3">
        <v>2024010123</v>
      </c>
      <c r="O539" s="3">
        <f t="shared" si="72"/>
        <v>1.23</v>
      </c>
      <c r="P539" s="6">
        <f t="shared" si="73"/>
        <v>196295.7</v>
      </c>
      <c r="Q539" s="3" t="str">
        <f t="shared" si="74"/>
        <v>Excellent</v>
      </c>
      <c r="R539" s="3">
        <f t="shared" si="75"/>
        <v>1668</v>
      </c>
      <c r="S539" s="7">
        <f t="shared" si="76"/>
        <v>20016</v>
      </c>
      <c r="T539" s="3" t="str">
        <f t="shared" si="77"/>
        <v>High Profit</v>
      </c>
      <c r="U539" s="3" t="str">
        <f t="shared" si="78"/>
        <v>High Discount</v>
      </c>
      <c r="V539" s="3" t="str">
        <f t="shared" si="79"/>
        <v>Priority D</v>
      </c>
      <c r="W539">
        <f t="shared" si="80"/>
        <v>15959</v>
      </c>
      <c r="X539" t="s">
        <v>23</v>
      </c>
      <c r="Y539" t="s">
        <v>23</v>
      </c>
      <c r="Z539" t="s">
        <v>23</v>
      </c>
      <c r="AA539" t="s">
        <v>23</v>
      </c>
      <c r="AB539" t="s">
        <v>23</v>
      </c>
      <c r="AC539" t="s">
        <v>23</v>
      </c>
      <c r="AD539" t="s">
        <v>23</v>
      </c>
      <c r="AE539" t="s">
        <v>23</v>
      </c>
      <c r="AF539" t="s">
        <v>23</v>
      </c>
      <c r="AG539" t="s">
        <v>23</v>
      </c>
      <c r="AH539" t="s">
        <v>23</v>
      </c>
      <c r="AI539" t="s">
        <v>23</v>
      </c>
      <c r="AJ539" t="s">
        <v>23</v>
      </c>
    </row>
    <row r="540" spans="1:36" x14ac:dyDescent="0.35">
      <c r="A540" s="2">
        <v>1538</v>
      </c>
      <c r="B540" s="4">
        <v>45125</v>
      </c>
      <c r="C540" s="1" t="s">
        <v>30</v>
      </c>
      <c r="D540" s="1" t="s">
        <v>31</v>
      </c>
      <c r="E540">
        <v>933306</v>
      </c>
      <c r="F540">
        <v>12</v>
      </c>
      <c r="G540" s="1" t="s">
        <v>32</v>
      </c>
      <c r="H540">
        <v>38691</v>
      </c>
      <c r="I540">
        <v>42872</v>
      </c>
      <c r="J540" s="1" t="s">
        <v>27</v>
      </c>
      <c r="K540" s="3">
        <v>17</v>
      </c>
      <c r="L540" s="1" t="s">
        <v>28</v>
      </c>
      <c r="M540" s="1" t="s">
        <v>37</v>
      </c>
      <c r="N540" s="3">
        <v>2024010123</v>
      </c>
      <c r="O540" s="3">
        <f t="shared" si="72"/>
        <v>1.23</v>
      </c>
      <c r="P540" s="6">
        <f t="shared" si="73"/>
        <v>1147966.3799999999</v>
      </c>
      <c r="Q540" s="3" t="str">
        <f t="shared" si="74"/>
        <v>Excellent</v>
      </c>
      <c r="R540" s="3">
        <f t="shared" si="75"/>
        <v>4181</v>
      </c>
      <c r="S540" s="7">
        <f t="shared" si="76"/>
        <v>50172</v>
      </c>
      <c r="T540" s="3" t="str">
        <f t="shared" si="77"/>
        <v>High Profit</v>
      </c>
      <c r="U540" s="3" t="str">
        <f t="shared" si="78"/>
        <v>High Discount</v>
      </c>
      <c r="V540" s="3" t="str">
        <f t="shared" si="79"/>
        <v>Priority C</v>
      </c>
      <c r="W540">
        <f t="shared" si="80"/>
        <v>139995.9</v>
      </c>
      <c r="X540" t="s">
        <v>23</v>
      </c>
      <c r="Y540" t="s">
        <v>23</v>
      </c>
      <c r="Z540" t="s">
        <v>23</v>
      </c>
      <c r="AA540" t="s">
        <v>23</v>
      </c>
      <c r="AB540" t="s">
        <v>23</v>
      </c>
      <c r="AC540" t="s">
        <v>23</v>
      </c>
      <c r="AD540" t="s">
        <v>23</v>
      </c>
      <c r="AE540" t="s">
        <v>23</v>
      </c>
      <c r="AF540" t="s">
        <v>23</v>
      </c>
      <c r="AG540" t="s">
        <v>23</v>
      </c>
      <c r="AH540" t="s">
        <v>23</v>
      </c>
      <c r="AI540" t="s">
        <v>23</v>
      </c>
      <c r="AJ540" t="s">
        <v>23</v>
      </c>
    </row>
    <row r="541" spans="1:36" x14ac:dyDescent="0.35">
      <c r="A541" s="2">
        <v>1539</v>
      </c>
      <c r="B541" s="4">
        <v>45145</v>
      </c>
      <c r="C541" s="1" t="s">
        <v>41</v>
      </c>
      <c r="D541" s="1" t="s">
        <v>31</v>
      </c>
      <c r="E541">
        <v>787176</v>
      </c>
      <c r="F541">
        <v>12</v>
      </c>
      <c r="G541" s="1" t="s">
        <v>39</v>
      </c>
      <c r="H541">
        <v>36429</v>
      </c>
      <c r="I541">
        <v>38195</v>
      </c>
      <c r="J541" s="1" t="s">
        <v>33</v>
      </c>
      <c r="K541" s="3">
        <v>24</v>
      </c>
      <c r="L541" s="1" t="s">
        <v>28</v>
      </c>
      <c r="M541" s="1" t="s">
        <v>29</v>
      </c>
      <c r="N541" s="3">
        <v>2024010123</v>
      </c>
      <c r="O541" s="3">
        <f t="shared" si="72"/>
        <v>1.23</v>
      </c>
      <c r="P541" s="6">
        <f t="shared" si="73"/>
        <v>968226.48</v>
      </c>
      <c r="Q541" s="3" t="str">
        <f t="shared" si="74"/>
        <v>Excellent</v>
      </c>
      <c r="R541" s="3">
        <f t="shared" si="75"/>
        <v>1766</v>
      </c>
      <c r="S541" s="7">
        <f t="shared" si="76"/>
        <v>21192</v>
      </c>
      <c r="T541" s="3" t="str">
        <f t="shared" si="77"/>
        <v>High Profit</v>
      </c>
      <c r="U541" s="3" t="str">
        <f t="shared" si="78"/>
        <v>High Discount</v>
      </c>
      <c r="V541" s="3" t="str">
        <f t="shared" si="79"/>
        <v>Priority D</v>
      </c>
      <c r="W541">
        <f t="shared" si="80"/>
        <v>78717.600000000006</v>
      </c>
      <c r="X541" t="s">
        <v>23</v>
      </c>
      <c r="Y541" t="s">
        <v>23</v>
      </c>
      <c r="Z541" t="s">
        <v>23</v>
      </c>
      <c r="AA541" t="s">
        <v>23</v>
      </c>
      <c r="AB541" t="s">
        <v>23</v>
      </c>
      <c r="AC541" t="s">
        <v>23</v>
      </c>
      <c r="AD541" t="s">
        <v>23</v>
      </c>
      <c r="AE541" t="s">
        <v>23</v>
      </c>
      <c r="AF541" t="s">
        <v>23</v>
      </c>
      <c r="AG541" t="s">
        <v>23</v>
      </c>
      <c r="AH541" t="s">
        <v>23</v>
      </c>
      <c r="AI541" t="s">
        <v>23</v>
      </c>
      <c r="AJ541" t="s">
        <v>23</v>
      </c>
    </row>
    <row r="542" spans="1:36" x14ac:dyDescent="0.35">
      <c r="A542" s="2">
        <v>1540</v>
      </c>
      <c r="B542" s="4">
        <v>45072</v>
      </c>
      <c r="C542" s="1" t="s">
        <v>34</v>
      </c>
      <c r="D542" s="1" t="s">
        <v>42</v>
      </c>
      <c r="E542">
        <v>227606</v>
      </c>
      <c r="F542">
        <v>12</v>
      </c>
      <c r="G542" s="1" t="s">
        <v>26</v>
      </c>
      <c r="H542">
        <v>17827</v>
      </c>
      <c r="I542">
        <v>26629</v>
      </c>
      <c r="J542" s="1" t="s">
        <v>33</v>
      </c>
      <c r="K542" s="3">
        <v>0</v>
      </c>
      <c r="L542" s="1" t="s">
        <v>28</v>
      </c>
      <c r="M542" s="1" t="s">
        <v>29</v>
      </c>
      <c r="N542" s="3">
        <v>2024010123</v>
      </c>
      <c r="O542" s="3">
        <f t="shared" si="72"/>
        <v>1.23</v>
      </c>
      <c r="P542" s="6">
        <f t="shared" si="73"/>
        <v>279955.38</v>
      </c>
      <c r="Q542" s="3" t="str">
        <f t="shared" si="74"/>
        <v>Excellent</v>
      </c>
      <c r="R542" s="3">
        <f t="shared" si="75"/>
        <v>8802</v>
      </c>
      <c r="S542" s="7">
        <f t="shared" si="76"/>
        <v>105624</v>
      </c>
      <c r="T542" s="3" t="str">
        <f t="shared" si="77"/>
        <v>High Profit</v>
      </c>
      <c r="U542" s="3" t="str">
        <f t="shared" si="78"/>
        <v>No Discount</v>
      </c>
      <c r="V542" s="3" t="str">
        <f t="shared" si="79"/>
        <v>Priority D</v>
      </c>
      <c r="W542">
        <f t="shared" si="80"/>
        <v>22760.600000000002</v>
      </c>
      <c r="X542" t="s">
        <v>23</v>
      </c>
      <c r="Y542" t="s">
        <v>23</v>
      </c>
      <c r="Z542" t="s">
        <v>23</v>
      </c>
      <c r="AA542" t="s">
        <v>23</v>
      </c>
      <c r="AB542" t="s">
        <v>23</v>
      </c>
      <c r="AC542" t="s">
        <v>23</v>
      </c>
      <c r="AD542" t="s">
        <v>23</v>
      </c>
      <c r="AE542" t="s">
        <v>23</v>
      </c>
      <c r="AF542" t="s">
        <v>23</v>
      </c>
      <c r="AG542" t="s">
        <v>23</v>
      </c>
      <c r="AH542" t="s">
        <v>23</v>
      </c>
      <c r="AI542" t="s">
        <v>23</v>
      </c>
      <c r="AJ542" t="s">
        <v>23</v>
      </c>
    </row>
    <row r="543" spans="1:36" x14ac:dyDescent="0.35">
      <c r="A543" s="2">
        <v>1541</v>
      </c>
      <c r="B543" s="4">
        <v>45085</v>
      </c>
      <c r="C543" s="1" t="s">
        <v>34</v>
      </c>
      <c r="D543" s="1" t="s">
        <v>42</v>
      </c>
      <c r="E543">
        <v>535172</v>
      </c>
      <c r="F543">
        <v>45</v>
      </c>
      <c r="G543" s="1" t="s">
        <v>26</v>
      </c>
      <c r="H543">
        <v>11424</v>
      </c>
      <c r="I543">
        <v>19862</v>
      </c>
      <c r="J543" s="1" t="s">
        <v>27</v>
      </c>
      <c r="K543" s="3">
        <v>1</v>
      </c>
      <c r="L543" s="1" t="s">
        <v>40</v>
      </c>
      <c r="M543" s="1" t="s">
        <v>29</v>
      </c>
      <c r="N543" s="3">
        <v>2024010123</v>
      </c>
      <c r="O543" s="3">
        <f t="shared" si="72"/>
        <v>1.23</v>
      </c>
      <c r="P543" s="6">
        <f t="shared" si="73"/>
        <v>658261.55999999994</v>
      </c>
      <c r="Q543" s="3" t="str">
        <f t="shared" si="74"/>
        <v>Excellent</v>
      </c>
      <c r="R543" s="3">
        <f t="shared" si="75"/>
        <v>8438</v>
      </c>
      <c r="S543" s="7">
        <f t="shared" si="76"/>
        <v>379710</v>
      </c>
      <c r="T543" s="3" t="str">
        <f t="shared" si="77"/>
        <v>High Profit</v>
      </c>
      <c r="U543" s="3" t="str">
        <f t="shared" si="78"/>
        <v>Low Discount</v>
      </c>
      <c r="V543" s="3" t="str">
        <f t="shared" si="79"/>
        <v>Priority C</v>
      </c>
      <c r="W543">
        <f t="shared" si="80"/>
        <v>80275.8</v>
      </c>
      <c r="X543" t="s">
        <v>23</v>
      </c>
      <c r="Y543" t="s">
        <v>23</v>
      </c>
      <c r="Z543" t="s">
        <v>23</v>
      </c>
      <c r="AA543" t="s">
        <v>23</v>
      </c>
      <c r="AB543" t="s">
        <v>23</v>
      </c>
      <c r="AC543" t="s">
        <v>23</v>
      </c>
      <c r="AD543" t="s">
        <v>23</v>
      </c>
      <c r="AE543" t="s">
        <v>23</v>
      </c>
      <c r="AF543" t="s">
        <v>23</v>
      </c>
      <c r="AG543" t="s">
        <v>23</v>
      </c>
      <c r="AH543" t="s">
        <v>23</v>
      </c>
      <c r="AI543" t="s">
        <v>23</v>
      </c>
      <c r="AJ543" t="s">
        <v>23</v>
      </c>
    </row>
    <row r="544" spans="1:36" x14ac:dyDescent="0.35">
      <c r="A544" s="2">
        <v>1542</v>
      </c>
      <c r="B544" s="4">
        <v>45092</v>
      </c>
      <c r="C544" s="1" t="s">
        <v>24</v>
      </c>
      <c r="D544" s="1" t="s">
        <v>25</v>
      </c>
      <c r="E544">
        <v>414401</v>
      </c>
      <c r="F544">
        <v>24</v>
      </c>
      <c r="G544" s="1" t="s">
        <v>26</v>
      </c>
      <c r="H544">
        <v>20098</v>
      </c>
      <c r="I544">
        <v>31257</v>
      </c>
      <c r="J544" s="1" t="s">
        <v>33</v>
      </c>
      <c r="K544" s="3">
        <v>3</v>
      </c>
      <c r="L544" s="1" t="s">
        <v>28</v>
      </c>
      <c r="M544" s="1" t="s">
        <v>37</v>
      </c>
      <c r="N544" s="3">
        <v>2024010123</v>
      </c>
      <c r="O544" s="3">
        <f t="shared" si="72"/>
        <v>1.23</v>
      </c>
      <c r="P544" s="6">
        <f t="shared" si="73"/>
        <v>509713.23</v>
      </c>
      <c r="Q544" s="3" t="str">
        <f t="shared" si="74"/>
        <v>Excellent</v>
      </c>
      <c r="R544" s="3">
        <f t="shared" si="75"/>
        <v>11159</v>
      </c>
      <c r="S544" s="7">
        <f t="shared" si="76"/>
        <v>267816</v>
      </c>
      <c r="T544" s="3" t="str">
        <f t="shared" si="77"/>
        <v>High Profit</v>
      </c>
      <c r="U544" s="3" t="str">
        <f t="shared" si="78"/>
        <v>Low Discount</v>
      </c>
      <c r="V544" s="3" t="str">
        <f t="shared" si="79"/>
        <v>Priority C</v>
      </c>
      <c r="W544">
        <f t="shared" si="80"/>
        <v>41440.100000000006</v>
      </c>
      <c r="X544" t="s">
        <v>23</v>
      </c>
      <c r="Y544" t="s">
        <v>23</v>
      </c>
      <c r="Z544" t="s">
        <v>23</v>
      </c>
      <c r="AA544" t="s">
        <v>23</v>
      </c>
      <c r="AB544" t="s">
        <v>23</v>
      </c>
      <c r="AC544" t="s">
        <v>23</v>
      </c>
      <c r="AD544" t="s">
        <v>23</v>
      </c>
      <c r="AE544" t="s">
        <v>23</v>
      </c>
      <c r="AF544" t="s">
        <v>23</v>
      </c>
      <c r="AG544" t="s">
        <v>23</v>
      </c>
      <c r="AH544" t="s">
        <v>23</v>
      </c>
      <c r="AI544" t="s">
        <v>23</v>
      </c>
      <c r="AJ544" t="s">
        <v>23</v>
      </c>
    </row>
    <row r="545" spans="1:36" x14ac:dyDescent="0.35">
      <c r="A545" s="2">
        <v>1543</v>
      </c>
      <c r="B545" s="4">
        <v>45208</v>
      </c>
      <c r="C545" s="1" t="s">
        <v>30</v>
      </c>
      <c r="D545" s="1" t="s">
        <v>43</v>
      </c>
      <c r="E545">
        <v>752707</v>
      </c>
      <c r="F545">
        <v>33</v>
      </c>
      <c r="G545" s="1" t="s">
        <v>39</v>
      </c>
      <c r="H545">
        <v>29896</v>
      </c>
      <c r="I545">
        <v>36604</v>
      </c>
      <c r="J545" s="1" t="s">
        <v>27</v>
      </c>
      <c r="K545" s="3">
        <v>8</v>
      </c>
      <c r="L545" s="1" t="s">
        <v>36</v>
      </c>
      <c r="M545" s="1" t="s">
        <v>37</v>
      </c>
      <c r="N545" s="3">
        <v>2024010123</v>
      </c>
      <c r="O545" s="3">
        <f t="shared" si="72"/>
        <v>1.23</v>
      </c>
      <c r="P545" s="6">
        <f t="shared" si="73"/>
        <v>925829.61</v>
      </c>
      <c r="Q545" s="3" t="str">
        <f t="shared" si="74"/>
        <v>Excellent</v>
      </c>
      <c r="R545" s="3">
        <f t="shared" si="75"/>
        <v>6708</v>
      </c>
      <c r="S545" s="7">
        <f t="shared" si="76"/>
        <v>221364</v>
      </c>
      <c r="T545" s="3" t="str">
        <f t="shared" si="77"/>
        <v>High Profit</v>
      </c>
      <c r="U545" s="3" t="str">
        <f t="shared" si="78"/>
        <v>Medium Discount</v>
      </c>
      <c r="V545" s="3" t="str">
        <f t="shared" si="79"/>
        <v>Priority A</v>
      </c>
      <c r="W545">
        <f t="shared" si="80"/>
        <v>112906.05</v>
      </c>
      <c r="X545" t="s">
        <v>23</v>
      </c>
      <c r="Y545" t="s">
        <v>23</v>
      </c>
      <c r="Z545" t="s">
        <v>23</v>
      </c>
      <c r="AA545" t="s">
        <v>23</v>
      </c>
      <c r="AB545" t="s">
        <v>23</v>
      </c>
      <c r="AC545" t="s">
        <v>23</v>
      </c>
      <c r="AD545" t="s">
        <v>23</v>
      </c>
      <c r="AE545" t="s">
        <v>23</v>
      </c>
      <c r="AF545" t="s">
        <v>23</v>
      </c>
      <c r="AG545" t="s">
        <v>23</v>
      </c>
      <c r="AH545" t="s">
        <v>23</v>
      </c>
      <c r="AI545" t="s">
        <v>23</v>
      </c>
      <c r="AJ545" t="s">
        <v>23</v>
      </c>
    </row>
    <row r="546" spans="1:36" x14ac:dyDescent="0.35">
      <c r="A546" s="2">
        <v>1544</v>
      </c>
      <c r="B546" s="4">
        <v>44972</v>
      </c>
      <c r="C546" s="1" t="s">
        <v>41</v>
      </c>
      <c r="D546" s="1" t="s">
        <v>42</v>
      </c>
      <c r="E546">
        <v>894822</v>
      </c>
      <c r="F546">
        <v>12</v>
      </c>
      <c r="G546" s="1" t="s">
        <v>39</v>
      </c>
      <c r="H546">
        <v>27342</v>
      </c>
      <c r="I546">
        <v>36003</v>
      </c>
      <c r="J546" s="1" t="s">
        <v>33</v>
      </c>
      <c r="K546" s="3">
        <v>8</v>
      </c>
      <c r="L546" s="1" t="s">
        <v>36</v>
      </c>
      <c r="M546" s="1" t="s">
        <v>29</v>
      </c>
      <c r="N546" s="3">
        <v>2024010123</v>
      </c>
      <c r="O546" s="3">
        <f t="shared" si="72"/>
        <v>1.23</v>
      </c>
      <c r="P546" s="6">
        <f t="shared" si="73"/>
        <v>1100631.06</v>
      </c>
      <c r="Q546" s="3" t="str">
        <f t="shared" si="74"/>
        <v>Excellent</v>
      </c>
      <c r="R546" s="3">
        <f t="shared" si="75"/>
        <v>8661</v>
      </c>
      <c r="S546" s="7">
        <f t="shared" si="76"/>
        <v>103932</v>
      </c>
      <c r="T546" s="3" t="str">
        <f t="shared" si="77"/>
        <v>High Profit</v>
      </c>
      <c r="U546" s="3" t="str">
        <f t="shared" si="78"/>
        <v>Medium Discount</v>
      </c>
      <c r="V546" s="3" t="str">
        <f t="shared" si="79"/>
        <v>Priority D</v>
      </c>
      <c r="W546">
        <f t="shared" si="80"/>
        <v>89482.200000000012</v>
      </c>
      <c r="X546" t="s">
        <v>23</v>
      </c>
      <c r="Y546" t="s">
        <v>23</v>
      </c>
      <c r="Z546" t="s">
        <v>23</v>
      </c>
      <c r="AA546" t="s">
        <v>23</v>
      </c>
      <c r="AB546" t="s">
        <v>23</v>
      </c>
      <c r="AC546" t="s">
        <v>23</v>
      </c>
      <c r="AD546" t="s">
        <v>23</v>
      </c>
      <c r="AE546" t="s">
        <v>23</v>
      </c>
      <c r="AF546" t="s">
        <v>23</v>
      </c>
      <c r="AG546" t="s">
        <v>23</v>
      </c>
      <c r="AH546" t="s">
        <v>23</v>
      </c>
      <c r="AI546" t="s">
        <v>23</v>
      </c>
      <c r="AJ546" t="s">
        <v>23</v>
      </c>
    </row>
    <row r="547" spans="1:36" x14ac:dyDescent="0.35">
      <c r="A547" s="2">
        <v>1545</v>
      </c>
      <c r="B547" s="4">
        <v>44933</v>
      </c>
      <c r="C547" s="1" t="s">
        <v>34</v>
      </c>
      <c r="D547" s="1" t="s">
        <v>42</v>
      </c>
      <c r="E547">
        <v>833568</v>
      </c>
      <c r="F547">
        <v>25</v>
      </c>
      <c r="G547" s="1" t="s">
        <v>26</v>
      </c>
      <c r="H547">
        <v>15152</v>
      </c>
      <c r="I547">
        <v>23329</v>
      </c>
      <c r="J547" s="1" t="s">
        <v>33</v>
      </c>
      <c r="K547" s="3">
        <v>9</v>
      </c>
      <c r="L547" s="1" t="s">
        <v>36</v>
      </c>
      <c r="M547" s="1" t="s">
        <v>37</v>
      </c>
      <c r="N547" s="3">
        <v>2024010123</v>
      </c>
      <c r="O547" s="3">
        <f t="shared" si="72"/>
        <v>1.23</v>
      </c>
      <c r="P547" s="6">
        <f t="shared" si="73"/>
        <v>1025288.64</v>
      </c>
      <c r="Q547" s="3" t="str">
        <f t="shared" si="74"/>
        <v>Excellent</v>
      </c>
      <c r="R547" s="3">
        <f t="shared" si="75"/>
        <v>8177</v>
      </c>
      <c r="S547" s="7">
        <f t="shared" si="76"/>
        <v>204425</v>
      </c>
      <c r="T547" s="3" t="str">
        <f t="shared" si="77"/>
        <v>High Profit</v>
      </c>
      <c r="U547" s="3" t="str">
        <f t="shared" si="78"/>
        <v>Medium Discount</v>
      </c>
      <c r="V547" s="3" t="str">
        <f t="shared" si="79"/>
        <v>Priority C</v>
      </c>
      <c r="W547">
        <f t="shared" si="80"/>
        <v>83356.800000000003</v>
      </c>
      <c r="X547" t="s">
        <v>23</v>
      </c>
      <c r="Y547" t="s">
        <v>23</v>
      </c>
      <c r="Z547" t="s">
        <v>23</v>
      </c>
      <c r="AA547" t="s">
        <v>23</v>
      </c>
      <c r="AB547" t="s">
        <v>23</v>
      </c>
      <c r="AC547" t="s">
        <v>23</v>
      </c>
      <c r="AD547" t="s">
        <v>23</v>
      </c>
      <c r="AE547" t="s">
        <v>23</v>
      </c>
      <c r="AF547" t="s">
        <v>23</v>
      </c>
      <c r="AG547" t="s">
        <v>23</v>
      </c>
      <c r="AH547" t="s">
        <v>23</v>
      </c>
      <c r="AI547" t="s">
        <v>23</v>
      </c>
      <c r="AJ547" t="s">
        <v>23</v>
      </c>
    </row>
    <row r="548" spans="1:36" x14ac:dyDescent="0.35">
      <c r="A548" s="2">
        <v>1546</v>
      </c>
      <c r="B548" s="4">
        <v>45285</v>
      </c>
      <c r="C548" s="1" t="s">
        <v>34</v>
      </c>
      <c r="D548" s="1" t="s">
        <v>25</v>
      </c>
      <c r="E548">
        <v>202535</v>
      </c>
      <c r="F548">
        <v>12</v>
      </c>
      <c r="G548" s="1" t="s">
        <v>35</v>
      </c>
      <c r="H548">
        <v>18477</v>
      </c>
      <c r="I548">
        <v>30328</v>
      </c>
      <c r="J548" s="1" t="s">
        <v>33</v>
      </c>
      <c r="K548" s="3">
        <v>28</v>
      </c>
      <c r="L548" s="1" t="s">
        <v>36</v>
      </c>
      <c r="M548" s="1" t="s">
        <v>29</v>
      </c>
      <c r="N548" s="3">
        <v>2024010123</v>
      </c>
      <c r="O548" s="3">
        <f t="shared" si="72"/>
        <v>1.23</v>
      </c>
      <c r="P548" s="6">
        <f t="shared" si="73"/>
        <v>249118.05</v>
      </c>
      <c r="Q548" s="3" t="str">
        <f t="shared" si="74"/>
        <v>Excellent</v>
      </c>
      <c r="R548" s="3">
        <f t="shared" si="75"/>
        <v>11851</v>
      </c>
      <c r="S548" s="7">
        <f t="shared" si="76"/>
        <v>142212</v>
      </c>
      <c r="T548" s="3" t="str">
        <f t="shared" si="77"/>
        <v>High Profit</v>
      </c>
      <c r="U548" s="3" t="str">
        <f t="shared" si="78"/>
        <v>High Discount</v>
      </c>
      <c r="V548" s="3" t="str">
        <f t="shared" si="79"/>
        <v>Priority D</v>
      </c>
      <c r="W548">
        <f t="shared" si="80"/>
        <v>20253.5</v>
      </c>
      <c r="X548" t="s">
        <v>23</v>
      </c>
      <c r="Y548" t="s">
        <v>23</v>
      </c>
      <c r="Z548" t="s">
        <v>23</v>
      </c>
      <c r="AA548" t="s">
        <v>23</v>
      </c>
      <c r="AB548" t="s">
        <v>23</v>
      </c>
      <c r="AC548" t="s">
        <v>23</v>
      </c>
      <c r="AD548" t="s">
        <v>23</v>
      </c>
      <c r="AE548" t="s">
        <v>23</v>
      </c>
      <c r="AF548" t="s">
        <v>23</v>
      </c>
      <c r="AG548" t="s">
        <v>23</v>
      </c>
      <c r="AH548" t="s">
        <v>23</v>
      </c>
      <c r="AI548" t="s">
        <v>23</v>
      </c>
      <c r="AJ548" t="s">
        <v>23</v>
      </c>
    </row>
    <row r="549" spans="1:36" x14ac:dyDescent="0.35">
      <c r="A549" s="2">
        <v>1547</v>
      </c>
      <c r="B549" s="4">
        <v>45240</v>
      </c>
      <c r="C549" s="1" t="s">
        <v>24</v>
      </c>
      <c r="D549" s="1" t="s">
        <v>25</v>
      </c>
      <c r="E549">
        <v>603280</v>
      </c>
      <c r="F549">
        <v>42</v>
      </c>
      <c r="G549" s="1" t="s">
        <v>39</v>
      </c>
      <c r="H549">
        <v>16629</v>
      </c>
      <c r="I549">
        <v>29992</v>
      </c>
      <c r="J549" s="1" t="s">
        <v>33</v>
      </c>
      <c r="K549" s="3">
        <v>22</v>
      </c>
      <c r="L549" s="1" t="s">
        <v>36</v>
      </c>
      <c r="M549" s="1" t="s">
        <v>37</v>
      </c>
      <c r="N549" s="3">
        <v>2024010123</v>
      </c>
      <c r="O549" s="3">
        <f t="shared" si="72"/>
        <v>1.23</v>
      </c>
      <c r="P549" s="6">
        <f t="shared" si="73"/>
        <v>742034.4</v>
      </c>
      <c r="Q549" s="3" t="str">
        <f t="shared" si="74"/>
        <v>Excellent</v>
      </c>
      <c r="R549" s="3">
        <f t="shared" si="75"/>
        <v>13363</v>
      </c>
      <c r="S549" s="7">
        <f t="shared" si="76"/>
        <v>561246</v>
      </c>
      <c r="T549" s="3" t="str">
        <f t="shared" si="77"/>
        <v>High Profit</v>
      </c>
      <c r="U549" s="3" t="str">
        <f t="shared" si="78"/>
        <v>High Discount</v>
      </c>
      <c r="V549" s="3" t="str">
        <f t="shared" si="79"/>
        <v>Priority A</v>
      </c>
      <c r="W549">
        <f t="shared" si="80"/>
        <v>60328</v>
      </c>
      <c r="X549" t="s">
        <v>23</v>
      </c>
      <c r="Y549" t="s">
        <v>23</v>
      </c>
      <c r="Z549" t="s">
        <v>23</v>
      </c>
      <c r="AA549" t="s">
        <v>23</v>
      </c>
      <c r="AB549" t="s">
        <v>23</v>
      </c>
      <c r="AC549" t="s">
        <v>23</v>
      </c>
      <c r="AD549" t="s">
        <v>23</v>
      </c>
      <c r="AE549" t="s">
        <v>23</v>
      </c>
      <c r="AF549" t="s">
        <v>23</v>
      </c>
      <c r="AG549" t="s">
        <v>23</v>
      </c>
      <c r="AH549" t="s">
        <v>23</v>
      </c>
      <c r="AI549" t="s">
        <v>23</v>
      </c>
      <c r="AJ549" t="s">
        <v>23</v>
      </c>
    </row>
    <row r="550" spans="1:36" x14ac:dyDescent="0.35">
      <c r="A550" s="2">
        <v>1548</v>
      </c>
      <c r="B550" s="4">
        <v>45030</v>
      </c>
      <c r="C550" s="1" t="s">
        <v>41</v>
      </c>
      <c r="D550" s="1" t="s">
        <v>42</v>
      </c>
      <c r="E550">
        <v>530422</v>
      </c>
      <c r="F550">
        <v>45</v>
      </c>
      <c r="G550" s="1" t="s">
        <v>26</v>
      </c>
      <c r="H550">
        <v>10471</v>
      </c>
      <c r="I550">
        <v>20641</v>
      </c>
      <c r="J550" s="1" t="s">
        <v>33</v>
      </c>
      <c r="K550" s="3">
        <v>25</v>
      </c>
      <c r="L550" s="1" t="s">
        <v>28</v>
      </c>
      <c r="M550" s="1" t="s">
        <v>29</v>
      </c>
      <c r="N550" s="3">
        <v>2024010123</v>
      </c>
      <c r="O550" s="3">
        <f t="shared" si="72"/>
        <v>1.23</v>
      </c>
      <c r="P550" s="6">
        <f t="shared" si="73"/>
        <v>652419.05999999994</v>
      </c>
      <c r="Q550" s="3" t="str">
        <f t="shared" si="74"/>
        <v>Excellent</v>
      </c>
      <c r="R550" s="3">
        <f t="shared" si="75"/>
        <v>10170</v>
      </c>
      <c r="S550" s="7">
        <f t="shared" si="76"/>
        <v>457650</v>
      </c>
      <c r="T550" s="3" t="str">
        <f t="shared" si="77"/>
        <v>High Profit</v>
      </c>
      <c r="U550" s="3" t="str">
        <f t="shared" si="78"/>
        <v>High Discount</v>
      </c>
      <c r="V550" s="3" t="str">
        <f t="shared" si="79"/>
        <v>Priority C</v>
      </c>
      <c r="W550">
        <f t="shared" si="80"/>
        <v>53042.200000000004</v>
      </c>
      <c r="X550" t="s">
        <v>23</v>
      </c>
      <c r="Y550" t="s">
        <v>23</v>
      </c>
      <c r="Z550" t="s">
        <v>23</v>
      </c>
      <c r="AA550" t="s">
        <v>23</v>
      </c>
      <c r="AB550" t="s">
        <v>23</v>
      </c>
      <c r="AC550" t="s">
        <v>23</v>
      </c>
      <c r="AD550" t="s">
        <v>23</v>
      </c>
      <c r="AE550" t="s">
        <v>23</v>
      </c>
      <c r="AF550" t="s">
        <v>23</v>
      </c>
      <c r="AG550" t="s">
        <v>23</v>
      </c>
      <c r="AH550" t="s">
        <v>23</v>
      </c>
      <c r="AI550" t="s">
        <v>23</v>
      </c>
      <c r="AJ550" t="s">
        <v>23</v>
      </c>
    </row>
    <row r="551" spans="1:36" x14ac:dyDescent="0.35">
      <c r="A551" s="2">
        <v>1549</v>
      </c>
      <c r="B551" s="4">
        <v>45283</v>
      </c>
      <c r="C551" s="1" t="s">
        <v>38</v>
      </c>
      <c r="D551" s="1" t="s">
        <v>31</v>
      </c>
      <c r="E551">
        <v>183014</v>
      </c>
      <c r="F551">
        <v>31</v>
      </c>
      <c r="G551" s="1" t="s">
        <v>32</v>
      </c>
      <c r="H551">
        <v>28909</v>
      </c>
      <c r="I551">
        <v>39982</v>
      </c>
      <c r="J551" s="1" t="s">
        <v>27</v>
      </c>
      <c r="K551" s="3">
        <v>27</v>
      </c>
      <c r="L551" s="1" t="s">
        <v>36</v>
      </c>
      <c r="M551" s="1" t="s">
        <v>29</v>
      </c>
      <c r="N551" s="3">
        <v>2024010123</v>
      </c>
      <c r="O551" s="3">
        <f t="shared" si="72"/>
        <v>1.23</v>
      </c>
      <c r="P551" s="6">
        <f t="shared" si="73"/>
        <v>225107.22</v>
      </c>
      <c r="Q551" s="3" t="str">
        <f t="shared" si="74"/>
        <v>Excellent</v>
      </c>
      <c r="R551" s="3">
        <f t="shared" si="75"/>
        <v>11073</v>
      </c>
      <c r="S551" s="7">
        <f t="shared" si="76"/>
        <v>343263</v>
      </c>
      <c r="T551" s="3" t="str">
        <f t="shared" si="77"/>
        <v>High Profit</v>
      </c>
      <c r="U551" s="3" t="str">
        <f t="shared" si="78"/>
        <v>High Discount</v>
      </c>
      <c r="V551" s="3" t="str">
        <f t="shared" si="79"/>
        <v>Priority B</v>
      </c>
      <c r="W551">
        <f t="shared" si="80"/>
        <v>27452.1</v>
      </c>
      <c r="X551" t="s">
        <v>23</v>
      </c>
      <c r="Y551" t="s">
        <v>23</v>
      </c>
      <c r="Z551" t="s">
        <v>23</v>
      </c>
      <c r="AA551" t="s">
        <v>23</v>
      </c>
      <c r="AB551" t="s">
        <v>23</v>
      </c>
      <c r="AC551" t="s">
        <v>23</v>
      </c>
      <c r="AD551" t="s">
        <v>23</v>
      </c>
      <c r="AE551" t="s">
        <v>23</v>
      </c>
      <c r="AF551" t="s">
        <v>23</v>
      </c>
      <c r="AG551" t="s">
        <v>23</v>
      </c>
      <c r="AH551" t="s">
        <v>23</v>
      </c>
      <c r="AI551" t="s">
        <v>23</v>
      </c>
      <c r="AJ551" t="s">
        <v>23</v>
      </c>
    </row>
    <row r="552" spans="1:36" x14ac:dyDescent="0.35">
      <c r="A552" s="2">
        <v>1550</v>
      </c>
      <c r="B552" s="4">
        <v>44937</v>
      </c>
      <c r="C552" s="1" t="s">
        <v>30</v>
      </c>
      <c r="D552" s="1" t="s">
        <v>25</v>
      </c>
      <c r="E552">
        <v>571375</v>
      </c>
      <c r="F552">
        <v>18</v>
      </c>
      <c r="G552" s="1" t="s">
        <v>39</v>
      </c>
      <c r="H552">
        <v>41874</v>
      </c>
      <c r="I552">
        <v>47932</v>
      </c>
      <c r="J552" s="1" t="s">
        <v>27</v>
      </c>
      <c r="K552" s="3">
        <v>0</v>
      </c>
      <c r="L552" s="1" t="s">
        <v>28</v>
      </c>
      <c r="M552" s="1" t="s">
        <v>37</v>
      </c>
      <c r="N552" s="3">
        <v>2024010123</v>
      </c>
      <c r="O552" s="3">
        <f t="shared" si="72"/>
        <v>1.23</v>
      </c>
      <c r="P552" s="6">
        <f t="shared" si="73"/>
        <v>702791.25</v>
      </c>
      <c r="Q552" s="3" t="str">
        <f t="shared" si="74"/>
        <v>Excellent</v>
      </c>
      <c r="R552" s="3">
        <f t="shared" si="75"/>
        <v>6058</v>
      </c>
      <c r="S552" s="7">
        <f t="shared" si="76"/>
        <v>109044</v>
      </c>
      <c r="T552" s="3" t="str">
        <f t="shared" si="77"/>
        <v>High Profit</v>
      </c>
      <c r="U552" s="3" t="str">
        <f t="shared" si="78"/>
        <v>No Discount</v>
      </c>
      <c r="V552" s="3" t="str">
        <f t="shared" si="79"/>
        <v>Priority C</v>
      </c>
      <c r="W552">
        <f t="shared" si="80"/>
        <v>85706.25</v>
      </c>
      <c r="X552" t="s">
        <v>23</v>
      </c>
      <c r="Y552" t="s">
        <v>23</v>
      </c>
      <c r="Z552" t="s">
        <v>23</v>
      </c>
      <c r="AA552" t="s">
        <v>23</v>
      </c>
      <c r="AB552" t="s">
        <v>23</v>
      </c>
      <c r="AC552" t="s">
        <v>23</v>
      </c>
      <c r="AD552" t="s">
        <v>23</v>
      </c>
      <c r="AE552" t="s">
        <v>23</v>
      </c>
      <c r="AF552" t="s">
        <v>23</v>
      </c>
      <c r="AG552" t="s">
        <v>23</v>
      </c>
      <c r="AH552" t="s">
        <v>23</v>
      </c>
      <c r="AI552" t="s">
        <v>23</v>
      </c>
      <c r="AJ552" t="s">
        <v>23</v>
      </c>
    </row>
    <row r="553" spans="1:36" x14ac:dyDescent="0.35">
      <c r="A553" s="2">
        <v>1551</v>
      </c>
      <c r="B553" s="4">
        <v>45280</v>
      </c>
      <c r="C553" s="1" t="s">
        <v>34</v>
      </c>
      <c r="D553" s="1" t="s">
        <v>31</v>
      </c>
      <c r="E553">
        <v>877162</v>
      </c>
      <c r="F553">
        <v>14</v>
      </c>
      <c r="G553" s="1" t="s">
        <v>26</v>
      </c>
      <c r="H553">
        <v>37946</v>
      </c>
      <c r="I553">
        <v>42100</v>
      </c>
      <c r="J553" s="1" t="s">
        <v>27</v>
      </c>
      <c r="K553" s="3">
        <v>3</v>
      </c>
      <c r="L553" s="1" t="s">
        <v>40</v>
      </c>
      <c r="M553" s="1" t="s">
        <v>37</v>
      </c>
      <c r="N553" s="3">
        <v>2024010123</v>
      </c>
      <c r="O553" s="3">
        <f t="shared" si="72"/>
        <v>1.23</v>
      </c>
      <c r="P553" s="6">
        <f t="shared" si="73"/>
        <v>1078909.26</v>
      </c>
      <c r="Q553" s="3" t="str">
        <f t="shared" si="74"/>
        <v>Excellent</v>
      </c>
      <c r="R553" s="3">
        <f t="shared" si="75"/>
        <v>4154</v>
      </c>
      <c r="S553" s="7">
        <f t="shared" si="76"/>
        <v>58156</v>
      </c>
      <c r="T553" s="3" t="str">
        <f t="shared" si="77"/>
        <v>High Profit</v>
      </c>
      <c r="U553" s="3" t="str">
        <f t="shared" si="78"/>
        <v>Low Discount</v>
      </c>
      <c r="V553" s="3" t="str">
        <f t="shared" si="79"/>
        <v>Priority C</v>
      </c>
      <c r="W553">
        <f t="shared" si="80"/>
        <v>131574.29999999999</v>
      </c>
      <c r="X553" t="s">
        <v>23</v>
      </c>
      <c r="Y553" t="s">
        <v>23</v>
      </c>
      <c r="Z553" t="s">
        <v>23</v>
      </c>
      <c r="AA553" t="s">
        <v>23</v>
      </c>
      <c r="AB553" t="s">
        <v>23</v>
      </c>
      <c r="AC553" t="s">
        <v>23</v>
      </c>
      <c r="AD553" t="s">
        <v>23</v>
      </c>
      <c r="AE553" t="s">
        <v>23</v>
      </c>
      <c r="AF553" t="s">
        <v>23</v>
      </c>
      <c r="AG553" t="s">
        <v>23</v>
      </c>
      <c r="AH553" t="s">
        <v>23</v>
      </c>
      <c r="AI553" t="s">
        <v>23</v>
      </c>
      <c r="AJ553" t="s">
        <v>23</v>
      </c>
    </row>
    <row r="554" spans="1:36" x14ac:dyDescent="0.35">
      <c r="A554" s="2">
        <v>1552</v>
      </c>
      <c r="B554" s="4">
        <v>45011</v>
      </c>
      <c r="C554" s="1" t="s">
        <v>34</v>
      </c>
      <c r="D554" s="1" t="s">
        <v>25</v>
      </c>
      <c r="E554">
        <v>141756</v>
      </c>
      <c r="F554">
        <v>18</v>
      </c>
      <c r="G554" s="1" t="s">
        <v>32</v>
      </c>
      <c r="H554">
        <v>19494</v>
      </c>
      <c r="I554">
        <v>26956</v>
      </c>
      <c r="J554" s="1" t="s">
        <v>33</v>
      </c>
      <c r="K554" s="3">
        <v>2</v>
      </c>
      <c r="L554" s="1" t="s">
        <v>28</v>
      </c>
      <c r="M554" s="1" t="s">
        <v>37</v>
      </c>
      <c r="N554" s="3">
        <v>2024010123</v>
      </c>
      <c r="O554" s="3">
        <f t="shared" si="72"/>
        <v>1.23</v>
      </c>
      <c r="P554" s="6">
        <f t="shared" si="73"/>
        <v>174359.88</v>
      </c>
      <c r="Q554" s="3" t="str">
        <f t="shared" si="74"/>
        <v>Excellent</v>
      </c>
      <c r="R554" s="3">
        <f t="shared" si="75"/>
        <v>7462</v>
      </c>
      <c r="S554" s="7">
        <f t="shared" si="76"/>
        <v>134316</v>
      </c>
      <c r="T554" s="3" t="str">
        <f t="shared" si="77"/>
        <v>High Profit</v>
      </c>
      <c r="U554" s="3" t="str">
        <f t="shared" si="78"/>
        <v>Low Discount</v>
      </c>
      <c r="V554" s="3" t="str">
        <f t="shared" si="79"/>
        <v>Priority C</v>
      </c>
      <c r="W554">
        <f t="shared" si="80"/>
        <v>14175.6</v>
      </c>
      <c r="X554" t="s">
        <v>23</v>
      </c>
      <c r="Y554" t="s">
        <v>23</v>
      </c>
      <c r="Z554" t="s">
        <v>23</v>
      </c>
      <c r="AA554" t="s">
        <v>23</v>
      </c>
      <c r="AB554" t="s">
        <v>23</v>
      </c>
      <c r="AC554" t="s">
        <v>23</v>
      </c>
      <c r="AD554" t="s">
        <v>23</v>
      </c>
      <c r="AE554" t="s">
        <v>23</v>
      </c>
      <c r="AF554" t="s">
        <v>23</v>
      </c>
      <c r="AG554" t="s">
        <v>23</v>
      </c>
      <c r="AH554" t="s">
        <v>23</v>
      </c>
      <c r="AI554" t="s">
        <v>23</v>
      </c>
      <c r="AJ554" t="s">
        <v>23</v>
      </c>
    </row>
    <row r="555" spans="1:36" x14ac:dyDescent="0.35">
      <c r="A555" s="2">
        <v>1553</v>
      </c>
      <c r="B555" s="4">
        <v>45010</v>
      </c>
      <c r="C555" s="1" t="s">
        <v>34</v>
      </c>
      <c r="D555" s="1" t="s">
        <v>43</v>
      </c>
      <c r="E555">
        <v>164304</v>
      </c>
      <c r="F555">
        <v>18</v>
      </c>
      <c r="G555" s="1" t="s">
        <v>32</v>
      </c>
      <c r="H555">
        <v>40005</v>
      </c>
      <c r="I555">
        <v>44962</v>
      </c>
      <c r="J555" s="1" t="s">
        <v>33</v>
      </c>
      <c r="K555" s="3">
        <v>8</v>
      </c>
      <c r="L555" s="1" t="s">
        <v>28</v>
      </c>
      <c r="M555" s="1" t="s">
        <v>29</v>
      </c>
      <c r="N555" s="3">
        <v>2024010123</v>
      </c>
      <c r="O555" s="3">
        <f t="shared" si="72"/>
        <v>1.23</v>
      </c>
      <c r="P555" s="6">
        <f t="shared" si="73"/>
        <v>202093.91999999998</v>
      </c>
      <c r="Q555" s="3" t="str">
        <f t="shared" si="74"/>
        <v>Excellent</v>
      </c>
      <c r="R555" s="3">
        <f t="shared" si="75"/>
        <v>4957</v>
      </c>
      <c r="S555" s="7">
        <f t="shared" si="76"/>
        <v>89226</v>
      </c>
      <c r="T555" s="3" t="str">
        <f t="shared" si="77"/>
        <v>High Profit</v>
      </c>
      <c r="U555" s="3" t="str">
        <f t="shared" si="78"/>
        <v>Medium Discount</v>
      </c>
      <c r="V555" s="3" t="str">
        <f t="shared" si="79"/>
        <v>Priority C</v>
      </c>
      <c r="W555">
        <f t="shared" si="80"/>
        <v>16430.400000000001</v>
      </c>
      <c r="X555" t="s">
        <v>23</v>
      </c>
      <c r="Y555" t="s">
        <v>23</v>
      </c>
      <c r="Z555" t="s">
        <v>23</v>
      </c>
      <c r="AA555" t="s">
        <v>23</v>
      </c>
      <c r="AB555" t="s">
        <v>23</v>
      </c>
      <c r="AC555" t="s">
        <v>23</v>
      </c>
      <c r="AD555" t="s">
        <v>23</v>
      </c>
      <c r="AE555" t="s">
        <v>23</v>
      </c>
      <c r="AF555" t="s">
        <v>23</v>
      </c>
      <c r="AG555" t="s">
        <v>23</v>
      </c>
      <c r="AH555" t="s">
        <v>23</v>
      </c>
      <c r="AI555" t="s">
        <v>23</v>
      </c>
      <c r="AJ555" t="s">
        <v>23</v>
      </c>
    </row>
    <row r="556" spans="1:36" x14ac:dyDescent="0.35">
      <c r="A556" s="2">
        <v>1554</v>
      </c>
      <c r="B556" s="4">
        <v>44979</v>
      </c>
      <c r="C556" s="1" t="s">
        <v>38</v>
      </c>
      <c r="D556" s="1" t="s">
        <v>42</v>
      </c>
      <c r="E556">
        <v>497506</v>
      </c>
      <c r="F556">
        <v>8</v>
      </c>
      <c r="G556" s="1" t="s">
        <v>32</v>
      </c>
      <c r="H556">
        <v>30983</v>
      </c>
      <c r="I556">
        <v>37373</v>
      </c>
      <c r="J556" s="1" t="s">
        <v>33</v>
      </c>
      <c r="K556" s="3">
        <v>11</v>
      </c>
      <c r="L556" s="1" t="s">
        <v>40</v>
      </c>
      <c r="M556" s="1" t="s">
        <v>37</v>
      </c>
      <c r="N556" s="3">
        <v>2024010123</v>
      </c>
      <c r="O556" s="3">
        <f t="shared" si="72"/>
        <v>1.23</v>
      </c>
      <c r="P556" s="6">
        <f t="shared" si="73"/>
        <v>611932.38</v>
      </c>
      <c r="Q556" s="3" t="str">
        <f t="shared" si="74"/>
        <v>Excellent</v>
      </c>
      <c r="R556" s="3">
        <f t="shared" si="75"/>
        <v>6390</v>
      </c>
      <c r="S556" s="7">
        <f t="shared" si="76"/>
        <v>51120</v>
      </c>
      <c r="T556" s="3" t="str">
        <f t="shared" si="77"/>
        <v>High Profit</v>
      </c>
      <c r="U556" s="3" t="str">
        <f t="shared" si="78"/>
        <v>Medium Discount</v>
      </c>
      <c r="V556" s="3" t="str">
        <f t="shared" si="79"/>
        <v>Priority C</v>
      </c>
      <c r="W556">
        <f t="shared" si="80"/>
        <v>49750.600000000006</v>
      </c>
      <c r="X556" t="s">
        <v>23</v>
      </c>
      <c r="Y556" t="s">
        <v>23</v>
      </c>
      <c r="Z556" t="s">
        <v>23</v>
      </c>
      <c r="AA556" t="s">
        <v>23</v>
      </c>
      <c r="AB556" t="s">
        <v>23</v>
      </c>
      <c r="AC556" t="s">
        <v>23</v>
      </c>
      <c r="AD556" t="s">
        <v>23</v>
      </c>
      <c r="AE556" t="s">
        <v>23</v>
      </c>
      <c r="AF556" t="s">
        <v>23</v>
      </c>
      <c r="AG556" t="s">
        <v>23</v>
      </c>
      <c r="AH556" t="s">
        <v>23</v>
      </c>
      <c r="AI556" t="s">
        <v>23</v>
      </c>
      <c r="AJ556" t="s">
        <v>23</v>
      </c>
    </row>
    <row r="557" spans="1:36" x14ac:dyDescent="0.35">
      <c r="A557" s="2">
        <v>1555</v>
      </c>
      <c r="B557" s="4">
        <v>45282</v>
      </c>
      <c r="C557" s="1" t="s">
        <v>41</v>
      </c>
      <c r="D557" s="1" t="s">
        <v>25</v>
      </c>
      <c r="E557">
        <v>300732</v>
      </c>
      <c r="F557">
        <v>18</v>
      </c>
      <c r="G557" s="1" t="s">
        <v>35</v>
      </c>
      <c r="H557">
        <v>39548</v>
      </c>
      <c r="I557">
        <v>44163</v>
      </c>
      <c r="J557" s="1" t="s">
        <v>33</v>
      </c>
      <c r="K557" s="3">
        <v>10</v>
      </c>
      <c r="L557" s="1" t="s">
        <v>28</v>
      </c>
      <c r="M557" s="1" t="s">
        <v>37</v>
      </c>
      <c r="N557" s="3">
        <v>2024010123</v>
      </c>
      <c r="O557" s="3">
        <f t="shared" si="72"/>
        <v>1.23</v>
      </c>
      <c r="P557" s="6">
        <f t="shared" si="73"/>
        <v>369900.36</v>
      </c>
      <c r="Q557" s="3" t="str">
        <f t="shared" si="74"/>
        <v>Excellent</v>
      </c>
      <c r="R557" s="3">
        <f t="shared" si="75"/>
        <v>4615</v>
      </c>
      <c r="S557" s="7">
        <f t="shared" si="76"/>
        <v>83070</v>
      </c>
      <c r="T557" s="3" t="str">
        <f t="shared" si="77"/>
        <v>High Profit</v>
      </c>
      <c r="U557" s="3" t="str">
        <f t="shared" si="78"/>
        <v>Medium Discount</v>
      </c>
      <c r="V557" s="3" t="str">
        <f t="shared" si="79"/>
        <v>Priority C</v>
      </c>
      <c r="W557">
        <f t="shared" si="80"/>
        <v>30073.200000000001</v>
      </c>
      <c r="X557" t="s">
        <v>23</v>
      </c>
      <c r="Y557" t="s">
        <v>23</v>
      </c>
      <c r="Z557" t="s">
        <v>23</v>
      </c>
      <c r="AA557" t="s">
        <v>23</v>
      </c>
      <c r="AB557" t="s">
        <v>23</v>
      </c>
      <c r="AC557" t="s">
        <v>23</v>
      </c>
      <c r="AD557" t="s">
        <v>23</v>
      </c>
      <c r="AE557" t="s">
        <v>23</v>
      </c>
      <c r="AF557" t="s">
        <v>23</v>
      </c>
      <c r="AG557" t="s">
        <v>23</v>
      </c>
      <c r="AH557" t="s">
        <v>23</v>
      </c>
      <c r="AI557" t="s">
        <v>23</v>
      </c>
      <c r="AJ557" t="s">
        <v>23</v>
      </c>
    </row>
    <row r="558" spans="1:36" x14ac:dyDescent="0.35">
      <c r="A558" s="2">
        <v>1556</v>
      </c>
      <c r="B558" s="4">
        <v>45184</v>
      </c>
      <c r="C558" s="1" t="s">
        <v>38</v>
      </c>
      <c r="D558" s="1" t="s">
        <v>43</v>
      </c>
      <c r="E558">
        <v>873273</v>
      </c>
      <c r="F558">
        <v>12</v>
      </c>
      <c r="G558" s="1" t="s">
        <v>39</v>
      </c>
      <c r="H558">
        <v>42295</v>
      </c>
      <c r="I558">
        <v>50124</v>
      </c>
      <c r="J558" s="1" t="s">
        <v>33</v>
      </c>
      <c r="K558" s="3">
        <v>18</v>
      </c>
      <c r="L558" s="1" t="s">
        <v>40</v>
      </c>
      <c r="M558" s="1" t="s">
        <v>37</v>
      </c>
      <c r="N558" s="3">
        <v>2024010123</v>
      </c>
      <c r="O558" s="3">
        <f t="shared" si="72"/>
        <v>1.23</v>
      </c>
      <c r="P558" s="6">
        <f t="shared" si="73"/>
        <v>1074125.79</v>
      </c>
      <c r="Q558" s="3" t="str">
        <f t="shared" si="74"/>
        <v>Excellent</v>
      </c>
      <c r="R558" s="3">
        <f t="shared" si="75"/>
        <v>7829</v>
      </c>
      <c r="S558" s="7">
        <f t="shared" si="76"/>
        <v>93948</v>
      </c>
      <c r="T558" s="3" t="str">
        <f t="shared" si="77"/>
        <v>High Profit</v>
      </c>
      <c r="U558" s="3" t="str">
        <f t="shared" si="78"/>
        <v>High Discount</v>
      </c>
      <c r="V558" s="3" t="str">
        <f t="shared" si="79"/>
        <v>Priority C</v>
      </c>
      <c r="W558">
        <f t="shared" si="80"/>
        <v>87327.3</v>
      </c>
      <c r="X558" t="s">
        <v>23</v>
      </c>
      <c r="Y558" t="s">
        <v>23</v>
      </c>
      <c r="Z558" t="s">
        <v>23</v>
      </c>
      <c r="AA558" t="s">
        <v>23</v>
      </c>
      <c r="AB558" t="s">
        <v>23</v>
      </c>
      <c r="AC558" t="s">
        <v>23</v>
      </c>
      <c r="AD558" t="s">
        <v>23</v>
      </c>
      <c r="AE558" t="s">
        <v>23</v>
      </c>
      <c r="AF558" t="s">
        <v>23</v>
      </c>
      <c r="AG558" t="s">
        <v>23</v>
      </c>
      <c r="AH558" t="s">
        <v>23</v>
      </c>
      <c r="AI558" t="s">
        <v>23</v>
      </c>
      <c r="AJ558" t="s">
        <v>23</v>
      </c>
    </row>
    <row r="559" spans="1:36" x14ac:dyDescent="0.35">
      <c r="A559" s="2">
        <v>1557</v>
      </c>
      <c r="B559" s="4">
        <v>45266</v>
      </c>
      <c r="C559" s="1" t="s">
        <v>41</v>
      </c>
      <c r="D559" s="1" t="s">
        <v>43</v>
      </c>
      <c r="E559">
        <v>768825</v>
      </c>
      <c r="F559">
        <v>18</v>
      </c>
      <c r="G559" s="1" t="s">
        <v>32</v>
      </c>
      <c r="H559">
        <v>28002</v>
      </c>
      <c r="I559">
        <v>32152</v>
      </c>
      <c r="J559" s="1" t="s">
        <v>33</v>
      </c>
      <c r="K559" s="3">
        <v>23</v>
      </c>
      <c r="L559" s="1" t="s">
        <v>40</v>
      </c>
      <c r="M559" s="1" t="s">
        <v>29</v>
      </c>
      <c r="N559" s="3">
        <v>2024010123</v>
      </c>
      <c r="O559" s="3">
        <f t="shared" si="72"/>
        <v>1.23</v>
      </c>
      <c r="P559" s="6">
        <f t="shared" si="73"/>
        <v>945654.75</v>
      </c>
      <c r="Q559" s="3" t="str">
        <f t="shared" si="74"/>
        <v>Excellent</v>
      </c>
      <c r="R559" s="3">
        <f t="shared" si="75"/>
        <v>4150</v>
      </c>
      <c r="S559" s="7">
        <f t="shared" si="76"/>
        <v>74700</v>
      </c>
      <c r="T559" s="3" t="str">
        <f t="shared" si="77"/>
        <v>High Profit</v>
      </c>
      <c r="U559" s="3" t="str">
        <f t="shared" si="78"/>
        <v>High Discount</v>
      </c>
      <c r="V559" s="3" t="str">
        <f t="shared" si="79"/>
        <v>Priority C</v>
      </c>
      <c r="W559">
        <f t="shared" si="80"/>
        <v>76882.5</v>
      </c>
      <c r="X559" t="s">
        <v>23</v>
      </c>
      <c r="Y559" t="s">
        <v>23</v>
      </c>
      <c r="Z559" t="s">
        <v>23</v>
      </c>
      <c r="AA559" t="s">
        <v>23</v>
      </c>
      <c r="AB559" t="s">
        <v>23</v>
      </c>
      <c r="AC559" t="s">
        <v>23</v>
      </c>
      <c r="AD559" t="s">
        <v>23</v>
      </c>
      <c r="AE559" t="s">
        <v>23</v>
      </c>
      <c r="AF559" t="s">
        <v>23</v>
      </c>
      <c r="AG559" t="s">
        <v>23</v>
      </c>
      <c r="AH559" t="s">
        <v>23</v>
      </c>
      <c r="AI559" t="s">
        <v>23</v>
      </c>
      <c r="AJ559" t="s">
        <v>23</v>
      </c>
    </row>
    <row r="560" spans="1:36" x14ac:dyDescent="0.35">
      <c r="A560" s="2">
        <v>1558</v>
      </c>
      <c r="B560" s="4">
        <v>45246</v>
      </c>
      <c r="C560" s="1" t="s">
        <v>30</v>
      </c>
      <c r="D560" s="1" t="s">
        <v>31</v>
      </c>
      <c r="E560">
        <v>102818</v>
      </c>
      <c r="F560">
        <v>18</v>
      </c>
      <c r="G560" s="1" t="s">
        <v>32</v>
      </c>
      <c r="H560">
        <v>27222</v>
      </c>
      <c r="I560">
        <v>31984</v>
      </c>
      <c r="J560" s="1" t="s">
        <v>33</v>
      </c>
      <c r="K560" s="3">
        <v>18</v>
      </c>
      <c r="L560" s="1" t="s">
        <v>40</v>
      </c>
      <c r="M560" s="1" t="s">
        <v>29</v>
      </c>
      <c r="N560" s="3">
        <v>2024010123</v>
      </c>
      <c r="O560" s="3">
        <f t="shared" si="72"/>
        <v>1.23</v>
      </c>
      <c r="P560" s="6">
        <f t="shared" si="73"/>
        <v>126466.14</v>
      </c>
      <c r="Q560" s="3" t="str">
        <f t="shared" si="74"/>
        <v>Excellent</v>
      </c>
      <c r="R560" s="3">
        <f t="shared" si="75"/>
        <v>4762</v>
      </c>
      <c r="S560" s="7">
        <f t="shared" si="76"/>
        <v>85716</v>
      </c>
      <c r="T560" s="3" t="str">
        <f t="shared" si="77"/>
        <v>High Profit</v>
      </c>
      <c r="U560" s="3" t="str">
        <f t="shared" si="78"/>
        <v>High Discount</v>
      </c>
      <c r="V560" s="3" t="str">
        <f t="shared" si="79"/>
        <v>Priority C</v>
      </c>
      <c r="W560">
        <f t="shared" si="80"/>
        <v>10281.800000000001</v>
      </c>
      <c r="X560" t="s">
        <v>23</v>
      </c>
      <c r="Y560" t="s">
        <v>23</v>
      </c>
      <c r="Z560" t="s">
        <v>23</v>
      </c>
      <c r="AA560" t="s">
        <v>23</v>
      </c>
      <c r="AB560" t="s">
        <v>23</v>
      </c>
      <c r="AC560" t="s">
        <v>23</v>
      </c>
      <c r="AD560" t="s">
        <v>23</v>
      </c>
      <c r="AE560" t="s">
        <v>23</v>
      </c>
      <c r="AF560" t="s">
        <v>23</v>
      </c>
      <c r="AG560" t="s">
        <v>23</v>
      </c>
      <c r="AH560" t="s">
        <v>23</v>
      </c>
      <c r="AI560" t="s">
        <v>23</v>
      </c>
      <c r="AJ560" t="s">
        <v>23</v>
      </c>
    </row>
    <row r="561" spans="1:36" x14ac:dyDescent="0.35">
      <c r="A561" s="2">
        <v>1559</v>
      </c>
      <c r="B561" s="4">
        <v>45064</v>
      </c>
      <c r="C561" s="1" t="s">
        <v>41</v>
      </c>
      <c r="D561" s="1" t="s">
        <v>25</v>
      </c>
      <c r="E561">
        <v>463942</v>
      </c>
      <c r="F561">
        <v>18</v>
      </c>
      <c r="G561" s="1" t="s">
        <v>26</v>
      </c>
      <c r="H561">
        <v>32139</v>
      </c>
      <c r="I561">
        <v>38396</v>
      </c>
      <c r="J561" s="1" t="s">
        <v>33</v>
      </c>
      <c r="K561" s="3">
        <v>17</v>
      </c>
      <c r="L561" s="1" t="s">
        <v>28</v>
      </c>
      <c r="M561" s="1" t="s">
        <v>29</v>
      </c>
      <c r="N561" s="3">
        <v>2024010123</v>
      </c>
      <c r="O561" s="3">
        <f t="shared" si="72"/>
        <v>1.23</v>
      </c>
      <c r="P561" s="6">
        <f t="shared" si="73"/>
        <v>570648.66</v>
      </c>
      <c r="Q561" s="3" t="str">
        <f t="shared" si="74"/>
        <v>Excellent</v>
      </c>
      <c r="R561" s="3">
        <f t="shared" si="75"/>
        <v>6257</v>
      </c>
      <c r="S561" s="7">
        <f t="shared" si="76"/>
        <v>112626</v>
      </c>
      <c r="T561" s="3" t="str">
        <f t="shared" si="77"/>
        <v>High Profit</v>
      </c>
      <c r="U561" s="3" t="str">
        <f t="shared" si="78"/>
        <v>High Discount</v>
      </c>
      <c r="V561" s="3" t="str">
        <f t="shared" si="79"/>
        <v>Priority C</v>
      </c>
      <c r="W561">
        <f t="shared" si="80"/>
        <v>46394.200000000004</v>
      </c>
      <c r="X561" t="s">
        <v>23</v>
      </c>
      <c r="Y561" t="s">
        <v>23</v>
      </c>
      <c r="Z561" t="s">
        <v>23</v>
      </c>
      <c r="AA561" t="s">
        <v>23</v>
      </c>
      <c r="AB561" t="s">
        <v>23</v>
      </c>
      <c r="AC561" t="s">
        <v>23</v>
      </c>
      <c r="AD561" t="s">
        <v>23</v>
      </c>
      <c r="AE561" t="s">
        <v>23</v>
      </c>
      <c r="AF561" t="s">
        <v>23</v>
      </c>
      <c r="AG561" t="s">
        <v>23</v>
      </c>
      <c r="AH561" t="s">
        <v>23</v>
      </c>
      <c r="AI561" t="s">
        <v>23</v>
      </c>
      <c r="AJ561" t="s">
        <v>23</v>
      </c>
    </row>
    <row r="562" spans="1:36" x14ac:dyDescent="0.35">
      <c r="A562" s="2">
        <v>1560</v>
      </c>
      <c r="B562" s="4">
        <v>45196</v>
      </c>
      <c r="C562" s="1" t="s">
        <v>24</v>
      </c>
      <c r="D562" s="1" t="s">
        <v>42</v>
      </c>
      <c r="E562">
        <v>403917</v>
      </c>
      <c r="F562">
        <v>12</v>
      </c>
      <c r="G562" s="1" t="s">
        <v>32</v>
      </c>
      <c r="H562">
        <v>23916</v>
      </c>
      <c r="I562">
        <v>28410</v>
      </c>
      <c r="J562" s="1" t="s">
        <v>33</v>
      </c>
      <c r="K562" s="3">
        <v>0</v>
      </c>
      <c r="L562" s="1" t="s">
        <v>28</v>
      </c>
      <c r="M562" s="1" t="s">
        <v>37</v>
      </c>
      <c r="N562" s="3">
        <v>2024010123</v>
      </c>
      <c r="O562" s="3">
        <f t="shared" si="72"/>
        <v>1.23</v>
      </c>
      <c r="P562" s="6">
        <f t="shared" si="73"/>
        <v>496817.91</v>
      </c>
      <c r="Q562" s="3" t="str">
        <f t="shared" si="74"/>
        <v>Excellent</v>
      </c>
      <c r="R562" s="3">
        <f t="shared" si="75"/>
        <v>4494</v>
      </c>
      <c r="S562" s="7">
        <f t="shared" si="76"/>
        <v>53928</v>
      </c>
      <c r="T562" s="3" t="str">
        <f t="shared" si="77"/>
        <v>High Profit</v>
      </c>
      <c r="U562" s="3" t="str">
        <f t="shared" si="78"/>
        <v>No Discount</v>
      </c>
      <c r="V562" s="3" t="str">
        <f t="shared" si="79"/>
        <v>Priority C</v>
      </c>
      <c r="W562">
        <f t="shared" si="80"/>
        <v>40391.700000000004</v>
      </c>
      <c r="X562" t="s">
        <v>23</v>
      </c>
      <c r="Y562" t="s">
        <v>23</v>
      </c>
      <c r="Z562" t="s">
        <v>23</v>
      </c>
      <c r="AA562" t="s">
        <v>23</v>
      </c>
      <c r="AB562" t="s">
        <v>23</v>
      </c>
      <c r="AC562" t="s">
        <v>23</v>
      </c>
      <c r="AD562" t="s">
        <v>23</v>
      </c>
      <c r="AE562" t="s">
        <v>23</v>
      </c>
      <c r="AF562" t="s">
        <v>23</v>
      </c>
      <c r="AG562" t="s">
        <v>23</v>
      </c>
      <c r="AH562" t="s">
        <v>23</v>
      </c>
      <c r="AI562" t="s">
        <v>23</v>
      </c>
      <c r="AJ562" t="s">
        <v>23</v>
      </c>
    </row>
    <row r="563" spans="1:36" x14ac:dyDescent="0.35">
      <c r="A563" s="2">
        <v>1561</v>
      </c>
      <c r="B563" s="4">
        <v>45257</v>
      </c>
      <c r="C563" s="1" t="s">
        <v>34</v>
      </c>
      <c r="D563" s="1" t="s">
        <v>42</v>
      </c>
      <c r="E563">
        <v>264049</v>
      </c>
      <c r="F563">
        <v>12</v>
      </c>
      <c r="G563" s="1" t="s">
        <v>32</v>
      </c>
      <c r="H563">
        <v>37043</v>
      </c>
      <c r="I563">
        <v>38635</v>
      </c>
      <c r="J563" s="1" t="s">
        <v>27</v>
      </c>
      <c r="K563" s="3">
        <v>4</v>
      </c>
      <c r="L563" s="1" t="s">
        <v>40</v>
      </c>
      <c r="M563" s="1" t="s">
        <v>37</v>
      </c>
      <c r="N563" s="3">
        <v>2024010123</v>
      </c>
      <c r="O563" s="3">
        <f t="shared" si="72"/>
        <v>1.23</v>
      </c>
      <c r="P563" s="6">
        <f t="shared" si="73"/>
        <v>324780.27</v>
      </c>
      <c r="Q563" s="3" t="str">
        <f t="shared" si="74"/>
        <v>Excellent</v>
      </c>
      <c r="R563" s="3">
        <f t="shared" si="75"/>
        <v>1592</v>
      </c>
      <c r="S563" s="7">
        <f t="shared" si="76"/>
        <v>19104</v>
      </c>
      <c r="T563" s="3" t="str">
        <f t="shared" si="77"/>
        <v>High Profit</v>
      </c>
      <c r="U563" s="3" t="str">
        <f t="shared" si="78"/>
        <v>Low Discount</v>
      </c>
      <c r="V563" s="3" t="str">
        <f t="shared" si="79"/>
        <v>Priority C</v>
      </c>
      <c r="W563">
        <f t="shared" si="80"/>
        <v>39607.35</v>
      </c>
      <c r="X563" t="s">
        <v>23</v>
      </c>
      <c r="Y563" t="s">
        <v>23</v>
      </c>
      <c r="Z563" t="s">
        <v>23</v>
      </c>
      <c r="AA563" t="s">
        <v>23</v>
      </c>
      <c r="AB563" t="s">
        <v>23</v>
      </c>
      <c r="AC563" t="s">
        <v>23</v>
      </c>
      <c r="AD563" t="s">
        <v>23</v>
      </c>
      <c r="AE563" t="s">
        <v>23</v>
      </c>
      <c r="AF563" t="s">
        <v>23</v>
      </c>
      <c r="AG563" t="s">
        <v>23</v>
      </c>
      <c r="AH563" t="s">
        <v>23</v>
      </c>
      <c r="AI563" t="s">
        <v>23</v>
      </c>
      <c r="AJ563" t="s">
        <v>23</v>
      </c>
    </row>
    <row r="564" spans="1:36" x14ac:dyDescent="0.35">
      <c r="A564" s="2">
        <v>1562</v>
      </c>
      <c r="B564" s="4">
        <v>44976</v>
      </c>
      <c r="C564" s="1" t="s">
        <v>34</v>
      </c>
      <c r="D564" s="1" t="s">
        <v>31</v>
      </c>
      <c r="E564">
        <v>31986</v>
      </c>
      <c r="F564">
        <v>6</v>
      </c>
      <c r="G564" s="1" t="s">
        <v>26</v>
      </c>
      <c r="H564">
        <v>36232</v>
      </c>
      <c r="I564">
        <v>40773</v>
      </c>
      <c r="J564" s="1" t="s">
        <v>33</v>
      </c>
      <c r="K564" s="3">
        <v>3</v>
      </c>
      <c r="L564" s="1" t="s">
        <v>40</v>
      </c>
      <c r="M564" s="1" t="s">
        <v>29</v>
      </c>
      <c r="N564" s="3">
        <v>2024010123</v>
      </c>
      <c r="O564" s="3">
        <f t="shared" si="72"/>
        <v>1.23</v>
      </c>
      <c r="P564" s="6">
        <f t="shared" si="73"/>
        <v>39342.78</v>
      </c>
      <c r="Q564" s="3" t="str">
        <f t="shared" si="74"/>
        <v>Excellent</v>
      </c>
      <c r="R564" s="3">
        <f t="shared" si="75"/>
        <v>4541</v>
      </c>
      <c r="S564" s="7">
        <f t="shared" si="76"/>
        <v>27246</v>
      </c>
      <c r="T564" s="3" t="str">
        <f t="shared" si="77"/>
        <v>High Profit</v>
      </c>
      <c r="U564" s="3" t="str">
        <f t="shared" si="78"/>
        <v>Low Discount</v>
      </c>
      <c r="V564" s="3" t="str">
        <f t="shared" si="79"/>
        <v>Priority D</v>
      </c>
      <c r="W564">
        <f t="shared" si="80"/>
        <v>3198.6000000000004</v>
      </c>
      <c r="X564" t="s">
        <v>23</v>
      </c>
      <c r="Y564" t="s">
        <v>23</v>
      </c>
      <c r="Z564" t="s">
        <v>23</v>
      </c>
      <c r="AA564" t="s">
        <v>23</v>
      </c>
      <c r="AB564" t="s">
        <v>23</v>
      </c>
      <c r="AC564" t="s">
        <v>23</v>
      </c>
      <c r="AD564" t="s">
        <v>23</v>
      </c>
      <c r="AE564" t="s">
        <v>23</v>
      </c>
      <c r="AF564" t="s">
        <v>23</v>
      </c>
      <c r="AG564" t="s">
        <v>23</v>
      </c>
      <c r="AH564" t="s">
        <v>23</v>
      </c>
      <c r="AI564" t="s">
        <v>23</v>
      </c>
      <c r="AJ564" t="s">
        <v>23</v>
      </c>
    </row>
    <row r="565" spans="1:36" x14ac:dyDescent="0.35">
      <c r="A565" s="2">
        <v>1563</v>
      </c>
      <c r="B565" s="4">
        <v>45196</v>
      </c>
      <c r="C565" s="1" t="s">
        <v>41</v>
      </c>
      <c r="D565" s="1" t="s">
        <v>42</v>
      </c>
      <c r="E565">
        <v>346690</v>
      </c>
      <c r="F565">
        <v>12</v>
      </c>
      <c r="G565" s="1" t="s">
        <v>32</v>
      </c>
      <c r="H565">
        <v>42514</v>
      </c>
      <c r="I565">
        <v>45162</v>
      </c>
      <c r="J565" s="1" t="s">
        <v>27</v>
      </c>
      <c r="K565" s="3">
        <v>9</v>
      </c>
      <c r="L565" s="1" t="s">
        <v>40</v>
      </c>
      <c r="M565" s="1" t="s">
        <v>29</v>
      </c>
      <c r="N565" s="3">
        <v>2024010123</v>
      </c>
      <c r="O565" s="3">
        <f t="shared" si="72"/>
        <v>1.23</v>
      </c>
      <c r="P565" s="6">
        <f t="shared" si="73"/>
        <v>426428.7</v>
      </c>
      <c r="Q565" s="3" t="str">
        <f t="shared" si="74"/>
        <v>Excellent</v>
      </c>
      <c r="R565" s="3">
        <f t="shared" si="75"/>
        <v>2648</v>
      </c>
      <c r="S565" s="7">
        <f t="shared" si="76"/>
        <v>31776</v>
      </c>
      <c r="T565" s="3" t="str">
        <f t="shared" si="77"/>
        <v>High Profit</v>
      </c>
      <c r="U565" s="3" t="str">
        <f t="shared" si="78"/>
        <v>Medium Discount</v>
      </c>
      <c r="V565" s="3" t="str">
        <f t="shared" si="79"/>
        <v>Priority D</v>
      </c>
      <c r="W565">
        <f t="shared" si="80"/>
        <v>52003.5</v>
      </c>
      <c r="X565" t="s">
        <v>23</v>
      </c>
      <c r="Y565" t="s">
        <v>23</v>
      </c>
      <c r="Z565" t="s">
        <v>23</v>
      </c>
      <c r="AA565" t="s">
        <v>23</v>
      </c>
      <c r="AB565" t="s">
        <v>23</v>
      </c>
      <c r="AC565" t="s">
        <v>23</v>
      </c>
      <c r="AD565" t="s">
        <v>23</v>
      </c>
      <c r="AE565" t="s">
        <v>23</v>
      </c>
      <c r="AF565" t="s">
        <v>23</v>
      </c>
      <c r="AG565" t="s">
        <v>23</v>
      </c>
      <c r="AH565" t="s">
        <v>23</v>
      </c>
      <c r="AI565" t="s">
        <v>23</v>
      </c>
      <c r="AJ565" t="s">
        <v>23</v>
      </c>
    </row>
    <row r="566" spans="1:36" x14ac:dyDescent="0.35">
      <c r="A566" s="2">
        <v>1564</v>
      </c>
      <c r="B566" s="4">
        <v>45157</v>
      </c>
      <c r="C566" s="1" t="s">
        <v>41</v>
      </c>
      <c r="D566" s="1" t="s">
        <v>42</v>
      </c>
      <c r="E566">
        <v>797329</v>
      </c>
      <c r="F566">
        <v>12</v>
      </c>
      <c r="G566" s="1" t="s">
        <v>35</v>
      </c>
      <c r="H566">
        <v>56603</v>
      </c>
      <c r="I566">
        <v>60829</v>
      </c>
      <c r="J566" s="1" t="s">
        <v>27</v>
      </c>
      <c r="K566" s="3">
        <v>11</v>
      </c>
      <c r="L566" s="1" t="s">
        <v>28</v>
      </c>
      <c r="M566" s="1" t="s">
        <v>37</v>
      </c>
      <c r="N566" s="3">
        <v>2024010123</v>
      </c>
      <c r="O566" s="3">
        <f t="shared" si="72"/>
        <v>1.23</v>
      </c>
      <c r="P566" s="6">
        <f t="shared" si="73"/>
        <v>980714.67</v>
      </c>
      <c r="Q566" s="3" t="str">
        <f t="shared" si="74"/>
        <v>Excellent</v>
      </c>
      <c r="R566" s="3">
        <f t="shared" si="75"/>
        <v>4226</v>
      </c>
      <c r="S566" s="7">
        <f t="shared" si="76"/>
        <v>50712</v>
      </c>
      <c r="T566" s="3" t="str">
        <f t="shared" si="77"/>
        <v>High Profit</v>
      </c>
      <c r="U566" s="3" t="str">
        <f t="shared" si="78"/>
        <v>Medium Discount</v>
      </c>
      <c r="V566" s="3" t="str">
        <f t="shared" si="79"/>
        <v>Priority C</v>
      </c>
      <c r="W566">
        <f t="shared" si="80"/>
        <v>119599.34999999999</v>
      </c>
      <c r="X566" t="s">
        <v>23</v>
      </c>
      <c r="Y566" t="s">
        <v>23</v>
      </c>
      <c r="Z566" t="s">
        <v>23</v>
      </c>
      <c r="AA566" t="s">
        <v>23</v>
      </c>
      <c r="AB566" t="s">
        <v>23</v>
      </c>
      <c r="AC566" t="s">
        <v>23</v>
      </c>
      <c r="AD566" t="s">
        <v>23</v>
      </c>
      <c r="AE566" t="s">
        <v>23</v>
      </c>
      <c r="AF566" t="s">
        <v>23</v>
      </c>
      <c r="AG566" t="s">
        <v>23</v>
      </c>
      <c r="AH566" t="s">
        <v>23</v>
      </c>
      <c r="AI566" t="s">
        <v>23</v>
      </c>
      <c r="AJ566" t="s">
        <v>23</v>
      </c>
    </row>
    <row r="567" spans="1:36" x14ac:dyDescent="0.35">
      <c r="A567" s="2">
        <v>1565</v>
      </c>
      <c r="B567" s="4">
        <v>45093</v>
      </c>
      <c r="C567" s="1" t="s">
        <v>30</v>
      </c>
      <c r="D567" s="1" t="s">
        <v>42</v>
      </c>
      <c r="E567">
        <v>391494</v>
      </c>
      <c r="F567">
        <v>12</v>
      </c>
      <c r="G567" s="1" t="s">
        <v>32</v>
      </c>
      <c r="H567">
        <v>25021</v>
      </c>
      <c r="I567">
        <v>28934</v>
      </c>
      <c r="J567" s="1" t="s">
        <v>27</v>
      </c>
      <c r="K567" s="3">
        <v>9</v>
      </c>
      <c r="L567" s="1" t="s">
        <v>36</v>
      </c>
      <c r="M567" s="1" t="s">
        <v>29</v>
      </c>
      <c r="N567" s="3">
        <v>2024010123</v>
      </c>
      <c r="O567" s="3">
        <f t="shared" si="72"/>
        <v>1.23</v>
      </c>
      <c r="P567" s="6">
        <f t="shared" si="73"/>
        <v>481537.62</v>
      </c>
      <c r="Q567" s="3" t="str">
        <f t="shared" si="74"/>
        <v>Excellent</v>
      </c>
      <c r="R567" s="3">
        <f t="shared" si="75"/>
        <v>3913</v>
      </c>
      <c r="S567" s="7">
        <f t="shared" si="76"/>
        <v>46956</v>
      </c>
      <c r="T567" s="3" t="str">
        <f t="shared" si="77"/>
        <v>High Profit</v>
      </c>
      <c r="U567" s="3" t="str">
        <f t="shared" si="78"/>
        <v>Medium Discount</v>
      </c>
      <c r="V567" s="3" t="str">
        <f t="shared" si="79"/>
        <v>Priority D</v>
      </c>
      <c r="W567">
        <f t="shared" si="80"/>
        <v>58724.1</v>
      </c>
      <c r="X567" t="s">
        <v>23</v>
      </c>
      <c r="Y567" t="s">
        <v>23</v>
      </c>
      <c r="Z567" t="s">
        <v>23</v>
      </c>
      <c r="AA567" t="s">
        <v>23</v>
      </c>
      <c r="AB567" t="s">
        <v>23</v>
      </c>
      <c r="AC567" t="s">
        <v>23</v>
      </c>
      <c r="AD567" t="s">
        <v>23</v>
      </c>
      <c r="AE567" t="s">
        <v>23</v>
      </c>
      <c r="AF567" t="s">
        <v>23</v>
      </c>
      <c r="AG567" t="s">
        <v>23</v>
      </c>
      <c r="AH567" t="s">
        <v>23</v>
      </c>
      <c r="AI567" t="s">
        <v>23</v>
      </c>
      <c r="AJ567" t="s">
        <v>23</v>
      </c>
    </row>
    <row r="568" spans="1:36" x14ac:dyDescent="0.35">
      <c r="A568" s="2">
        <v>1566</v>
      </c>
      <c r="B568" s="4">
        <v>45019</v>
      </c>
      <c r="C568" s="1" t="s">
        <v>24</v>
      </c>
      <c r="D568" s="1" t="s">
        <v>43</v>
      </c>
      <c r="E568">
        <v>347209</v>
      </c>
      <c r="F568">
        <v>12</v>
      </c>
      <c r="G568" s="1" t="s">
        <v>26</v>
      </c>
      <c r="H568">
        <v>59709</v>
      </c>
      <c r="I568">
        <v>62747</v>
      </c>
      <c r="J568" s="1" t="s">
        <v>27</v>
      </c>
      <c r="K568" s="3">
        <v>29</v>
      </c>
      <c r="L568" s="1" t="s">
        <v>36</v>
      </c>
      <c r="M568" s="1" t="s">
        <v>29</v>
      </c>
      <c r="N568" s="3">
        <v>2024010123</v>
      </c>
      <c r="O568" s="3">
        <f t="shared" si="72"/>
        <v>1.23</v>
      </c>
      <c r="P568" s="6">
        <f t="shared" si="73"/>
        <v>427067.07</v>
      </c>
      <c r="Q568" s="3" t="str">
        <f t="shared" si="74"/>
        <v>Excellent</v>
      </c>
      <c r="R568" s="3">
        <f t="shared" si="75"/>
        <v>3038</v>
      </c>
      <c r="S568" s="7">
        <f t="shared" si="76"/>
        <v>36456</v>
      </c>
      <c r="T568" s="3" t="str">
        <f t="shared" si="77"/>
        <v>High Profit</v>
      </c>
      <c r="U568" s="3" t="str">
        <f t="shared" si="78"/>
        <v>High Discount</v>
      </c>
      <c r="V568" s="3" t="str">
        <f t="shared" si="79"/>
        <v>Priority D</v>
      </c>
      <c r="W568">
        <f t="shared" si="80"/>
        <v>52081.35</v>
      </c>
      <c r="X568" t="s">
        <v>23</v>
      </c>
      <c r="Y568" t="s">
        <v>23</v>
      </c>
      <c r="Z568" t="s">
        <v>23</v>
      </c>
      <c r="AA568" t="s">
        <v>23</v>
      </c>
      <c r="AB568" t="s">
        <v>23</v>
      </c>
      <c r="AC568" t="s">
        <v>23</v>
      </c>
      <c r="AD568" t="s">
        <v>23</v>
      </c>
      <c r="AE568" t="s">
        <v>23</v>
      </c>
      <c r="AF568" t="s">
        <v>23</v>
      </c>
      <c r="AG568" t="s">
        <v>23</v>
      </c>
      <c r="AH568" t="s">
        <v>23</v>
      </c>
      <c r="AI568" t="s">
        <v>23</v>
      </c>
      <c r="AJ568" t="s">
        <v>23</v>
      </c>
    </row>
    <row r="569" spans="1:36" x14ac:dyDescent="0.35">
      <c r="A569" s="2">
        <v>1567</v>
      </c>
      <c r="B569" s="4">
        <v>45102</v>
      </c>
      <c r="C569" s="1" t="s">
        <v>41</v>
      </c>
      <c r="D569" s="1" t="s">
        <v>31</v>
      </c>
      <c r="E569">
        <v>899521</v>
      </c>
      <c r="F569">
        <v>12</v>
      </c>
      <c r="G569" s="1" t="s">
        <v>32</v>
      </c>
      <c r="H569">
        <v>47133</v>
      </c>
      <c r="I569">
        <v>51992</v>
      </c>
      <c r="J569" s="1" t="s">
        <v>27</v>
      </c>
      <c r="K569" s="3">
        <v>27</v>
      </c>
      <c r="L569" s="1" t="s">
        <v>28</v>
      </c>
      <c r="M569" s="1" t="s">
        <v>37</v>
      </c>
      <c r="N569" s="3">
        <v>2024010123</v>
      </c>
      <c r="O569" s="3">
        <f t="shared" si="72"/>
        <v>1.23</v>
      </c>
      <c r="P569" s="6">
        <f t="shared" si="73"/>
        <v>1106410.83</v>
      </c>
      <c r="Q569" s="3" t="str">
        <f t="shared" si="74"/>
        <v>Excellent</v>
      </c>
      <c r="R569" s="3">
        <f t="shared" si="75"/>
        <v>4859</v>
      </c>
      <c r="S569" s="7">
        <f t="shared" si="76"/>
        <v>58308</v>
      </c>
      <c r="T569" s="3" t="str">
        <f t="shared" si="77"/>
        <v>High Profit</v>
      </c>
      <c r="U569" s="3" t="str">
        <f t="shared" si="78"/>
        <v>High Discount</v>
      </c>
      <c r="V569" s="3" t="str">
        <f t="shared" si="79"/>
        <v>Priority C</v>
      </c>
      <c r="W569">
        <f t="shared" si="80"/>
        <v>134928.15</v>
      </c>
      <c r="X569" t="s">
        <v>23</v>
      </c>
      <c r="Y569" t="s">
        <v>23</v>
      </c>
      <c r="Z569" t="s">
        <v>23</v>
      </c>
      <c r="AA569" t="s">
        <v>23</v>
      </c>
      <c r="AB569" t="s">
        <v>23</v>
      </c>
      <c r="AC569" t="s">
        <v>23</v>
      </c>
      <c r="AD569" t="s">
        <v>23</v>
      </c>
      <c r="AE569" t="s">
        <v>23</v>
      </c>
      <c r="AF569" t="s">
        <v>23</v>
      </c>
      <c r="AG569" t="s">
        <v>23</v>
      </c>
      <c r="AH569" t="s">
        <v>23</v>
      </c>
      <c r="AI569" t="s">
        <v>23</v>
      </c>
      <c r="AJ569" t="s">
        <v>23</v>
      </c>
    </row>
    <row r="570" spans="1:36" x14ac:dyDescent="0.35">
      <c r="A570" s="2">
        <v>1568</v>
      </c>
      <c r="B570" s="4">
        <v>44946</v>
      </c>
      <c r="C570" s="1" t="s">
        <v>38</v>
      </c>
      <c r="D570" s="1" t="s">
        <v>43</v>
      </c>
      <c r="E570">
        <v>280688</v>
      </c>
      <c r="F570">
        <v>8</v>
      </c>
      <c r="G570" s="1" t="s">
        <v>35</v>
      </c>
      <c r="H570">
        <v>49000</v>
      </c>
      <c r="I570">
        <v>53012</v>
      </c>
      <c r="J570" s="1" t="s">
        <v>33</v>
      </c>
      <c r="K570" s="3">
        <v>23</v>
      </c>
      <c r="L570" s="1" t="s">
        <v>40</v>
      </c>
      <c r="M570" s="1" t="s">
        <v>29</v>
      </c>
      <c r="N570" s="3">
        <v>2024010123</v>
      </c>
      <c r="O570" s="3">
        <f t="shared" si="72"/>
        <v>1.23</v>
      </c>
      <c r="P570" s="6">
        <f t="shared" si="73"/>
        <v>345246.24</v>
      </c>
      <c r="Q570" s="3" t="str">
        <f t="shared" si="74"/>
        <v>Excellent</v>
      </c>
      <c r="R570" s="3">
        <f t="shared" si="75"/>
        <v>4012</v>
      </c>
      <c r="S570" s="7">
        <f t="shared" si="76"/>
        <v>32096</v>
      </c>
      <c r="T570" s="3" t="str">
        <f t="shared" si="77"/>
        <v>High Profit</v>
      </c>
      <c r="U570" s="3" t="str">
        <f t="shared" si="78"/>
        <v>High Discount</v>
      </c>
      <c r="V570" s="3" t="str">
        <f t="shared" si="79"/>
        <v>Priority D</v>
      </c>
      <c r="W570">
        <f t="shared" si="80"/>
        <v>28068.800000000003</v>
      </c>
      <c r="X570" t="s">
        <v>23</v>
      </c>
      <c r="Y570" t="s">
        <v>23</v>
      </c>
      <c r="Z570" t="s">
        <v>23</v>
      </c>
      <c r="AA570" t="s">
        <v>23</v>
      </c>
      <c r="AB570" t="s">
        <v>23</v>
      </c>
      <c r="AC570" t="s">
        <v>23</v>
      </c>
      <c r="AD570" t="s">
        <v>23</v>
      </c>
      <c r="AE570" t="s">
        <v>23</v>
      </c>
      <c r="AF570" t="s">
        <v>23</v>
      </c>
      <c r="AG570" t="s">
        <v>23</v>
      </c>
      <c r="AH570" t="s">
        <v>23</v>
      </c>
      <c r="AI570" t="s">
        <v>23</v>
      </c>
      <c r="AJ570" t="s">
        <v>23</v>
      </c>
    </row>
    <row r="571" spans="1:36" x14ac:dyDescent="0.35">
      <c r="A571" s="2">
        <v>1569</v>
      </c>
      <c r="B571" s="4">
        <v>45161</v>
      </c>
      <c r="C571" s="1" t="s">
        <v>38</v>
      </c>
      <c r="D571" s="1" t="s">
        <v>42</v>
      </c>
      <c r="E571">
        <v>82267</v>
      </c>
      <c r="F571">
        <v>12</v>
      </c>
      <c r="G571" s="1" t="s">
        <v>32</v>
      </c>
      <c r="H571">
        <v>31534</v>
      </c>
      <c r="I571">
        <v>36421</v>
      </c>
      <c r="J571" s="1" t="s">
        <v>33</v>
      </c>
      <c r="K571" s="3">
        <v>28</v>
      </c>
      <c r="L571" s="1" t="s">
        <v>36</v>
      </c>
      <c r="M571" s="1" t="s">
        <v>37</v>
      </c>
      <c r="N571" s="3">
        <v>2024010123</v>
      </c>
      <c r="O571" s="3">
        <f t="shared" si="72"/>
        <v>1.23</v>
      </c>
      <c r="P571" s="6">
        <f t="shared" si="73"/>
        <v>101188.41</v>
      </c>
      <c r="Q571" s="3" t="str">
        <f t="shared" si="74"/>
        <v>Excellent</v>
      </c>
      <c r="R571" s="3">
        <f t="shared" si="75"/>
        <v>4887</v>
      </c>
      <c r="S571" s="7">
        <f t="shared" si="76"/>
        <v>58644</v>
      </c>
      <c r="T571" s="3" t="str">
        <f t="shared" si="77"/>
        <v>High Profit</v>
      </c>
      <c r="U571" s="3" t="str">
        <f t="shared" si="78"/>
        <v>High Discount</v>
      </c>
      <c r="V571" s="3" t="str">
        <f t="shared" si="79"/>
        <v>Priority C</v>
      </c>
      <c r="W571">
        <f t="shared" si="80"/>
        <v>8226.7000000000007</v>
      </c>
      <c r="X571" t="s">
        <v>23</v>
      </c>
      <c r="Y571" t="s">
        <v>23</v>
      </c>
      <c r="Z571" t="s">
        <v>23</v>
      </c>
      <c r="AA571" t="s">
        <v>23</v>
      </c>
      <c r="AB571" t="s">
        <v>23</v>
      </c>
      <c r="AC571" t="s">
        <v>23</v>
      </c>
      <c r="AD571" t="s">
        <v>23</v>
      </c>
      <c r="AE571" t="s">
        <v>23</v>
      </c>
      <c r="AF571" t="s">
        <v>23</v>
      </c>
      <c r="AG571" t="s">
        <v>23</v>
      </c>
      <c r="AH571" t="s">
        <v>23</v>
      </c>
      <c r="AI571" t="s">
        <v>23</v>
      </c>
      <c r="AJ571" t="s">
        <v>23</v>
      </c>
    </row>
    <row r="572" spans="1:36" x14ac:dyDescent="0.35">
      <c r="A572" s="2">
        <v>1570</v>
      </c>
      <c r="B572" s="4">
        <v>45023</v>
      </c>
      <c r="C572" s="1" t="s">
        <v>30</v>
      </c>
      <c r="D572" s="1" t="s">
        <v>25</v>
      </c>
      <c r="E572">
        <v>192519</v>
      </c>
      <c r="F572">
        <v>31</v>
      </c>
      <c r="G572" s="1" t="s">
        <v>32</v>
      </c>
      <c r="H572">
        <v>17536</v>
      </c>
      <c r="I572">
        <v>30503</v>
      </c>
      <c r="J572" s="1" t="s">
        <v>27</v>
      </c>
      <c r="K572" s="3">
        <v>0</v>
      </c>
      <c r="L572" s="1" t="s">
        <v>40</v>
      </c>
      <c r="M572" s="1" t="s">
        <v>37</v>
      </c>
      <c r="N572" s="3">
        <v>2024010123</v>
      </c>
      <c r="O572" s="3">
        <f t="shared" si="72"/>
        <v>1.23</v>
      </c>
      <c r="P572" s="6">
        <f t="shared" si="73"/>
        <v>236798.37</v>
      </c>
      <c r="Q572" s="3" t="str">
        <f t="shared" si="74"/>
        <v>Excellent</v>
      </c>
      <c r="R572" s="3">
        <f t="shared" si="75"/>
        <v>12967</v>
      </c>
      <c r="S572" s="7">
        <f t="shared" si="76"/>
        <v>401977</v>
      </c>
      <c r="T572" s="3" t="str">
        <f t="shared" si="77"/>
        <v>High Profit</v>
      </c>
      <c r="U572" s="3" t="str">
        <f t="shared" si="78"/>
        <v>No Discount</v>
      </c>
      <c r="V572" s="3" t="str">
        <f t="shared" si="79"/>
        <v>Priority B</v>
      </c>
      <c r="W572">
        <f t="shared" si="80"/>
        <v>28877.85</v>
      </c>
      <c r="X572" t="s">
        <v>23</v>
      </c>
      <c r="Y572" t="s">
        <v>23</v>
      </c>
      <c r="Z572" t="s">
        <v>23</v>
      </c>
      <c r="AA572" t="s">
        <v>23</v>
      </c>
      <c r="AB572" t="s">
        <v>23</v>
      </c>
      <c r="AC572" t="s">
        <v>23</v>
      </c>
      <c r="AD572" t="s">
        <v>23</v>
      </c>
      <c r="AE572" t="s">
        <v>23</v>
      </c>
      <c r="AF572" t="s">
        <v>23</v>
      </c>
      <c r="AG572" t="s">
        <v>23</v>
      </c>
      <c r="AH572" t="s">
        <v>23</v>
      </c>
      <c r="AI572" t="s">
        <v>23</v>
      </c>
      <c r="AJ572" t="s">
        <v>23</v>
      </c>
    </row>
    <row r="573" spans="1:36" x14ac:dyDescent="0.35">
      <c r="A573" s="2">
        <v>1571</v>
      </c>
      <c r="B573" s="4">
        <v>45238</v>
      </c>
      <c r="C573" s="1" t="s">
        <v>41</v>
      </c>
      <c r="D573" s="1" t="s">
        <v>25</v>
      </c>
      <c r="E573">
        <v>425581</v>
      </c>
      <c r="F573">
        <v>12</v>
      </c>
      <c r="G573" s="1" t="s">
        <v>35</v>
      </c>
      <c r="H573">
        <v>29048</v>
      </c>
      <c r="I573">
        <v>35930</v>
      </c>
      <c r="J573" s="1" t="s">
        <v>33</v>
      </c>
      <c r="K573" s="3">
        <v>2</v>
      </c>
      <c r="L573" s="1" t="s">
        <v>28</v>
      </c>
      <c r="M573" s="1" t="s">
        <v>37</v>
      </c>
      <c r="N573" s="3">
        <v>2024010123</v>
      </c>
      <c r="O573" s="3">
        <f t="shared" si="72"/>
        <v>1.23</v>
      </c>
      <c r="P573" s="6">
        <f t="shared" si="73"/>
        <v>523464.63</v>
      </c>
      <c r="Q573" s="3" t="str">
        <f t="shared" si="74"/>
        <v>Excellent</v>
      </c>
      <c r="R573" s="3">
        <f t="shared" si="75"/>
        <v>6882</v>
      </c>
      <c r="S573" s="7">
        <f t="shared" si="76"/>
        <v>82584</v>
      </c>
      <c r="T573" s="3" t="str">
        <f t="shared" si="77"/>
        <v>High Profit</v>
      </c>
      <c r="U573" s="3" t="str">
        <f t="shared" si="78"/>
        <v>Low Discount</v>
      </c>
      <c r="V573" s="3" t="str">
        <f t="shared" si="79"/>
        <v>Priority C</v>
      </c>
      <c r="W573">
        <f t="shared" si="80"/>
        <v>42558.100000000006</v>
      </c>
      <c r="X573" t="s">
        <v>23</v>
      </c>
      <c r="Y573" t="s">
        <v>23</v>
      </c>
      <c r="Z573" t="s">
        <v>23</v>
      </c>
      <c r="AA573" t="s">
        <v>23</v>
      </c>
      <c r="AB573" t="s">
        <v>23</v>
      </c>
      <c r="AC573" t="s">
        <v>23</v>
      </c>
      <c r="AD573" t="s">
        <v>23</v>
      </c>
      <c r="AE573" t="s">
        <v>23</v>
      </c>
      <c r="AF573" t="s">
        <v>23</v>
      </c>
      <c r="AG573" t="s">
        <v>23</v>
      </c>
      <c r="AH573" t="s">
        <v>23</v>
      </c>
      <c r="AI573" t="s">
        <v>23</v>
      </c>
      <c r="AJ573" t="s">
        <v>23</v>
      </c>
    </row>
    <row r="574" spans="1:36" x14ac:dyDescent="0.35">
      <c r="A574" s="2">
        <v>1572</v>
      </c>
      <c r="B574" s="4">
        <v>45190</v>
      </c>
      <c r="C574" s="1" t="s">
        <v>34</v>
      </c>
      <c r="D574" s="1" t="s">
        <v>43</v>
      </c>
      <c r="E574">
        <v>759918</v>
      </c>
      <c r="F574">
        <v>12</v>
      </c>
      <c r="G574" s="1" t="s">
        <v>26</v>
      </c>
      <c r="H574">
        <v>18476</v>
      </c>
      <c r="I574">
        <v>30062</v>
      </c>
      <c r="J574" s="1" t="s">
        <v>27</v>
      </c>
      <c r="K574" s="3">
        <v>3</v>
      </c>
      <c r="L574" s="1" t="s">
        <v>36</v>
      </c>
      <c r="M574" s="1" t="s">
        <v>29</v>
      </c>
      <c r="N574" s="3">
        <v>2024010123</v>
      </c>
      <c r="O574" s="3">
        <f t="shared" si="72"/>
        <v>1.23</v>
      </c>
      <c r="P574" s="6">
        <f t="shared" si="73"/>
        <v>934699.14</v>
      </c>
      <c r="Q574" s="3" t="str">
        <f t="shared" si="74"/>
        <v>Excellent</v>
      </c>
      <c r="R574" s="3">
        <f t="shared" si="75"/>
        <v>11586</v>
      </c>
      <c r="S574" s="7">
        <f t="shared" si="76"/>
        <v>139032</v>
      </c>
      <c r="T574" s="3" t="str">
        <f t="shared" si="77"/>
        <v>High Profit</v>
      </c>
      <c r="U574" s="3" t="str">
        <f t="shared" si="78"/>
        <v>Low Discount</v>
      </c>
      <c r="V574" s="3" t="str">
        <f t="shared" si="79"/>
        <v>Priority D</v>
      </c>
      <c r="W574">
        <f t="shared" si="80"/>
        <v>113987.7</v>
      </c>
      <c r="X574" t="s">
        <v>23</v>
      </c>
      <c r="Y574" t="s">
        <v>23</v>
      </c>
      <c r="Z574" t="s">
        <v>23</v>
      </c>
      <c r="AA574" t="s">
        <v>23</v>
      </c>
      <c r="AB574" t="s">
        <v>23</v>
      </c>
      <c r="AC574" t="s">
        <v>23</v>
      </c>
      <c r="AD574" t="s">
        <v>23</v>
      </c>
      <c r="AE574" t="s">
        <v>23</v>
      </c>
      <c r="AF574" t="s">
        <v>23</v>
      </c>
      <c r="AG574" t="s">
        <v>23</v>
      </c>
      <c r="AH574" t="s">
        <v>23</v>
      </c>
      <c r="AI574" t="s">
        <v>23</v>
      </c>
      <c r="AJ574" t="s">
        <v>23</v>
      </c>
    </row>
    <row r="575" spans="1:36" x14ac:dyDescent="0.35">
      <c r="A575" s="2">
        <v>1573</v>
      </c>
      <c r="B575" s="4">
        <v>45231</v>
      </c>
      <c r="C575" s="1" t="s">
        <v>34</v>
      </c>
      <c r="D575" s="1" t="s">
        <v>43</v>
      </c>
      <c r="E575">
        <v>593788</v>
      </c>
      <c r="F575">
        <v>35</v>
      </c>
      <c r="G575" s="1" t="s">
        <v>39</v>
      </c>
      <c r="H575">
        <v>18439</v>
      </c>
      <c r="I575">
        <v>27945</v>
      </c>
      <c r="J575" s="1" t="s">
        <v>27</v>
      </c>
      <c r="K575" s="3">
        <v>6</v>
      </c>
      <c r="L575" s="1" t="s">
        <v>28</v>
      </c>
      <c r="M575" s="1" t="s">
        <v>29</v>
      </c>
      <c r="N575" s="3">
        <v>2024010123</v>
      </c>
      <c r="O575" s="3">
        <f t="shared" si="72"/>
        <v>1.23</v>
      </c>
      <c r="P575" s="6">
        <f t="shared" si="73"/>
        <v>730359.24</v>
      </c>
      <c r="Q575" s="3" t="str">
        <f t="shared" si="74"/>
        <v>Excellent</v>
      </c>
      <c r="R575" s="3">
        <f t="shared" si="75"/>
        <v>9506</v>
      </c>
      <c r="S575" s="7">
        <f t="shared" si="76"/>
        <v>332710</v>
      </c>
      <c r="T575" s="3" t="str">
        <f t="shared" si="77"/>
        <v>High Profit</v>
      </c>
      <c r="U575" s="3" t="str">
        <f t="shared" si="78"/>
        <v>Medium Discount</v>
      </c>
      <c r="V575" s="3" t="str">
        <f t="shared" si="79"/>
        <v>Priority B</v>
      </c>
      <c r="W575">
        <f t="shared" si="80"/>
        <v>89068.2</v>
      </c>
      <c r="X575" t="s">
        <v>23</v>
      </c>
      <c r="Y575" t="s">
        <v>23</v>
      </c>
      <c r="Z575" t="s">
        <v>23</v>
      </c>
      <c r="AA575" t="s">
        <v>23</v>
      </c>
      <c r="AB575" t="s">
        <v>23</v>
      </c>
      <c r="AC575" t="s">
        <v>23</v>
      </c>
      <c r="AD575" t="s">
        <v>23</v>
      </c>
      <c r="AE575" t="s">
        <v>23</v>
      </c>
      <c r="AF575" t="s">
        <v>23</v>
      </c>
      <c r="AG575" t="s">
        <v>23</v>
      </c>
      <c r="AH575" t="s">
        <v>23</v>
      </c>
      <c r="AI575" t="s">
        <v>23</v>
      </c>
      <c r="AJ575" t="s">
        <v>23</v>
      </c>
    </row>
    <row r="576" spans="1:36" x14ac:dyDescent="0.35">
      <c r="A576" s="2">
        <v>1574</v>
      </c>
      <c r="B576" s="4">
        <v>45057</v>
      </c>
      <c r="C576" s="1" t="s">
        <v>24</v>
      </c>
      <c r="D576" s="1" t="s">
        <v>25</v>
      </c>
      <c r="E576">
        <v>367137</v>
      </c>
      <c r="F576">
        <v>16</v>
      </c>
      <c r="G576" s="1" t="s">
        <v>26</v>
      </c>
      <c r="H576">
        <v>24695</v>
      </c>
      <c r="I576">
        <v>32615</v>
      </c>
      <c r="J576" s="1" t="s">
        <v>27</v>
      </c>
      <c r="K576" s="3">
        <v>10</v>
      </c>
      <c r="L576" s="1" t="s">
        <v>40</v>
      </c>
      <c r="M576" s="1" t="s">
        <v>29</v>
      </c>
      <c r="N576" s="3">
        <v>2024010123</v>
      </c>
      <c r="O576" s="3">
        <f t="shared" si="72"/>
        <v>1.23</v>
      </c>
      <c r="P576" s="6">
        <f t="shared" si="73"/>
        <v>451578.51</v>
      </c>
      <c r="Q576" s="3" t="str">
        <f t="shared" si="74"/>
        <v>Excellent</v>
      </c>
      <c r="R576" s="3">
        <f t="shared" si="75"/>
        <v>7920</v>
      </c>
      <c r="S576" s="7">
        <f t="shared" si="76"/>
        <v>126720</v>
      </c>
      <c r="T576" s="3" t="str">
        <f t="shared" si="77"/>
        <v>High Profit</v>
      </c>
      <c r="U576" s="3" t="str">
        <f t="shared" si="78"/>
        <v>Medium Discount</v>
      </c>
      <c r="V576" s="3" t="str">
        <f t="shared" si="79"/>
        <v>Priority C</v>
      </c>
      <c r="W576">
        <f t="shared" si="80"/>
        <v>55070.549999999996</v>
      </c>
      <c r="X576" t="s">
        <v>23</v>
      </c>
      <c r="Y576" t="s">
        <v>23</v>
      </c>
      <c r="Z576" t="s">
        <v>23</v>
      </c>
      <c r="AA576" t="s">
        <v>23</v>
      </c>
      <c r="AB576" t="s">
        <v>23</v>
      </c>
      <c r="AC576" t="s">
        <v>23</v>
      </c>
      <c r="AD576" t="s">
        <v>23</v>
      </c>
      <c r="AE576" t="s">
        <v>23</v>
      </c>
      <c r="AF576" t="s">
        <v>23</v>
      </c>
      <c r="AG576" t="s">
        <v>23</v>
      </c>
      <c r="AH576" t="s">
        <v>23</v>
      </c>
      <c r="AI576" t="s">
        <v>23</v>
      </c>
      <c r="AJ576" t="s">
        <v>23</v>
      </c>
    </row>
    <row r="577" spans="1:36" x14ac:dyDescent="0.35">
      <c r="A577" s="2">
        <v>1575</v>
      </c>
      <c r="B577" s="4">
        <v>45035</v>
      </c>
      <c r="C577" s="1" t="s">
        <v>38</v>
      </c>
      <c r="D577" s="1" t="s">
        <v>43</v>
      </c>
      <c r="E577">
        <v>502260</v>
      </c>
      <c r="F577">
        <v>12</v>
      </c>
      <c r="G577" s="1" t="s">
        <v>26</v>
      </c>
      <c r="H577">
        <v>10000</v>
      </c>
      <c r="I577">
        <v>20000</v>
      </c>
      <c r="J577" s="1" t="s">
        <v>27</v>
      </c>
      <c r="K577" s="3">
        <v>13</v>
      </c>
      <c r="L577" s="1" t="s">
        <v>28</v>
      </c>
      <c r="M577" s="1" t="s">
        <v>29</v>
      </c>
      <c r="N577" s="3">
        <v>2024010123</v>
      </c>
      <c r="O577" s="3">
        <f t="shared" si="72"/>
        <v>1.23</v>
      </c>
      <c r="P577" s="6">
        <f t="shared" si="73"/>
        <v>617779.80000000005</v>
      </c>
      <c r="Q577" s="3" t="str">
        <f t="shared" si="74"/>
        <v>Excellent</v>
      </c>
      <c r="R577" s="3">
        <f t="shared" si="75"/>
        <v>10000</v>
      </c>
      <c r="S577" s="7">
        <f t="shared" si="76"/>
        <v>120000</v>
      </c>
      <c r="T577" s="3" t="str">
        <f t="shared" si="77"/>
        <v>High Profit</v>
      </c>
      <c r="U577" s="3" t="str">
        <f t="shared" si="78"/>
        <v>Medium Discount</v>
      </c>
      <c r="V577" s="3" t="str">
        <f t="shared" si="79"/>
        <v>Priority D</v>
      </c>
      <c r="W577">
        <f t="shared" si="80"/>
        <v>75339</v>
      </c>
      <c r="X577" t="s">
        <v>23</v>
      </c>
      <c r="Y577" t="s">
        <v>23</v>
      </c>
      <c r="Z577" t="s">
        <v>23</v>
      </c>
      <c r="AA577" t="s">
        <v>23</v>
      </c>
      <c r="AB577" t="s">
        <v>23</v>
      </c>
      <c r="AC577" t="s">
        <v>23</v>
      </c>
      <c r="AD577" t="s">
        <v>23</v>
      </c>
      <c r="AE577" t="s">
        <v>23</v>
      </c>
      <c r="AF577" t="s">
        <v>23</v>
      </c>
      <c r="AG577" t="s">
        <v>23</v>
      </c>
      <c r="AH577" t="s">
        <v>23</v>
      </c>
      <c r="AI577" t="s">
        <v>23</v>
      </c>
      <c r="AJ577" t="s">
        <v>23</v>
      </c>
    </row>
    <row r="578" spans="1:36" x14ac:dyDescent="0.35">
      <c r="A578" s="2">
        <v>1576</v>
      </c>
      <c r="B578" s="4">
        <v>44959</v>
      </c>
      <c r="C578" s="1" t="s">
        <v>34</v>
      </c>
      <c r="D578" s="1" t="s">
        <v>43</v>
      </c>
      <c r="E578">
        <v>870096</v>
      </c>
      <c r="F578">
        <v>12</v>
      </c>
      <c r="G578" s="1" t="s">
        <v>35</v>
      </c>
      <c r="H578">
        <v>23624</v>
      </c>
      <c r="I578">
        <v>37488</v>
      </c>
      <c r="J578" s="1" t="s">
        <v>33</v>
      </c>
      <c r="K578" s="3">
        <v>30</v>
      </c>
      <c r="L578" s="1" t="s">
        <v>36</v>
      </c>
      <c r="M578" s="1" t="s">
        <v>37</v>
      </c>
      <c r="N578" s="3">
        <v>2024010123</v>
      </c>
      <c r="O578" s="3">
        <f t="shared" si="72"/>
        <v>1.23</v>
      </c>
      <c r="P578" s="6">
        <f t="shared" si="73"/>
        <v>1070218.08</v>
      </c>
      <c r="Q578" s="3" t="str">
        <f t="shared" si="74"/>
        <v>Excellent</v>
      </c>
      <c r="R578" s="3">
        <f t="shared" si="75"/>
        <v>13864</v>
      </c>
      <c r="S578" s="7">
        <f t="shared" si="76"/>
        <v>166368</v>
      </c>
      <c r="T578" s="3" t="str">
        <f t="shared" si="77"/>
        <v>High Profit</v>
      </c>
      <c r="U578" s="3" t="str">
        <f t="shared" si="78"/>
        <v>High Discount</v>
      </c>
      <c r="V578" s="3" t="str">
        <f t="shared" si="79"/>
        <v>Priority C</v>
      </c>
      <c r="W578">
        <f t="shared" si="80"/>
        <v>87009.600000000006</v>
      </c>
      <c r="X578" t="s">
        <v>23</v>
      </c>
      <c r="Y578" t="s">
        <v>23</v>
      </c>
      <c r="Z578" t="s">
        <v>23</v>
      </c>
      <c r="AA578" t="s">
        <v>23</v>
      </c>
      <c r="AB578" t="s">
        <v>23</v>
      </c>
      <c r="AC578" t="s">
        <v>23</v>
      </c>
      <c r="AD578" t="s">
        <v>23</v>
      </c>
      <c r="AE578" t="s">
        <v>23</v>
      </c>
      <c r="AF578" t="s">
        <v>23</v>
      </c>
      <c r="AG578" t="s">
        <v>23</v>
      </c>
      <c r="AH578" t="s">
        <v>23</v>
      </c>
      <c r="AI578" t="s">
        <v>23</v>
      </c>
      <c r="AJ578" t="s">
        <v>23</v>
      </c>
    </row>
    <row r="579" spans="1:36" x14ac:dyDescent="0.35">
      <c r="A579" s="2">
        <v>1577</v>
      </c>
      <c r="B579" s="4">
        <v>45140</v>
      </c>
      <c r="C579" s="1" t="s">
        <v>41</v>
      </c>
      <c r="D579" s="1" t="s">
        <v>25</v>
      </c>
      <c r="E579">
        <v>24480</v>
      </c>
      <c r="F579">
        <v>48</v>
      </c>
      <c r="G579" s="1" t="s">
        <v>26</v>
      </c>
      <c r="H579">
        <v>23684</v>
      </c>
      <c r="I579">
        <v>37286</v>
      </c>
      <c r="J579" s="1" t="s">
        <v>33</v>
      </c>
      <c r="K579" s="3">
        <v>21</v>
      </c>
      <c r="L579" s="1" t="s">
        <v>28</v>
      </c>
      <c r="M579" s="1" t="s">
        <v>29</v>
      </c>
      <c r="N579" s="3">
        <v>2024010123</v>
      </c>
      <c r="O579" s="3">
        <f t="shared" ref="O579:O642" si="81">VALUE(RIGHT($N$2,3))/100</f>
        <v>1.23</v>
      </c>
      <c r="P579" s="6">
        <f t="shared" ref="P579:P642" si="82">E579*$O579</f>
        <v>30110.399999999998</v>
      </c>
      <c r="Q579" s="3" t="str">
        <f t="shared" ref="Q579:Q642" si="83">IF(P579&gt;=5000,"Excellent",
   IF(P579&gt;=3000,"Good",
      IF(P579&gt;=1500,"Average","Below Average")))</f>
        <v>Excellent</v>
      </c>
      <c r="R579" s="3">
        <f t="shared" ref="R579:R642" si="84">I579-H579</f>
        <v>13602</v>
      </c>
      <c r="S579" s="7">
        <f t="shared" ref="S579:S642" si="85">R579*F579</f>
        <v>652896</v>
      </c>
      <c r="T579" s="3" t="str">
        <f t="shared" ref="T579:T642" si="86">IF(S579&gt;=1000,"High Profit",
   IF(S579&gt;=500,"Medium Profit","Low Profit"))</f>
        <v>High Profit</v>
      </c>
      <c r="U579" s="3" t="str">
        <f t="shared" ref="U579:U642" si="87">_xlfn.LET(
  _xlpm.d0, K579,
  _xlpm.d, IF(_xlpm.d0&gt;=1, _xlpm.d0/100, _xlpm.d0),
  IF(_xlpm.d&gt;=0.15, "High Discount",
     IF(_xlpm.d&gt;=0.05, "Medium Discount",
        IF(_xlpm.d&gt;0, "Low Discount", "No Discount")))
)</f>
        <v>High Discount</v>
      </c>
      <c r="V579" s="3" t="str">
        <f t="shared" ref="V579:V642" si="88">IF(AND(G579="Electronics",F579&gt;=30,M579="Online"),"Priority A",
   IF(AND(OR(G579="Furniture",G579="Electronics"),F579&gt;=20),"Priority B",
      IF(OR(M579="Online",F579&gt;=15),"Priority C","Priority D")))</f>
        <v>Priority C</v>
      </c>
      <c r="W579">
        <f t="shared" ref="W579:W642" si="89">IF(AND(Q579="Excellent",J579="Returning",T579="High Profit"),E579*0.15,
   IF(AND(Q579="Excellent",J579="New"),E579*0.1,
      IF(AND(OR(Q579="Good",Q579="Excellent"),L579="Cash"),E579*0.08,
         IF(AND(Q579="Good",T579="High Profit"),E579*0.06,
            IF(Q579="Average",E579*0.03,
               IF(Q579="Below Average",E579*0.01,0))))))</f>
        <v>2448</v>
      </c>
      <c r="X579" t="s">
        <v>23</v>
      </c>
      <c r="Y579" t="s">
        <v>23</v>
      </c>
      <c r="Z579" t="s">
        <v>23</v>
      </c>
      <c r="AA579" t="s">
        <v>23</v>
      </c>
      <c r="AB579" t="s">
        <v>23</v>
      </c>
      <c r="AC579" t="s">
        <v>23</v>
      </c>
      <c r="AD579" t="s">
        <v>23</v>
      </c>
      <c r="AE579" t="s">
        <v>23</v>
      </c>
      <c r="AF579" t="s">
        <v>23</v>
      </c>
      <c r="AG579" t="s">
        <v>23</v>
      </c>
      <c r="AH579" t="s">
        <v>23</v>
      </c>
      <c r="AI579" t="s">
        <v>23</v>
      </c>
      <c r="AJ579" t="s">
        <v>23</v>
      </c>
    </row>
    <row r="580" spans="1:36" x14ac:dyDescent="0.35">
      <c r="A580" s="2">
        <v>1578</v>
      </c>
      <c r="B580" s="4">
        <v>45282</v>
      </c>
      <c r="C580" s="1" t="s">
        <v>30</v>
      </c>
      <c r="D580" s="1" t="s">
        <v>42</v>
      </c>
      <c r="E580">
        <v>907384</v>
      </c>
      <c r="F580">
        <v>41</v>
      </c>
      <c r="G580" s="1" t="s">
        <v>26</v>
      </c>
      <c r="H580">
        <v>21370</v>
      </c>
      <c r="I580">
        <v>29744</v>
      </c>
      <c r="J580" s="1" t="s">
        <v>33</v>
      </c>
      <c r="K580" s="3">
        <v>23</v>
      </c>
      <c r="L580" s="1" t="s">
        <v>40</v>
      </c>
      <c r="M580" s="1" t="s">
        <v>37</v>
      </c>
      <c r="N580" s="3">
        <v>2024010123</v>
      </c>
      <c r="O580" s="3">
        <f t="shared" si="81"/>
        <v>1.23</v>
      </c>
      <c r="P580" s="6">
        <f t="shared" si="82"/>
        <v>1116082.32</v>
      </c>
      <c r="Q580" s="3" t="str">
        <f t="shared" si="83"/>
        <v>Excellent</v>
      </c>
      <c r="R580" s="3">
        <f t="shared" si="84"/>
        <v>8374</v>
      </c>
      <c r="S580" s="7">
        <f t="shared" si="85"/>
        <v>343334</v>
      </c>
      <c r="T580" s="3" t="str">
        <f t="shared" si="86"/>
        <v>High Profit</v>
      </c>
      <c r="U580" s="3" t="str">
        <f t="shared" si="87"/>
        <v>High Discount</v>
      </c>
      <c r="V580" s="3" t="str">
        <f t="shared" si="88"/>
        <v>Priority C</v>
      </c>
      <c r="W580">
        <f t="shared" si="89"/>
        <v>90738.400000000009</v>
      </c>
      <c r="X580" t="s">
        <v>23</v>
      </c>
      <c r="Y580" t="s">
        <v>23</v>
      </c>
      <c r="Z580" t="s">
        <v>23</v>
      </c>
      <c r="AA580" t="s">
        <v>23</v>
      </c>
      <c r="AB580" t="s">
        <v>23</v>
      </c>
      <c r="AC580" t="s">
        <v>23</v>
      </c>
      <c r="AD580" t="s">
        <v>23</v>
      </c>
      <c r="AE580" t="s">
        <v>23</v>
      </c>
      <c r="AF580" t="s">
        <v>23</v>
      </c>
      <c r="AG580" t="s">
        <v>23</v>
      </c>
      <c r="AH580" t="s">
        <v>23</v>
      </c>
      <c r="AI580" t="s">
        <v>23</v>
      </c>
      <c r="AJ580" t="s">
        <v>23</v>
      </c>
    </row>
    <row r="581" spans="1:36" x14ac:dyDescent="0.35">
      <c r="A581" s="2">
        <v>1579</v>
      </c>
      <c r="B581" s="4">
        <v>45280</v>
      </c>
      <c r="C581" s="1" t="s">
        <v>34</v>
      </c>
      <c r="D581" s="1" t="s">
        <v>42</v>
      </c>
      <c r="E581">
        <v>611883</v>
      </c>
      <c r="F581">
        <v>24</v>
      </c>
      <c r="G581" s="1" t="s">
        <v>39</v>
      </c>
      <c r="H581">
        <v>25981</v>
      </c>
      <c r="I581">
        <v>33305</v>
      </c>
      <c r="J581" s="1" t="s">
        <v>33</v>
      </c>
      <c r="K581" s="3">
        <v>21</v>
      </c>
      <c r="L581" s="1" t="s">
        <v>28</v>
      </c>
      <c r="M581" s="1" t="s">
        <v>29</v>
      </c>
      <c r="N581" s="3">
        <v>2024010123</v>
      </c>
      <c r="O581" s="3">
        <f t="shared" si="81"/>
        <v>1.23</v>
      </c>
      <c r="P581" s="6">
        <f t="shared" si="82"/>
        <v>752616.09</v>
      </c>
      <c r="Q581" s="3" t="str">
        <f t="shared" si="83"/>
        <v>Excellent</v>
      </c>
      <c r="R581" s="3">
        <f t="shared" si="84"/>
        <v>7324</v>
      </c>
      <c r="S581" s="7">
        <f t="shared" si="85"/>
        <v>175776</v>
      </c>
      <c r="T581" s="3" t="str">
        <f t="shared" si="86"/>
        <v>High Profit</v>
      </c>
      <c r="U581" s="3" t="str">
        <f t="shared" si="87"/>
        <v>High Discount</v>
      </c>
      <c r="V581" s="3" t="str">
        <f t="shared" si="88"/>
        <v>Priority B</v>
      </c>
      <c r="W581">
        <f t="shared" si="89"/>
        <v>61188.3</v>
      </c>
      <c r="X581" t="s">
        <v>23</v>
      </c>
      <c r="Y581" t="s">
        <v>23</v>
      </c>
      <c r="Z581" t="s">
        <v>23</v>
      </c>
      <c r="AA581" t="s">
        <v>23</v>
      </c>
      <c r="AB581" t="s">
        <v>23</v>
      </c>
      <c r="AC581" t="s">
        <v>23</v>
      </c>
      <c r="AD581" t="s">
        <v>23</v>
      </c>
      <c r="AE581" t="s">
        <v>23</v>
      </c>
      <c r="AF581" t="s">
        <v>23</v>
      </c>
      <c r="AG581" t="s">
        <v>23</v>
      </c>
      <c r="AH581" t="s">
        <v>23</v>
      </c>
      <c r="AI581" t="s">
        <v>23</v>
      </c>
      <c r="AJ581" t="s">
        <v>23</v>
      </c>
    </row>
    <row r="582" spans="1:36" x14ac:dyDescent="0.35">
      <c r="A582" s="2">
        <v>1580</v>
      </c>
      <c r="B582" s="4">
        <v>45061</v>
      </c>
      <c r="C582" s="1" t="s">
        <v>24</v>
      </c>
      <c r="D582" s="1" t="s">
        <v>25</v>
      </c>
      <c r="E582">
        <v>321676</v>
      </c>
      <c r="F582">
        <v>18</v>
      </c>
      <c r="G582" s="1" t="s">
        <v>26</v>
      </c>
      <c r="H582">
        <v>37749</v>
      </c>
      <c r="I582">
        <v>42660</v>
      </c>
      <c r="J582" s="1" t="s">
        <v>33</v>
      </c>
      <c r="K582" s="3">
        <v>0</v>
      </c>
      <c r="L582" s="1" t="s">
        <v>40</v>
      </c>
      <c r="M582" s="1" t="s">
        <v>37</v>
      </c>
      <c r="N582" s="3">
        <v>2024010123</v>
      </c>
      <c r="O582" s="3">
        <f t="shared" si="81"/>
        <v>1.23</v>
      </c>
      <c r="P582" s="6">
        <f t="shared" si="82"/>
        <v>395661.48</v>
      </c>
      <c r="Q582" s="3" t="str">
        <f t="shared" si="83"/>
        <v>Excellent</v>
      </c>
      <c r="R582" s="3">
        <f t="shared" si="84"/>
        <v>4911</v>
      </c>
      <c r="S582" s="7">
        <f t="shared" si="85"/>
        <v>88398</v>
      </c>
      <c r="T582" s="3" t="str">
        <f t="shared" si="86"/>
        <v>High Profit</v>
      </c>
      <c r="U582" s="3" t="str">
        <f t="shared" si="87"/>
        <v>No Discount</v>
      </c>
      <c r="V582" s="3" t="str">
        <f t="shared" si="88"/>
        <v>Priority C</v>
      </c>
      <c r="W582">
        <f t="shared" si="89"/>
        <v>32167.600000000002</v>
      </c>
      <c r="X582" t="s">
        <v>23</v>
      </c>
      <c r="Y582" t="s">
        <v>23</v>
      </c>
      <c r="Z582" t="s">
        <v>23</v>
      </c>
      <c r="AA582" t="s">
        <v>23</v>
      </c>
      <c r="AB582" t="s">
        <v>23</v>
      </c>
      <c r="AC582" t="s">
        <v>23</v>
      </c>
      <c r="AD582" t="s">
        <v>23</v>
      </c>
      <c r="AE582" t="s">
        <v>23</v>
      </c>
      <c r="AF582" t="s">
        <v>23</v>
      </c>
      <c r="AG582" t="s">
        <v>23</v>
      </c>
      <c r="AH582" t="s">
        <v>23</v>
      </c>
      <c r="AI582" t="s">
        <v>23</v>
      </c>
      <c r="AJ582" t="s">
        <v>23</v>
      </c>
    </row>
    <row r="583" spans="1:36" x14ac:dyDescent="0.35">
      <c r="A583" s="2">
        <v>1581</v>
      </c>
      <c r="B583" s="4">
        <v>45128</v>
      </c>
      <c r="C583" s="1" t="s">
        <v>38</v>
      </c>
      <c r="D583" s="1" t="s">
        <v>31</v>
      </c>
      <c r="E583">
        <v>39646</v>
      </c>
      <c r="F583">
        <v>13</v>
      </c>
      <c r="G583" s="1" t="s">
        <v>39</v>
      </c>
      <c r="H583">
        <v>21139</v>
      </c>
      <c r="I583">
        <v>25786</v>
      </c>
      <c r="J583" s="1" t="s">
        <v>33</v>
      </c>
      <c r="K583" s="3">
        <v>4</v>
      </c>
      <c r="L583" s="1" t="s">
        <v>40</v>
      </c>
      <c r="M583" s="1" t="s">
        <v>37</v>
      </c>
      <c r="N583" s="3">
        <v>2024010123</v>
      </c>
      <c r="O583" s="3">
        <f t="shared" si="81"/>
        <v>1.23</v>
      </c>
      <c r="P583" s="6">
        <f t="shared" si="82"/>
        <v>48764.58</v>
      </c>
      <c r="Q583" s="3" t="str">
        <f t="shared" si="83"/>
        <v>Excellent</v>
      </c>
      <c r="R583" s="3">
        <f t="shared" si="84"/>
        <v>4647</v>
      </c>
      <c r="S583" s="7">
        <f t="shared" si="85"/>
        <v>60411</v>
      </c>
      <c r="T583" s="3" t="str">
        <f t="shared" si="86"/>
        <v>High Profit</v>
      </c>
      <c r="U583" s="3" t="str">
        <f t="shared" si="87"/>
        <v>Low Discount</v>
      </c>
      <c r="V583" s="3" t="str">
        <f t="shared" si="88"/>
        <v>Priority C</v>
      </c>
      <c r="W583">
        <f t="shared" si="89"/>
        <v>3964.6000000000004</v>
      </c>
      <c r="X583" t="s">
        <v>23</v>
      </c>
      <c r="Y583" t="s">
        <v>23</v>
      </c>
      <c r="Z583" t="s">
        <v>23</v>
      </c>
      <c r="AA583" t="s">
        <v>23</v>
      </c>
      <c r="AB583" t="s">
        <v>23</v>
      </c>
      <c r="AC583" t="s">
        <v>23</v>
      </c>
      <c r="AD583" t="s">
        <v>23</v>
      </c>
      <c r="AE583" t="s">
        <v>23</v>
      </c>
      <c r="AF583" t="s">
        <v>23</v>
      </c>
      <c r="AG583" t="s">
        <v>23</v>
      </c>
      <c r="AH583" t="s">
        <v>23</v>
      </c>
      <c r="AI583" t="s">
        <v>23</v>
      </c>
      <c r="AJ583" t="s">
        <v>23</v>
      </c>
    </row>
    <row r="584" spans="1:36" x14ac:dyDescent="0.35">
      <c r="A584" s="2">
        <v>1582</v>
      </c>
      <c r="B584" s="4">
        <v>45120</v>
      </c>
      <c r="C584" s="1" t="s">
        <v>30</v>
      </c>
      <c r="D584" s="1" t="s">
        <v>43</v>
      </c>
      <c r="E584">
        <v>117104</v>
      </c>
      <c r="F584">
        <v>18</v>
      </c>
      <c r="G584" s="1" t="s">
        <v>32</v>
      </c>
      <c r="H584">
        <v>40459</v>
      </c>
      <c r="I584">
        <v>46174</v>
      </c>
      <c r="J584" s="1" t="s">
        <v>33</v>
      </c>
      <c r="K584" s="3">
        <v>1</v>
      </c>
      <c r="L584" s="1" t="s">
        <v>36</v>
      </c>
      <c r="M584" s="1" t="s">
        <v>37</v>
      </c>
      <c r="N584" s="3">
        <v>2024010123</v>
      </c>
      <c r="O584" s="3">
        <f t="shared" si="81"/>
        <v>1.23</v>
      </c>
      <c r="P584" s="6">
        <f t="shared" si="82"/>
        <v>144037.91999999998</v>
      </c>
      <c r="Q584" s="3" t="str">
        <f t="shared" si="83"/>
        <v>Excellent</v>
      </c>
      <c r="R584" s="3">
        <f t="shared" si="84"/>
        <v>5715</v>
      </c>
      <c r="S584" s="7">
        <f t="shared" si="85"/>
        <v>102870</v>
      </c>
      <c r="T584" s="3" t="str">
        <f t="shared" si="86"/>
        <v>High Profit</v>
      </c>
      <c r="U584" s="3" t="str">
        <f t="shared" si="87"/>
        <v>Low Discount</v>
      </c>
      <c r="V584" s="3" t="str">
        <f t="shared" si="88"/>
        <v>Priority C</v>
      </c>
      <c r="W584">
        <f t="shared" si="89"/>
        <v>11710.400000000001</v>
      </c>
      <c r="X584" t="s">
        <v>23</v>
      </c>
      <c r="Y584" t="s">
        <v>23</v>
      </c>
      <c r="Z584" t="s">
        <v>23</v>
      </c>
      <c r="AA584" t="s">
        <v>23</v>
      </c>
      <c r="AB584" t="s">
        <v>23</v>
      </c>
      <c r="AC584" t="s">
        <v>23</v>
      </c>
      <c r="AD584" t="s">
        <v>23</v>
      </c>
      <c r="AE584" t="s">
        <v>23</v>
      </c>
      <c r="AF584" t="s">
        <v>23</v>
      </c>
      <c r="AG584" t="s">
        <v>23</v>
      </c>
      <c r="AH584" t="s">
        <v>23</v>
      </c>
      <c r="AI584" t="s">
        <v>23</v>
      </c>
      <c r="AJ584" t="s">
        <v>23</v>
      </c>
    </row>
    <row r="585" spans="1:36" x14ac:dyDescent="0.35">
      <c r="A585" s="2">
        <v>1583</v>
      </c>
      <c r="B585" s="4">
        <v>45027</v>
      </c>
      <c r="C585" s="1" t="s">
        <v>34</v>
      </c>
      <c r="D585" s="1" t="s">
        <v>43</v>
      </c>
      <c r="E585">
        <v>474922</v>
      </c>
      <c r="F585">
        <v>8</v>
      </c>
      <c r="G585" s="1" t="s">
        <v>39</v>
      </c>
      <c r="H585">
        <v>43934</v>
      </c>
      <c r="I585">
        <v>49140</v>
      </c>
      <c r="J585" s="1" t="s">
        <v>27</v>
      </c>
      <c r="K585" s="3">
        <v>10</v>
      </c>
      <c r="L585" s="1" t="s">
        <v>36</v>
      </c>
      <c r="M585" s="1" t="s">
        <v>29</v>
      </c>
      <c r="N585" s="3">
        <v>2024010123</v>
      </c>
      <c r="O585" s="3">
        <f t="shared" si="81"/>
        <v>1.23</v>
      </c>
      <c r="P585" s="6">
        <f t="shared" si="82"/>
        <v>584154.05999999994</v>
      </c>
      <c r="Q585" s="3" t="str">
        <f t="shared" si="83"/>
        <v>Excellent</v>
      </c>
      <c r="R585" s="3">
        <f t="shared" si="84"/>
        <v>5206</v>
      </c>
      <c r="S585" s="7">
        <f t="shared" si="85"/>
        <v>41648</v>
      </c>
      <c r="T585" s="3" t="str">
        <f t="shared" si="86"/>
        <v>High Profit</v>
      </c>
      <c r="U585" s="3" t="str">
        <f t="shared" si="87"/>
        <v>Medium Discount</v>
      </c>
      <c r="V585" s="3" t="str">
        <f t="shared" si="88"/>
        <v>Priority D</v>
      </c>
      <c r="W585">
        <f t="shared" si="89"/>
        <v>71238.3</v>
      </c>
      <c r="X585" t="s">
        <v>23</v>
      </c>
      <c r="Y585" t="s">
        <v>23</v>
      </c>
      <c r="Z585" t="s">
        <v>23</v>
      </c>
      <c r="AA585" t="s">
        <v>23</v>
      </c>
      <c r="AB585" t="s">
        <v>23</v>
      </c>
      <c r="AC585" t="s">
        <v>23</v>
      </c>
      <c r="AD585" t="s">
        <v>23</v>
      </c>
      <c r="AE585" t="s">
        <v>23</v>
      </c>
      <c r="AF585" t="s">
        <v>23</v>
      </c>
      <c r="AG585" t="s">
        <v>23</v>
      </c>
      <c r="AH585" t="s">
        <v>23</v>
      </c>
      <c r="AI585" t="s">
        <v>23</v>
      </c>
      <c r="AJ585" t="s">
        <v>23</v>
      </c>
    </row>
    <row r="586" spans="1:36" x14ac:dyDescent="0.35">
      <c r="A586" s="2">
        <v>1584</v>
      </c>
      <c r="B586" s="4">
        <v>45214</v>
      </c>
      <c r="C586" s="1" t="s">
        <v>24</v>
      </c>
      <c r="D586" s="1" t="s">
        <v>42</v>
      </c>
      <c r="E586">
        <v>450745</v>
      </c>
      <c r="F586">
        <v>18</v>
      </c>
      <c r="G586" s="1" t="s">
        <v>26</v>
      </c>
      <c r="H586">
        <v>25342</v>
      </c>
      <c r="I586">
        <v>31332</v>
      </c>
      <c r="J586" s="1" t="s">
        <v>27</v>
      </c>
      <c r="K586" s="3">
        <v>7</v>
      </c>
      <c r="L586" s="1" t="s">
        <v>36</v>
      </c>
      <c r="M586" s="1" t="s">
        <v>37</v>
      </c>
      <c r="N586" s="3">
        <v>2024010123</v>
      </c>
      <c r="O586" s="3">
        <f t="shared" si="81"/>
        <v>1.23</v>
      </c>
      <c r="P586" s="6">
        <f t="shared" si="82"/>
        <v>554416.35</v>
      </c>
      <c r="Q586" s="3" t="str">
        <f t="shared" si="83"/>
        <v>Excellent</v>
      </c>
      <c r="R586" s="3">
        <f t="shared" si="84"/>
        <v>5990</v>
      </c>
      <c r="S586" s="7">
        <f t="shared" si="85"/>
        <v>107820</v>
      </c>
      <c r="T586" s="3" t="str">
        <f t="shared" si="86"/>
        <v>High Profit</v>
      </c>
      <c r="U586" s="3" t="str">
        <f t="shared" si="87"/>
        <v>Medium Discount</v>
      </c>
      <c r="V586" s="3" t="str">
        <f t="shared" si="88"/>
        <v>Priority C</v>
      </c>
      <c r="W586">
        <f t="shared" si="89"/>
        <v>67611.75</v>
      </c>
      <c r="X586" t="s">
        <v>23</v>
      </c>
      <c r="Y586" t="s">
        <v>23</v>
      </c>
      <c r="Z586" t="s">
        <v>23</v>
      </c>
      <c r="AA586" t="s">
        <v>23</v>
      </c>
      <c r="AB586" t="s">
        <v>23</v>
      </c>
      <c r="AC586" t="s">
        <v>23</v>
      </c>
      <c r="AD586" t="s">
        <v>23</v>
      </c>
      <c r="AE586" t="s">
        <v>23</v>
      </c>
      <c r="AF586" t="s">
        <v>23</v>
      </c>
      <c r="AG586" t="s">
        <v>23</v>
      </c>
      <c r="AH586" t="s">
        <v>23</v>
      </c>
      <c r="AI586" t="s">
        <v>23</v>
      </c>
      <c r="AJ586" t="s">
        <v>23</v>
      </c>
    </row>
    <row r="587" spans="1:36" x14ac:dyDescent="0.35">
      <c r="A587" s="2">
        <v>1585</v>
      </c>
      <c r="B587" s="4">
        <v>45107</v>
      </c>
      <c r="C587" s="1" t="s">
        <v>34</v>
      </c>
      <c r="D587" s="1" t="s">
        <v>42</v>
      </c>
      <c r="E587">
        <v>960639</v>
      </c>
      <c r="F587">
        <v>18</v>
      </c>
      <c r="G587" s="1" t="s">
        <v>35</v>
      </c>
      <c r="H587">
        <v>20048</v>
      </c>
      <c r="I587">
        <v>23655</v>
      </c>
      <c r="J587" s="1" t="s">
        <v>27</v>
      </c>
      <c r="K587" s="3">
        <v>9</v>
      </c>
      <c r="L587" s="1" t="s">
        <v>28</v>
      </c>
      <c r="M587" s="1" t="s">
        <v>29</v>
      </c>
      <c r="N587" s="3">
        <v>2024010123</v>
      </c>
      <c r="O587" s="3">
        <f t="shared" si="81"/>
        <v>1.23</v>
      </c>
      <c r="P587" s="6">
        <f t="shared" si="82"/>
        <v>1181585.97</v>
      </c>
      <c r="Q587" s="3" t="str">
        <f t="shared" si="83"/>
        <v>Excellent</v>
      </c>
      <c r="R587" s="3">
        <f t="shared" si="84"/>
        <v>3607</v>
      </c>
      <c r="S587" s="7">
        <f t="shared" si="85"/>
        <v>64926</v>
      </c>
      <c r="T587" s="3" t="str">
        <f t="shared" si="86"/>
        <v>High Profit</v>
      </c>
      <c r="U587" s="3" t="str">
        <f t="shared" si="87"/>
        <v>Medium Discount</v>
      </c>
      <c r="V587" s="3" t="str">
        <f t="shared" si="88"/>
        <v>Priority C</v>
      </c>
      <c r="W587">
        <f t="shared" si="89"/>
        <v>144095.85</v>
      </c>
      <c r="X587" t="s">
        <v>23</v>
      </c>
      <c r="Y587" t="s">
        <v>23</v>
      </c>
      <c r="Z587" t="s">
        <v>23</v>
      </c>
      <c r="AA587" t="s">
        <v>23</v>
      </c>
      <c r="AB587" t="s">
        <v>23</v>
      </c>
      <c r="AC587" t="s">
        <v>23</v>
      </c>
      <c r="AD587" t="s">
        <v>23</v>
      </c>
      <c r="AE587" t="s">
        <v>23</v>
      </c>
      <c r="AF587" t="s">
        <v>23</v>
      </c>
      <c r="AG587" t="s">
        <v>23</v>
      </c>
      <c r="AH587" t="s">
        <v>23</v>
      </c>
      <c r="AI587" t="s">
        <v>23</v>
      </c>
      <c r="AJ587" t="s">
        <v>23</v>
      </c>
    </row>
    <row r="588" spans="1:36" x14ac:dyDescent="0.35">
      <c r="A588" s="2">
        <v>1586</v>
      </c>
      <c r="B588" s="4">
        <v>45098</v>
      </c>
      <c r="C588" s="1" t="s">
        <v>24</v>
      </c>
      <c r="D588" s="1" t="s">
        <v>43</v>
      </c>
      <c r="E588">
        <v>36907</v>
      </c>
      <c r="F588">
        <v>8</v>
      </c>
      <c r="G588" s="1" t="s">
        <v>32</v>
      </c>
      <c r="H588">
        <v>28805</v>
      </c>
      <c r="I588">
        <v>34784</v>
      </c>
      <c r="J588" s="1" t="s">
        <v>33</v>
      </c>
      <c r="K588" s="3">
        <v>20</v>
      </c>
      <c r="L588" s="1" t="s">
        <v>40</v>
      </c>
      <c r="M588" s="1" t="s">
        <v>37</v>
      </c>
      <c r="N588" s="3">
        <v>2024010123</v>
      </c>
      <c r="O588" s="3">
        <f t="shared" si="81"/>
        <v>1.23</v>
      </c>
      <c r="P588" s="6">
        <f t="shared" si="82"/>
        <v>45395.61</v>
      </c>
      <c r="Q588" s="3" t="str">
        <f t="shared" si="83"/>
        <v>Excellent</v>
      </c>
      <c r="R588" s="3">
        <f t="shared" si="84"/>
        <v>5979</v>
      </c>
      <c r="S588" s="7">
        <f t="shared" si="85"/>
        <v>47832</v>
      </c>
      <c r="T588" s="3" t="str">
        <f t="shared" si="86"/>
        <v>High Profit</v>
      </c>
      <c r="U588" s="3" t="str">
        <f t="shared" si="87"/>
        <v>High Discount</v>
      </c>
      <c r="V588" s="3" t="str">
        <f t="shared" si="88"/>
        <v>Priority C</v>
      </c>
      <c r="W588">
        <f t="shared" si="89"/>
        <v>3690.7000000000003</v>
      </c>
      <c r="X588" t="s">
        <v>23</v>
      </c>
      <c r="Y588" t="s">
        <v>23</v>
      </c>
      <c r="Z588" t="s">
        <v>23</v>
      </c>
      <c r="AA588" t="s">
        <v>23</v>
      </c>
      <c r="AB588" t="s">
        <v>23</v>
      </c>
      <c r="AC588" t="s">
        <v>23</v>
      </c>
      <c r="AD588" t="s">
        <v>23</v>
      </c>
      <c r="AE588" t="s">
        <v>23</v>
      </c>
      <c r="AF588" t="s">
        <v>23</v>
      </c>
      <c r="AG588" t="s">
        <v>23</v>
      </c>
      <c r="AH588" t="s">
        <v>23</v>
      </c>
      <c r="AI588" t="s">
        <v>23</v>
      </c>
      <c r="AJ588" t="s">
        <v>23</v>
      </c>
    </row>
    <row r="589" spans="1:36" x14ac:dyDescent="0.35">
      <c r="A589" s="2">
        <v>1587</v>
      </c>
      <c r="B589" s="4">
        <v>45268</v>
      </c>
      <c r="C589" s="1" t="s">
        <v>38</v>
      </c>
      <c r="D589" s="1" t="s">
        <v>42</v>
      </c>
      <c r="E589">
        <v>838757</v>
      </c>
      <c r="F589">
        <v>10</v>
      </c>
      <c r="G589" s="1" t="s">
        <v>35</v>
      </c>
      <c r="H589">
        <v>40743</v>
      </c>
      <c r="I589">
        <v>48572</v>
      </c>
      <c r="J589" s="1" t="s">
        <v>27</v>
      </c>
      <c r="K589" s="3">
        <v>26</v>
      </c>
      <c r="L589" s="1" t="s">
        <v>36</v>
      </c>
      <c r="M589" s="1" t="s">
        <v>29</v>
      </c>
      <c r="N589" s="3">
        <v>2024010123</v>
      </c>
      <c r="O589" s="3">
        <f t="shared" si="81"/>
        <v>1.23</v>
      </c>
      <c r="P589" s="6">
        <f t="shared" si="82"/>
        <v>1031671.11</v>
      </c>
      <c r="Q589" s="3" t="str">
        <f t="shared" si="83"/>
        <v>Excellent</v>
      </c>
      <c r="R589" s="3">
        <f t="shared" si="84"/>
        <v>7829</v>
      </c>
      <c r="S589" s="7">
        <f t="shared" si="85"/>
        <v>78290</v>
      </c>
      <c r="T589" s="3" t="str">
        <f t="shared" si="86"/>
        <v>High Profit</v>
      </c>
      <c r="U589" s="3" t="str">
        <f t="shared" si="87"/>
        <v>High Discount</v>
      </c>
      <c r="V589" s="3" t="str">
        <f t="shared" si="88"/>
        <v>Priority D</v>
      </c>
      <c r="W589">
        <f t="shared" si="89"/>
        <v>125813.54999999999</v>
      </c>
      <c r="X589" t="s">
        <v>23</v>
      </c>
      <c r="Y589" t="s">
        <v>23</v>
      </c>
      <c r="Z589" t="s">
        <v>23</v>
      </c>
      <c r="AA589" t="s">
        <v>23</v>
      </c>
      <c r="AB589" t="s">
        <v>23</v>
      </c>
      <c r="AC589" t="s">
        <v>23</v>
      </c>
      <c r="AD589" t="s">
        <v>23</v>
      </c>
      <c r="AE589" t="s">
        <v>23</v>
      </c>
      <c r="AF589" t="s">
        <v>23</v>
      </c>
      <c r="AG589" t="s">
        <v>23</v>
      </c>
      <c r="AH589" t="s">
        <v>23</v>
      </c>
      <c r="AI589" t="s">
        <v>23</v>
      </c>
      <c r="AJ589" t="s">
        <v>23</v>
      </c>
    </row>
    <row r="590" spans="1:36" x14ac:dyDescent="0.35">
      <c r="A590" s="2">
        <v>1588</v>
      </c>
      <c r="B590" s="4">
        <v>44978</v>
      </c>
      <c r="C590" s="1" t="s">
        <v>24</v>
      </c>
      <c r="D590" s="1" t="s">
        <v>31</v>
      </c>
      <c r="E590">
        <v>179275</v>
      </c>
      <c r="F590">
        <v>18</v>
      </c>
      <c r="G590" s="1" t="s">
        <v>26</v>
      </c>
      <c r="H590">
        <v>26592</v>
      </c>
      <c r="I590">
        <v>31140</v>
      </c>
      <c r="J590" s="1" t="s">
        <v>33</v>
      </c>
      <c r="K590" s="3">
        <v>18</v>
      </c>
      <c r="L590" s="1" t="s">
        <v>36</v>
      </c>
      <c r="M590" s="1" t="s">
        <v>37</v>
      </c>
      <c r="N590" s="3">
        <v>2024010123</v>
      </c>
      <c r="O590" s="3">
        <f t="shared" si="81"/>
        <v>1.23</v>
      </c>
      <c r="P590" s="6">
        <f t="shared" si="82"/>
        <v>220508.25</v>
      </c>
      <c r="Q590" s="3" t="str">
        <f t="shared" si="83"/>
        <v>Excellent</v>
      </c>
      <c r="R590" s="3">
        <f t="shared" si="84"/>
        <v>4548</v>
      </c>
      <c r="S590" s="7">
        <f t="shared" si="85"/>
        <v>81864</v>
      </c>
      <c r="T590" s="3" t="str">
        <f t="shared" si="86"/>
        <v>High Profit</v>
      </c>
      <c r="U590" s="3" t="str">
        <f t="shared" si="87"/>
        <v>High Discount</v>
      </c>
      <c r="V590" s="3" t="str">
        <f t="shared" si="88"/>
        <v>Priority C</v>
      </c>
      <c r="W590">
        <f t="shared" si="89"/>
        <v>17927.5</v>
      </c>
      <c r="X590" t="s">
        <v>23</v>
      </c>
      <c r="Y590" t="s">
        <v>23</v>
      </c>
      <c r="Z590" t="s">
        <v>23</v>
      </c>
      <c r="AA590" t="s">
        <v>23</v>
      </c>
      <c r="AB590" t="s">
        <v>23</v>
      </c>
      <c r="AC590" t="s">
        <v>23</v>
      </c>
      <c r="AD590" t="s">
        <v>23</v>
      </c>
      <c r="AE590" t="s">
        <v>23</v>
      </c>
      <c r="AF590" t="s">
        <v>23</v>
      </c>
      <c r="AG590" t="s">
        <v>23</v>
      </c>
      <c r="AH590" t="s">
        <v>23</v>
      </c>
      <c r="AI590" t="s">
        <v>23</v>
      </c>
      <c r="AJ590" t="s">
        <v>23</v>
      </c>
    </row>
    <row r="591" spans="1:36" x14ac:dyDescent="0.35">
      <c r="A591" s="2">
        <v>1589</v>
      </c>
      <c r="B591" s="4">
        <v>45258</v>
      </c>
      <c r="C591" s="1" t="s">
        <v>30</v>
      </c>
      <c r="D591" s="1" t="s">
        <v>25</v>
      </c>
      <c r="E591">
        <v>105472</v>
      </c>
      <c r="F591">
        <v>18</v>
      </c>
      <c r="G591" s="1" t="s">
        <v>35</v>
      </c>
      <c r="H591">
        <v>43683</v>
      </c>
      <c r="I591">
        <v>48179</v>
      </c>
      <c r="J591" s="1" t="s">
        <v>33</v>
      </c>
      <c r="K591" s="3">
        <v>17</v>
      </c>
      <c r="L591" s="1" t="s">
        <v>40</v>
      </c>
      <c r="M591" s="1" t="s">
        <v>37</v>
      </c>
      <c r="N591" s="3">
        <v>2024010123</v>
      </c>
      <c r="O591" s="3">
        <f t="shared" si="81"/>
        <v>1.23</v>
      </c>
      <c r="P591" s="6">
        <f t="shared" si="82"/>
        <v>129730.56</v>
      </c>
      <c r="Q591" s="3" t="str">
        <f t="shared" si="83"/>
        <v>Excellent</v>
      </c>
      <c r="R591" s="3">
        <f t="shared" si="84"/>
        <v>4496</v>
      </c>
      <c r="S591" s="7">
        <f t="shared" si="85"/>
        <v>80928</v>
      </c>
      <c r="T591" s="3" t="str">
        <f t="shared" si="86"/>
        <v>High Profit</v>
      </c>
      <c r="U591" s="3" t="str">
        <f t="shared" si="87"/>
        <v>High Discount</v>
      </c>
      <c r="V591" s="3" t="str">
        <f t="shared" si="88"/>
        <v>Priority C</v>
      </c>
      <c r="W591">
        <f t="shared" si="89"/>
        <v>10547.2</v>
      </c>
      <c r="X591" t="s">
        <v>23</v>
      </c>
      <c r="Y591" t="s">
        <v>23</v>
      </c>
      <c r="Z591" t="s">
        <v>23</v>
      </c>
      <c r="AA591" t="s">
        <v>23</v>
      </c>
      <c r="AB591" t="s">
        <v>23</v>
      </c>
      <c r="AC591" t="s">
        <v>23</v>
      </c>
      <c r="AD591" t="s">
        <v>23</v>
      </c>
      <c r="AE591" t="s">
        <v>23</v>
      </c>
      <c r="AF591" t="s">
        <v>23</v>
      </c>
      <c r="AG591" t="s">
        <v>23</v>
      </c>
      <c r="AH591" t="s">
        <v>23</v>
      </c>
      <c r="AI591" t="s">
        <v>23</v>
      </c>
      <c r="AJ591" t="s">
        <v>23</v>
      </c>
    </row>
    <row r="592" spans="1:36" x14ac:dyDescent="0.35">
      <c r="A592" s="2">
        <v>1590</v>
      </c>
      <c r="B592" s="4">
        <v>45014</v>
      </c>
      <c r="C592" s="1" t="s">
        <v>30</v>
      </c>
      <c r="D592" s="1" t="s">
        <v>43</v>
      </c>
      <c r="E592">
        <v>290967</v>
      </c>
      <c r="F592">
        <v>12</v>
      </c>
      <c r="G592" s="1" t="s">
        <v>32</v>
      </c>
      <c r="H592">
        <v>26684</v>
      </c>
      <c r="I592">
        <v>28290</v>
      </c>
      <c r="J592" s="1" t="s">
        <v>33</v>
      </c>
      <c r="K592" s="3">
        <v>0</v>
      </c>
      <c r="L592" s="1" t="s">
        <v>28</v>
      </c>
      <c r="M592" s="1" t="s">
        <v>37</v>
      </c>
      <c r="N592" s="3">
        <v>2024010123</v>
      </c>
      <c r="O592" s="3">
        <f t="shared" si="81"/>
        <v>1.23</v>
      </c>
      <c r="P592" s="6">
        <f t="shared" si="82"/>
        <v>357889.41</v>
      </c>
      <c r="Q592" s="3" t="str">
        <f t="shared" si="83"/>
        <v>Excellent</v>
      </c>
      <c r="R592" s="3">
        <f t="shared" si="84"/>
        <v>1606</v>
      </c>
      <c r="S592" s="7">
        <f t="shared" si="85"/>
        <v>19272</v>
      </c>
      <c r="T592" s="3" t="str">
        <f t="shared" si="86"/>
        <v>High Profit</v>
      </c>
      <c r="U592" s="3" t="str">
        <f t="shared" si="87"/>
        <v>No Discount</v>
      </c>
      <c r="V592" s="3" t="str">
        <f t="shared" si="88"/>
        <v>Priority C</v>
      </c>
      <c r="W592">
        <f t="shared" si="89"/>
        <v>29096.7</v>
      </c>
      <c r="X592" t="s">
        <v>23</v>
      </c>
      <c r="Y592" t="s">
        <v>23</v>
      </c>
      <c r="Z592" t="s">
        <v>23</v>
      </c>
      <c r="AA592" t="s">
        <v>23</v>
      </c>
      <c r="AB592" t="s">
        <v>23</v>
      </c>
      <c r="AC592" t="s">
        <v>23</v>
      </c>
      <c r="AD592" t="s">
        <v>23</v>
      </c>
      <c r="AE592" t="s">
        <v>23</v>
      </c>
      <c r="AF592" t="s">
        <v>23</v>
      </c>
      <c r="AG592" t="s">
        <v>23</v>
      </c>
      <c r="AH592" t="s">
        <v>23</v>
      </c>
      <c r="AI592" t="s">
        <v>23</v>
      </c>
      <c r="AJ592" t="s">
        <v>23</v>
      </c>
    </row>
    <row r="593" spans="1:36" x14ac:dyDescent="0.35">
      <c r="A593" s="2">
        <v>1591</v>
      </c>
      <c r="B593" s="4">
        <v>45044</v>
      </c>
      <c r="C593" s="1" t="s">
        <v>41</v>
      </c>
      <c r="D593" s="1" t="s">
        <v>43</v>
      </c>
      <c r="E593">
        <v>702254</v>
      </c>
      <c r="F593">
        <v>12</v>
      </c>
      <c r="G593" s="1" t="s">
        <v>26</v>
      </c>
      <c r="H593">
        <v>57510</v>
      </c>
      <c r="I593">
        <v>60864</v>
      </c>
      <c r="J593" s="1" t="s">
        <v>27</v>
      </c>
      <c r="K593" s="3">
        <v>1</v>
      </c>
      <c r="L593" s="1" t="s">
        <v>36</v>
      </c>
      <c r="M593" s="1" t="s">
        <v>37</v>
      </c>
      <c r="N593" s="3">
        <v>2024010123</v>
      </c>
      <c r="O593" s="3">
        <f t="shared" si="81"/>
        <v>1.23</v>
      </c>
      <c r="P593" s="6">
        <f t="shared" si="82"/>
        <v>863772.42</v>
      </c>
      <c r="Q593" s="3" t="str">
        <f t="shared" si="83"/>
        <v>Excellent</v>
      </c>
      <c r="R593" s="3">
        <f t="shared" si="84"/>
        <v>3354</v>
      </c>
      <c r="S593" s="7">
        <f t="shared" si="85"/>
        <v>40248</v>
      </c>
      <c r="T593" s="3" t="str">
        <f t="shared" si="86"/>
        <v>High Profit</v>
      </c>
      <c r="U593" s="3" t="str">
        <f t="shared" si="87"/>
        <v>Low Discount</v>
      </c>
      <c r="V593" s="3" t="str">
        <f t="shared" si="88"/>
        <v>Priority C</v>
      </c>
      <c r="W593">
        <f t="shared" si="89"/>
        <v>105338.09999999999</v>
      </c>
      <c r="X593" t="s">
        <v>23</v>
      </c>
      <c r="Y593" t="s">
        <v>23</v>
      </c>
      <c r="Z593" t="s">
        <v>23</v>
      </c>
      <c r="AA593" t="s">
        <v>23</v>
      </c>
      <c r="AB593" t="s">
        <v>23</v>
      </c>
      <c r="AC593" t="s">
        <v>23</v>
      </c>
      <c r="AD593" t="s">
        <v>23</v>
      </c>
      <c r="AE593" t="s">
        <v>23</v>
      </c>
      <c r="AF593" t="s">
        <v>23</v>
      </c>
      <c r="AG593" t="s">
        <v>23</v>
      </c>
      <c r="AH593" t="s">
        <v>23</v>
      </c>
      <c r="AI593" t="s">
        <v>23</v>
      </c>
      <c r="AJ593" t="s">
        <v>23</v>
      </c>
    </row>
    <row r="594" spans="1:36" x14ac:dyDescent="0.35">
      <c r="A594" s="2">
        <v>1592</v>
      </c>
      <c r="B594" s="4">
        <v>45104</v>
      </c>
      <c r="C594" s="1" t="s">
        <v>34</v>
      </c>
      <c r="D594" s="1" t="s">
        <v>25</v>
      </c>
      <c r="E594">
        <v>170031</v>
      </c>
      <c r="F594">
        <v>12</v>
      </c>
      <c r="G594" s="1" t="s">
        <v>35</v>
      </c>
      <c r="H594">
        <v>42496</v>
      </c>
      <c r="I594">
        <v>45343</v>
      </c>
      <c r="J594" s="1" t="s">
        <v>33</v>
      </c>
      <c r="K594" s="3">
        <v>2</v>
      </c>
      <c r="L594" s="1" t="s">
        <v>40</v>
      </c>
      <c r="M594" s="1" t="s">
        <v>37</v>
      </c>
      <c r="N594" s="3">
        <v>2024010123</v>
      </c>
      <c r="O594" s="3">
        <f t="shared" si="81"/>
        <v>1.23</v>
      </c>
      <c r="P594" s="6">
        <f t="shared" si="82"/>
        <v>209138.13</v>
      </c>
      <c r="Q594" s="3" t="str">
        <f t="shared" si="83"/>
        <v>Excellent</v>
      </c>
      <c r="R594" s="3">
        <f t="shared" si="84"/>
        <v>2847</v>
      </c>
      <c r="S594" s="7">
        <f t="shared" si="85"/>
        <v>34164</v>
      </c>
      <c r="T594" s="3" t="str">
        <f t="shared" si="86"/>
        <v>High Profit</v>
      </c>
      <c r="U594" s="3" t="str">
        <f t="shared" si="87"/>
        <v>Low Discount</v>
      </c>
      <c r="V594" s="3" t="str">
        <f t="shared" si="88"/>
        <v>Priority C</v>
      </c>
      <c r="W594">
        <f t="shared" si="89"/>
        <v>17003.100000000002</v>
      </c>
      <c r="X594" t="s">
        <v>23</v>
      </c>
      <c r="Y594" t="s">
        <v>23</v>
      </c>
      <c r="Z594" t="s">
        <v>23</v>
      </c>
      <c r="AA594" t="s">
        <v>23</v>
      </c>
      <c r="AB594" t="s">
        <v>23</v>
      </c>
      <c r="AC594" t="s">
        <v>23</v>
      </c>
      <c r="AD594" t="s">
        <v>23</v>
      </c>
      <c r="AE594" t="s">
        <v>23</v>
      </c>
      <c r="AF594" t="s">
        <v>23</v>
      </c>
      <c r="AG594" t="s">
        <v>23</v>
      </c>
      <c r="AH594" t="s">
        <v>23</v>
      </c>
      <c r="AI594" t="s">
        <v>23</v>
      </c>
      <c r="AJ594" t="s">
        <v>23</v>
      </c>
    </row>
    <row r="595" spans="1:36" x14ac:dyDescent="0.35">
      <c r="A595" s="2">
        <v>1593</v>
      </c>
      <c r="B595" s="4">
        <v>45191</v>
      </c>
      <c r="C595" s="1" t="s">
        <v>30</v>
      </c>
      <c r="D595" s="1" t="s">
        <v>25</v>
      </c>
      <c r="E595">
        <v>407479</v>
      </c>
      <c r="F595">
        <v>6</v>
      </c>
      <c r="G595" s="1" t="s">
        <v>26</v>
      </c>
      <c r="H595">
        <v>45139</v>
      </c>
      <c r="I595">
        <v>49810</v>
      </c>
      <c r="J595" s="1" t="s">
        <v>33</v>
      </c>
      <c r="K595" s="3">
        <v>7</v>
      </c>
      <c r="L595" s="1" t="s">
        <v>28</v>
      </c>
      <c r="M595" s="1" t="s">
        <v>37</v>
      </c>
      <c r="N595" s="3">
        <v>2024010123</v>
      </c>
      <c r="O595" s="3">
        <f t="shared" si="81"/>
        <v>1.23</v>
      </c>
      <c r="P595" s="6">
        <f t="shared" si="82"/>
        <v>501199.17</v>
      </c>
      <c r="Q595" s="3" t="str">
        <f t="shared" si="83"/>
        <v>Excellent</v>
      </c>
      <c r="R595" s="3">
        <f t="shared" si="84"/>
        <v>4671</v>
      </c>
      <c r="S595" s="7">
        <f t="shared" si="85"/>
        <v>28026</v>
      </c>
      <c r="T595" s="3" t="str">
        <f t="shared" si="86"/>
        <v>High Profit</v>
      </c>
      <c r="U595" s="3" t="str">
        <f t="shared" si="87"/>
        <v>Medium Discount</v>
      </c>
      <c r="V595" s="3" t="str">
        <f t="shared" si="88"/>
        <v>Priority C</v>
      </c>
      <c r="W595">
        <f t="shared" si="89"/>
        <v>40747.9</v>
      </c>
      <c r="X595" t="s">
        <v>23</v>
      </c>
      <c r="Y595" t="s">
        <v>23</v>
      </c>
      <c r="Z595" t="s">
        <v>23</v>
      </c>
      <c r="AA595" t="s">
        <v>23</v>
      </c>
      <c r="AB595" t="s">
        <v>23</v>
      </c>
      <c r="AC595" t="s">
        <v>23</v>
      </c>
      <c r="AD595" t="s">
        <v>23</v>
      </c>
      <c r="AE595" t="s">
        <v>23</v>
      </c>
      <c r="AF595" t="s">
        <v>23</v>
      </c>
      <c r="AG595" t="s">
        <v>23</v>
      </c>
      <c r="AH595" t="s">
        <v>23</v>
      </c>
      <c r="AI595" t="s">
        <v>23</v>
      </c>
      <c r="AJ595" t="s">
        <v>23</v>
      </c>
    </row>
    <row r="596" spans="1:36" x14ac:dyDescent="0.35">
      <c r="A596" s="2">
        <v>1594</v>
      </c>
      <c r="B596" s="4">
        <v>44949</v>
      </c>
      <c r="C596" s="1" t="s">
        <v>34</v>
      </c>
      <c r="D596" s="1" t="s">
        <v>42</v>
      </c>
      <c r="E596">
        <v>98463</v>
      </c>
      <c r="F596">
        <v>12</v>
      </c>
      <c r="G596" s="1" t="s">
        <v>35</v>
      </c>
      <c r="H596">
        <v>20806</v>
      </c>
      <c r="I596">
        <v>24950</v>
      </c>
      <c r="J596" s="1" t="s">
        <v>27</v>
      </c>
      <c r="K596" s="3">
        <v>11</v>
      </c>
      <c r="L596" s="1" t="s">
        <v>36</v>
      </c>
      <c r="M596" s="1" t="s">
        <v>37</v>
      </c>
      <c r="N596" s="3">
        <v>2024010123</v>
      </c>
      <c r="O596" s="3">
        <f t="shared" si="81"/>
        <v>1.23</v>
      </c>
      <c r="P596" s="6">
        <f t="shared" si="82"/>
        <v>121109.49</v>
      </c>
      <c r="Q596" s="3" t="str">
        <f t="shared" si="83"/>
        <v>Excellent</v>
      </c>
      <c r="R596" s="3">
        <f t="shared" si="84"/>
        <v>4144</v>
      </c>
      <c r="S596" s="7">
        <f t="shared" si="85"/>
        <v>49728</v>
      </c>
      <c r="T596" s="3" t="str">
        <f t="shared" si="86"/>
        <v>High Profit</v>
      </c>
      <c r="U596" s="3" t="str">
        <f t="shared" si="87"/>
        <v>Medium Discount</v>
      </c>
      <c r="V596" s="3" t="str">
        <f t="shared" si="88"/>
        <v>Priority C</v>
      </c>
      <c r="W596">
        <f t="shared" si="89"/>
        <v>14769.449999999999</v>
      </c>
      <c r="X596" t="s">
        <v>23</v>
      </c>
      <c r="Y596" t="s">
        <v>23</v>
      </c>
      <c r="Z596" t="s">
        <v>23</v>
      </c>
      <c r="AA596" t="s">
        <v>23</v>
      </c>
      <c r="AB596" t="s">
        <v>23</v>
      </c>
      <c r="AC596" t="s">
        <v>23</v>
      </c>
      <c r="AD596" t="s">
        <v>23</v>
      </c>
      <c r="AE596" t="s">
        <v>23</v>
      </c>
      <c r="AF596" t="s">
        <v>23</v>
      </c>
      <c r="AG596" t="s">
        <v>23</v>
      </c>
      <c r="AH596" t="s">
        <v>23</v>
      </c>
      <c r="AI596" t="s">
        <v>23</v>
      </c>
      <c r="AJ596" t="s">
        <v>23</v>
      </c>
    </row>
    <row r="597" spans="1:36" x14ac:dyDescent="0.35">
      <c r="A597" s="2">
        <v>1595</v>
      </c>
      <c r="B597" s="4">
        <v>44947</v>
      </c>
      <c r="C597" s="1" t="s">
        <v>38</v>
      </c>
      <c r="D597" s="1" t="s">
        <v>31</v>
      </c>
      <c r="E597">
        <v>853803</v>
      </c>
      <c r="F597">
        <v>12</v>
      </c>
      <c r="G597" s="1" t="s">
        <v>26</v>
      </c>
      <c r="H597">
        <v>44930</v>
      </c>
      <c r="I597">
        <v>48871</v>
      </c>
      <c r="J597" s="1" t="s">
        <v>27</v>
      </c>
      <c r="K597" s="3">
        <v>10</v>
      </c>
      <c r="L597" s="1" t="s">
        <v>40</v>
      </c>
      <c r="M597" s="1" t="s">
        <v>29</v>
      </c>
      <c r="N597" s="3">
        <v>2024010123</v>
      </c>
      <c r="O597" s="3">
        <f t="shared" si="81"/>
        <v>1.23</v>
      </c>
      <c r="P597" s="6">
        <f t="shared" si="82"/>
        <v>1050177.69</v>
      </c>
      <c r="Q597" s="3" t="str">
        <f t="shared" si="83"/>
        <v>Excellent</v>
      </c>
      <c r="R597" s="3">
        <f t="shared" si="84"/>
        <v>3941</v>
      </c>
      <c r="S597" s="7">
        <f t="shared" si="85"/>
        <v>47292</v>
      </c>
      <c r="T597" s="3" t="str">
        <f t="shared" si="86"/>
        <v>High Profit</v>
      </c>
      <c r="U597" s="3" t="str">
        <f t="shared" si="87"/>
        <v>Medium Discount</v>
      </c>
      <c r="V597" s="3" t="str">
        <f t="shared" si="88"/>
        <v>Priority D</v>
      </c>
      <c r="W597">
        <f t="shared" si="89"/>
        <v>128070.45</v>
      </c>
      <c r="X597" t="s">
        <v>23</v>
      </c>
      <c r="Y597" t="s">
        <v>23</v>
      </c>
      <c r="Z597" t="s">
        <v>23</v>
      </c>
      <c r="AA597" t="s">
        <v>23</v>
      </c>
      <c r="AB597" t="s">
        <v>23</v>
      </c>
      <c r="AC597" t="s">
        <v>23</v>
      </c>
      <c r="AD597" t="s">
        <v>23</v>
      </c>
      <c r="AE597" t="s">
        <v>23</v>
      </c>
      <c r="AF597" t="s">
        <v>23</v>
      </c>
      <c r="AG597" t="s">
        <v>23</v>
      </c>
      <c r="AH597" t="s">
        <v>23</v>
      </c>
      <c r="AI597" t="s">
        <v>23</v>
      </c>
      <c r="AJ597" t="s">
        <v>23</v>
      </c>
    </row>
    <row r="598" spans="1:36" x14ac:dyDescent="0.35">
      <c r="A598" s="2">
        <v>1596</v>
      </c>
      <c r="B598" s="4">
        <v>45269</v>
      </c>
      <c r="C598" s="1" t="s">
        <v>24</v>
      </c>
      <c r="D598" s="1" t="s">
        <v>31</v>
      </c>
      <c r="E598">
        <v>577115</v>
      </c>
      <c r="F598">
        <v>12</v>
      </c>
      <c r="G598" s="1" t="s">
        <v>35</v>
      </c>
      <c r="H598">
        <v>59627</v>
      </c>
      <c r="I598">
        <v>64303</v>
      </c>
      <c r="J598" s="1" t="s">
        <v>27</v>
      </c>
      <c r="K598" s="3">
        <v>24</v>
      </c>
      <c r="L598" s="1" t="s">
        <v>28</v>
      </c>
      <c r="M598" s="1" t="s">
        <v>29</v>
      </c>
      <c r="N598" s="3">
        <v>2024010123</v>
      </c>
      <c r="O598" s="3">
        <f t="shared" si="81"/>
        <v>1.23</v>
      </c>
      <c r="P598" s="6">
        <f t="shared" si="82"/>
        <v>709851.45</v>
      </c>
      <c r="Q598" s="3" t="str">
        <f t="shared" si="83"/>
        <v>Excellent</v>
      </c>
      <c r="R598" s="3">
        <f t="shared" si="84"/>
        <v>4676</v>
      </c>
      <c r="S598" s="7">
        <f t="shared" si="85"/>
        <v>56112</v>
      </c>
      <c r="T598" s="3" t="str">
        <f t="shared" si="86"/>
        <v>High Profit</v>
      </c>
      <c r="U598" s="3" t="str">
        <f t="shared" si="87"/>
        <v>High Discount</v>
      </c>
      <c r="V598" s="3" t="str">
        <f t="shared" si="88"/>
        <v>Priority D</v>
      </c>
      <c r="W598">
        <f t="shared" si="89"/>
        <v>86567.25</v>
      </c>
      <c r="X598" t="s">
        <v>23</v>
      </c>
      <c r="Y598" t="s">
        <v>23</v>
      </c>
      <c r="Z598" t="s">
        <v>23</v>
      </c>
      <c r="AA598" t="s">
        <v>23</v>
      </c>
      <c r="AB598" t="s">
        <v>23</v>
      </c>
      <c r="AC598" t="s">
        <v>23</v>
      </c>
      <c r="AD598" t="s">
        <v>23</v>
      </c>
      <c r="AE598" t="s">
        <v>23</v>
      </c>
      <c r="AF598" t="s">
        <v>23</v>
      </c>
      <c r="AG598" t="s">
        <v>23</v>
      </c>
      <c r="AH598" t="s">
        <v>23</v>
      </c>
      <c r="AI598" t="s">
        <v>23</v>
      </c>
      <c r="AJ598" t="s">
        <v>23</v>
      </c>
    </row>
    <row r="599" spans="1:36" x14ac:dyDescent="0.35">
      <c r="A599" s="2">
        <v>1597</v>
      </c>
      <c r="B599" s="4">
        <v>45212</v>
      </c>
      <c r="C599" s="1" t="s">
        <v>34</v>
      </c>
      <c r="D599" s="1" t="s">
        <v>42</v>
      </c>
      <c r="E599">
        <v>298215</v>
      </c>
      <c r="F599">
        <v>11</v>
      </c>
      <c r="G599" s="1" t="s">
        <v>32</v>
      </c>
      <c r="H599">
        <v>42305</v>
      </c>
      <c r="I599">
        <v>44971</v>
      </c>
      <c r="J599" s="1" t="s">
        <v>33</v>
      </c>
      <c r="K599" s="3">
        <v>19</v>
      </c>
      <c r="L599" s="1" t="s">
        <v>28</v>
      </c>
      <c r="M599" s="1" t="s">
        <v>37</v>
      </c>
      <c r="N599" s="3">
        <v>2024010123</v>
      </c>
      <c r="O599" s="3">
        <f t="shared" si="81"/>
        <v>1.23</v>
      </c>
      <c r="P599" s="6">
        <f t="shared" si="82"/>
        <v>366804.45</v>
      </c>
      <c r="Q599" s="3" t="str">
        <f t="shared" si="83"/>
        <v>Excellent</v>
      </c>
      <c r="R599" s="3">
        <f t="shared" si="84"/>
        <v>2666</v>
      </c>
      <c r="S599" s="7">
        <f t="shared" si="85"/>
        <v>29326</v>
      </c>
      <c r="T599" s="3" t="str">
        <f t="shared" si="86"/>
        <v>High Profit</v>
      </c>
      <c r="U599" s="3" t="str">
        <f t="shared" si="87"/>
        <v>High Discount</v>
      </c>
      <c r="V599" s="3" t="str">
        <f t="shared" si="88"/>
        <v>Priority C</v>
      </c>
      <c r="W599">
        <f t="shared" si="89"/>
        <v>29821.5</v>
      </c>
      <c r="X599" t="s">
        <v>23</v>
      </c>
      <c r="Y599" t="s">
        <v>23</v>
      </c>
      <c r="Z599" t="s">
        <v>23</v>
      </c>
      <c r="AA599" t="s">
        <v>23</v>
      </c>
      <c r="AB599" t="s">
        <v>23</v>
      </c>
      <c r="AC599" t="s">
        <v>23</v>
      </c>
      <c r="AD599" t="s">
        <v>23</v>
      </c>
      <c r="AE599" t="s">
        <v>23</v>
      </c>
      <c r="AF599" t="s">
        <v>23</v>
      </c>
      <c r="AG599" t="s">
        <v>23</v>
      </c>
      <c r="AH599" t="s">
        <v>23</v>
      </c>
      <c r="AI599" t="s">
        <v>23</v>
      </c>
      <c r="AJ599" t="s">
        <v>23</v>
      </c>
    </row>
    <row r="600" spans="1:36" x14ac:dyDescent="0.35">
      <c r="A600" s="2">
        <v>1598</v>
      </c>
      <c r="B600" s="4">
        <v>45000</v>
      </c>
      <c r="C600" s="1" t="s">
        <v>38</v>
      </c>
      <c r="D600" s="1" t="s">
        <v>43</v>
      </c>
      <c r="E600">
        <v>656360</v>
      </c>
      <c r="F600">
        <v>12</v>
      </c>
      <c r="G600" s="1" t="s">
        <v>26</v>
      </c>
      <c r="H600">
        <v>46264</v>
      </c>
      <c r="I600">
        <v>49265</v>
      </c>
      <c r="J600" s="1" t="s">
        <v>33</v>
      </c>
      <c r="K600" s="3">
        <v>16</v>
      </c>
      <c r="L600" s="1" t="s">
        <v>36</v>
      </c>
      <c r="M600" s="1" t="s">
        <v>29</v>
      </c>
      <c r="N600" s="3">
        <v>2024010123</v>
      </c>
      <c r="O600" s="3">
        <f t="shared" si="81"/>
        <v>1.23</v>
      </c>
      <c r="P600" s="6">
        <f t="shared" si="82"/>
        <v>807322.8</v>
      </c>
      <c r="Q600" s="3" t="str">
        <f t="shared" si="83"/>
        <v>Excellent</v>
      </c>
      <c r="R600" s="3">
        <f t="shared" si="84"/>
        <v>3001</v>
      </c>
      <c r="S600" s="7">
        <f t="shared" si="85"/>
        <v>36012</v>
      </c>
      <c r="T600" s="3" t="str">
        <f t="shared" si="86"/>
        <v>High Profit</v>
      </c>
      <c r="U600" s="3" t="str">
        <f t="shared" si="87"/>
        <v>High Discount</v>
      </c>
      <c r="V600" s="3" t="str">
        <f t="shared" si="88"/>
        <v>Priority D</v>
      </c>
      <c r="W600">
        <f t="shared" si="89"/>
        <v>65636</v>
      </c>
      <c r="X600" t="s">
        <v>23</v>
      </c>
      <c r="Y600" t="s">
        <v>23</v>
      </c>
      <c r="Z600" t="s">
        <v>23</v>
      </c>
      <c r="AA600" t="s">
        <v>23</v>
      </c>
      <c r="AB600" t="s">
        <v>23</v>
      </c>
      <c r="AC600" t="s">
        <v>23</v>
      </c>
      <c r="AD600" t="s">
        <v>23</v>
      </c>
      <c r="AE600" t="s">
        <v>23</v>
      </c>
      <c r="AF600" t="s">
        <v>23</v>
      </c>
      <c r="AG600" t="s">
        <v>23</v>
      </c>
      <c r="AH600" t="s">
        <v>23</v>
      </c>
      <c r="AI600" t="s">
        <v>23</v>
      </c>
      <c r="AJ600" t="s">
        <v>23</v>
      </c>
    </row>
    <row r="601" spans="1:36" x14ac:dyDescent="0.35">
      <c r="A601" s="2">
        <v>1599</v>
      </c>
      <c r="B601" s="4">
        <v>44979</v>
      </c>
      <c r="C601" s="1" t="s">
        <v>38</v>
      </c>
      <c r="D601" s="1" t="s">
        <v>43</v>
      </c>
      <c r="E601">
        <v>608264</v>
      </c>
      <c r="F601">
        <v>8</v>
      </c>
      <c r="G601" s="1" t="s">
        <v>35</v>
      </c>
      <c r="H601">
        <v>22521</v>
      </c>
      <c r="I601">
        <v>27349</v>
      </c>
      <c r="J601" s="1" t="s">
        <v>33</v>
      </c>
      <c r="K601" s="3">
        <v>24</v>
      </c>
      <c r="L601" s="1" t="s">
        <v>36</v>
      </c>
      <c r="M601" s="1" t="s">
        <v>37</v>
      </c>
      <c r="N601" s="3">
        <v>2024010123</v>
      </c>
      <c r="O601" s="3">
        <f t="shared" si="81"/>
        <v>1.23</v>
      </c>
      <c r="P601" s="6">
        <f t="shared" si="82"/>
        <v>748164.72</v>
      </c>
      <c r="Q601" s="3" t="str">
        <f t="shared" si="83"/>
        <v>Excellent</v>
      </c>
      <c r="R601" s="3">
        <f t="shared" si="84"/>
        <v>4828</v>
      </c>
      <c r="S601" s="7">
        <f t="shared" si="85"/>
        <v>38624</v>
      </c>
      <c r="T601" s="3" t="str">
        <f t="shared" si="86"/>
        <v>High Profit</v>
      </c>
      <c r="U601" s="3" t="str">
        <f t="shared" si="87"/>
        <v>High Discount</v>
      </c>
      <c r="V601" s="3" t="str">
        <f t="shared" si="88"/>
        <v>Priority C</v>
      </c>
      <c r="W601">
        <f t="shared" si="89"/>
        <v>60826.400000000001</v>
      </c>
      <c r="X601" t="s">
        <v>23</v>
      </c>
      <c r="Y601" t="s">
        <v>23</v>
      </c>
      <c r="Z601" t="s">
        <v>23</v>
      </c>
      <c r="AA601" t="s">
        <v>23</v>
      </c>
      <c r="AB601" t="s">
        <v>23</v>
      </c>
      <c r="AC601" t="s">
        <v>23</v>
      </c>
      <c r="AD601" t="s">
        <v>23</v>
      </c>
      <c r="AE601" t="s">
        <v>23</v>
      </c>
      <c r="AF601" t="s">
        <v>23</v>
      </c>
      <c r="AG601" t="s">
        <v>23</v>
      </c>
      <c r="AH601" t="s">
        <v>23</v>
      </c>
      <c r="AI601" t="s">
        <v>23</v>
      </c>
      <c r="AJ601" t="s">
        <v>23</v>
      </c>
    </row>
    <row r="602" spans="1:36" x14ac:dyDescent="0.35">
      <c r="A602" s="2">
        <v>1600</v>
      </c>
      <c r="B602" s="4">
        <v>45011</v>
      </c>
      <c r="C602" s="1" t="s">
        <v>34</v>
      </c>
      <c r="D602" s="1" t="s">
        <v>43</v>
      </c>
      <c r="E602">
        <v>860149</v>
      </c>
      <c r="F602">
        <v>12</v>
      </c>
      <c r="G602" s="1" t="s">
        <v>39</v>
      </c>
      <c r="H602">
        <v>12000</v>
      </c>
      <c r="I602">
        <v>23000</v>
      </c>
      <c r="J602" s="1" t="s">
        <v>27</v>
      </c>
      <c r="K602" s="3">
        <v>0</v>
      </c>
      <c r="L602" s="1" t="s">
        <v>40</v>
      </c>
      <c r="M602" s="1" t="s">
        <v>37</v>
      </c>
      <c r="N602" s="3">
        <v>2024010123</v>
      </c>
      <c r="O602" s="3">
        <f t="shared" si="81"/>
        <v>1.23</v>
      </c>
      <c r="P602" s="6">
        <f t="shared" si="82"/>
        <v>1057983.27</v>
      </c>
      <c r="Q602" s="3" t="str">
        <f t="shared" si="83"/>
        <v>Excellent</v>
      </c>
      <c r="R602" s="3">
        <f t="shared" si="84"/>
        <v>11000</v>
      </c>
      <c r="S602" s="7">
        <f t="shared" si="85"/>
        <v>132000</v>
      </c>
      <c r="T602" s="3" t="str">
        <f t="shared" si="86"/>
        <v>High Profit</v>
      </c>
      <c r="U602" s="3" t="str">
        <f t="shared" si="87"/>
        <v>No Discount</v>
      </c>
      <c r="V602" s="3" t="str">
        <f t="shared" si="88"/>
        <v>Priority C</v>
      </c>
      <c r="W602">
        <f t="shared" si="89"/>
        <v>129022.34999999999</v>
      </c>
      <c r="X602" t="s">
        <v>23</v>
      </c>
      <c r="Y602" t="s">
        <v>23</v>
      </c>
      <c r="Z602" t="s">
        <v>23</v>
      </c>
      <c r="AA602" t="s">
        <v>23</v>
      </c>
      <c r="AB602" t="s">
        <v>23</v>
      </c>
      <c r="AC602" t="s">
        <v>23</v>
      </c>
      <c r="AD602" t="s">
        <v>23</v>
      </c>
      <c r="AE602" t="s">
        <v>23</v>
      </c>
      <c r="AF602" t="s">
        <v>23</v>
      </c>
      <c r="AG602" t="s">
        <v>23</v>
      </c>
      <c r="AH602" t="s">
        <v>23</v>
      </c>
      <c r="AI602" t="s">
        <v>23</v>
      </c>
      <c r="AJ602" t="s">
        <v>23</v>
      </c>
    </row>
    <row r="603" spans="1:36" x14ac:dyDescent="0.35">
      <c r="A603" s="2">
        <v>1601</v>
      </c>
      <c r="B603" s="4">
        <v>45195</v>
      </c>
      <c r="C603" s="1" t="s">
        <v>34</v>
      </c>
      <c r="D603" s="1" t="s">
        <v>31</v>
      </c>
      <c r="E603">
        <v>726321</v>
      </c>
      <c r="F603">
        <v>15</v>
      </c>
      <c r="G603" s="1" t="s">
        <v>39</v>
      </c>
      <c r="H603">
        <v>26685</v>
      </c>
      <c r="I603">
        <v>37559</v>
      </c>
      <c r="J603" s="1" t="s">
        <v>27</v>
      </c>
      <c r="K603" s="3">
        <v>3</v>
      </c>
      <c r="L603" s="1" t="s">
        <v>40</v>
      </c>
      <c r="M603" s="1" t="s">
        <v>37</v>
      </c>
      <c r="N603" s="3">
        <v>2024010123</v>
      </c>
      <c r="O603" s="3">
        <f t="shared" si="81"/>
        <v>1.23</v>
      </c>
      <c r="P603" s="6">
        <f t="shared" si="82"/>
        <v>893374.83</v>
      </c>
      <c r="Q603" s="3" t="str">
        <f t="shared" si="83"/>
        <v>Excellent</v>
      </c>
      <c r="R603" s="3">
        <f t="shared" si="84"/>
        <v>10874</v>
      </c>
      <c r="S603" s="7">
        <f t="shared" si="85"/>
        <v>163110</v>
      </c>
      <c r="T603" s="3" t="str">
        <f t="shared" si="86"/>
        <v>High Profit</v>
      </c>
      <c r="U603" s="3" t="str">
        <f t="shared" si="87"/>
        <v>Low Discount</v>
      </c>
      <c r="V603" s="3" t="str">
        <f t="shared" si="88"/>
        <v>Priority C</v>
      </c>
      <c r="W603">
        <f t="shared" si="89"/>
        <v>108948.15</v>
      </c>
      <c r="X603" t="s">
        <v>23</v>
      </c>
      <c r="Y603" t="s">
        <v>23</v>
      </c>
      <c r="Z603" t="s">
        <v>23</v>
      </c>
      <c r="AA603" t="s">
        <v>23</v>
      </c>
      <c r="AB603" t="s">
        <v>23</v>
      </c>
      <c r="AC603" t="s">
        <v>23</v>
      </c>
      <c r="AD603" t="s">
        <v>23</v>
      </c>
      <c r="AE603" t="s">
        <v>23</v>
      </c>
      <c r="AF603" t="s">
        <v>23</v>
      </c>
      <c r="AG603" t="s">
        <v>23</v>
      </c>
      <c r="AH603" t="s">
        <v>23</v>
      </c>
      <c r="AI603" t="s">
        <v>23</v>
      </c>
      <c r="AJ603" t="s">
        <v>23</v>
      </c>
    </row>
    <row r="604" spans="1:36" x14ac:dyDescent="0.35">
      <c r="A604" s="2">
        <v>1602</v>
      </c>
      <c r="B604" s="4">
        <v>45157</v>
      </c>
      <c r="C604" s="1" t="s">
        <v>38</v>
      </c>
      <c r="D604" s="1" t="s">
        <v>42</v>
      </c>
      <c r="E604">
        <v>327007</v>
      </c>
      <c r="F604">
        <v>44</v>
      </c>
      <c r="G604" s="1" t="s">
        <v>39</v>
      </c>
      <c r="H604">
        <v>15372</v>
      </c>
      <c r="I604">
        <v>27267</v>
      </c>
      <c r="J604" s="1" t="s">
        <v>27</v>
      </c>
      <c r="K604" s="3">
        <v>2</v>
      </c>
      <c r="L604" s="1" t="s">
        <v>36</v>
      </c>
      <c r="M604" s="1" t="s">
        <v>29</v>
      </c>
      <c r="N604" s="3">
        <v>2024010123</v>
      </c>
      <c r="O604" s="3">
        <f t="shared" si="81"/>
        <v>1.23</v>
      </c>
      <c r="P604" s="6">
        <f t="shared" si="82"/>
        <v>402218.61</v>
      </c>
      <c r="Q604" s="3" t="str">
        <f t="shared" si="83"/>
        <v>Excellent</v>
      </c>
      <c r="R604" s="3">
        <f t="shared" si="84"/>
        <v>11895</v>
      </c>
      <c r="S604" s="7">
        <f t="shared" si="85"/>
        <v>523380</v>
      </c>
      <c r="T604" s="3" t="str">
        <f t="shared" si="86"/>
        <v>High Profit</v>
      </c>
      <c r="U604" s="3" t="str">
        <f t="shared" si="87"/>
        <v>Low Discount</v>
      </c>
      <c r="V604" s="3" t="str">
        <f t="shared" si="88"/>
        <v>Priority B</v>
      </c>
      <c r="W604">
        <f t="shared" si="89"/>
        <v>49051.049999999996</v>
      </c>
      <c r="X604" t="s">
        <v>23</v>
      </c>
      <c r="Y604" t="s">
        <v>23</v>
      </c>
      <c r="Z604" t="s">
        <v>23</v>
      </c>
      <c r="AA604" t="s">
        <v>23</v>
      </c>
      <c r="AB604" t="s">
        <v>23</v>
      </c>
      <c r="AC604" t="s">
        <v>23</v>
      </c>
      <c r="AD604" t="s">
        <v>23</v>
      </c>
      <c r="AE604" t="s">
        <v>23</v>
      </c>
      <c r="AF604" t="s">
        <v>23</v>
      </c>
      <c r="AG604" t="s">
        <v>23</v>
      </c>
      <c r="AH604" t="s">
        <v>23</v>
      </c>
      <c r="AI604" t="s">
        <v>23</v>
      </c>
      <c r="AJ604" t="s">
        <v>23</v>
      </c>
    </row>
    <row r="605" spans="1:36" x14ac:dyDescent="0.35">
      <c r="A605" s="2">
        <v>1603</v>
      </c>
      <c r="B605" s="4">
        <v>45155</v>
      </c>
      <c r="C605" s="1" t="s">
        <v>34</v>
      </c>
      <c r="D605" s="1" t="s">
        <v>42</v>
      </c>
      <c r="E605">
        <v>587069</v>
      </c>
      <c r="F605">
        <v>18</v>
      </c>
      <c r="G605" s="1" t="s">
        <v>35</v>
      </c>
      <c r="H605">
        <v>19938</v>
      </c>
      <c r="I605">
        <v>33061</v>
      </c>
      <c r="J605" s="1" t="s">
        <v>27</v>
      </c>
      <c r="K605" s="3">
        <v>12</v>
      </c>
      <c r="L605" s="1" t="s">
        <v>36</v>
      </c>
      <c r="M605" s="1" t="s">
        <v>37</v>
      </c>
      <c r="N605" s="3">
        <v>2024010123</v>
      </c>
      <c r="O605" s="3">
        <f t="shared" si="81"/>
        <v>1.23</v>
      </c>
      <c r="P605" s="6">
        <f t="shared" si="82"/>
        <v>722094.87</v>
      </c>
      <c r="Q605" s="3" t="str">
        <f t="shared" si="83"/>
        <v>Excellent</v>
      </c>
      <c r="R605" s="3">
        <f t="shared" si="84"/>
        <v>13123</v>
      </c>
      <c r="S605" s="7">
        <f t="shared" si="85"/>
        <v>236214</v>
      </c>
      <c r="T605" s="3" t="str">
        <f t="shared" si="86"/>
        <v>High Profit</v>
      </c>
      <c r="U605" s="3" t="str">
        <f t="shared" si="87"/>
        <v>Medium Discount</v>
      </c>
      <c r="V605" s="3" t="str">
        <f t="shared" si="88"/>
        <v>Priority C</v>
      </c>
      <c r="W605">
        <f t="shared" si="89"/>
        <v>88060.349999999991</v>
      </c>
      <c r="X605" t="s">
        <v>23</v>
      </c>
      <c r="Y605" t="s">
        <v>23</v>
      </c>
      <c r="Z605" t="s">
        <v>23</v>
      </c>
      <c r="AA605" t="s">
        <v>23</v>
      </c>
      <c r="AB605" t="s">
        <v>23</v>
      </c>
      <c r="AC605" t="s">
        <v>23</v>
      </c>
      <c r="AD605" t="s">
        <v>23</v>
      </c>
      <c r="AE605" t="s">
        <v>23</v>
      </c>
      <c r="AF605" t="s">
        <v>23</v>
      </c>
      <c r="AG605" t="s">
        <v>23</v>
      </c>
      <c r="AH605" t="s">
        <v>23</v>
      </c>
      <c r="AI605" t="s">
        <v>23</v>
      </c>
      <c r="AJ605" t="s">
        <v>23</v>
      </c>
    </row>
    <row r="606" spans="1:36" x14ac:dyDescent="0.35">
      <c r="A606" s="2">
        <v>1604</v>
      </c>
      <c r="B606" s="4">
        <v>45244</v>
      </c>
      <c r="C606" s="1" t="s">
        <v>34</v>
      </c>
      <c r="D606" s="1" t="s">
        <v>31</v>
      </c>
      <c r="E606">
        <v>440984</v>
      </c>
      <c r="F606">
        <v>28</v>
      </c>
      <c r="G606" s="1" t="s">
        <v>26</v>
      </c>
      <c r="H606">
        <v>17757</v>
      </c>
      <c r="I606">
        <v>24795</v>
      </c>
      <c r="J606" s="1" t="s">
        <v>33</v>
      </c>
      <c r="K606" s="3">
        <v>9</v>
      </c>
      <c r="L606" s="1" t="s">
        <v>28</v>
      </c>
      <c r="M606" s="1" t="s">
        <v>37</v>
      </c>
      <c r="N606" s="3">
        <v>2024010123</v>
      </c>
      <c r="O606" s="3">
        <f t="shared" si="81"/>
        <v>1.23</v>
      </c>
      <c r="P606" s="6">
        <f t="shared" si="82"/>
        <v>542410.31999999995</v>
      </c>
      <c r="Q606" s="3" t="str">
        <f t="shared" si="83"/>
        <v>Excellent</v>
      </c>
      <c r="R606" s="3">
        <f t="shared" si="84"/>
        <v>7038</v>
      </c>
      <c r="S606" s="7">
        <f t="shared" si="85"/>
        <v>197064</v>
      </c>
      <c r="T606" s="3" t="str">
        <f t="shared" si="86"/>
        <v>High Profit</v>
      </c>
      <c r="U606" s="3" t="str">
        <f t="shared" si="87"/>
        <v>Medium Discount</v>
      </c>
      <c r="V606" s="3" t="str">
        <f t="shared" si="88"/>
        <v>Priority C</v>
      </c>
      <c r="W606">
        <f t="shared" si="89"/>
        <v>44098.400000000001</v>
      </c>
      <c r="X606" t="s">
        <v>23</v>
      </c>
      <c r="Y606" t="s">
        <v>23</v>
      </c>
      <c r="Z606" t="s">
        <v>23</v>
      </c>
      <c r="AA606" t="s">
        <v>23</v>
      </c>
      <c r="AB606" t="s">
        <v>23</v>
      </c>
      <c r="AC606" t="s">
        <v>23</v>
      </c>
      <c r="AD606" t="s">
        <v>23</v>
      </c>
      <c r="AE606" t="s">
        <v>23</v>
      </c>
      <c r="AF606" t="s">
        <v>23</v>
      </c>
      <c r="AG606" t="s">
        <v>23</v>
      </c>
      <c r="AH606" t="s">
        <v>23</v>
      </c>
      <c r="AI606" t="s">
        <v>23</v>
      </c>
      <c r="AJ606" t="s">
        <v>23</v>
      </c>
    </row>
    <row r="607" spans="1:36" x14ac:dyDescent="0.35">
      <c r="A607" s="2">
        <v>1605</v>
      </c>
      <c r="B607" s="4">
        <v>45247</v>
      </c>
      <c r="C607" s="1" t="s">
        <v>38</v>
      </c>
      <c r="D607" s="1" t="s">
        <v>25</v>
      </c>
      <c r="E607">
        <v>284491</v>
      </c>
      <c r="F607">
        <v>26</v>
      </c>
      <c r="G607" s="1" t="s">
        <v>39</v>
      </c>
      <c r="H607">
        <v>20634</v>
      </c>
      <c r="I607">
        <v>34481</v>
      </c>
      <c r="J607" s="1" t="s">
        <v>27</v>
      </c>
      <c r="K607" s="3">
        <v>7</v>
      </c>
      <c r="L607" s="1" t="s">
        <v>28</v>
      </c>
      <c r="M607" s="1" t="s">
        <v>29</v>
      </c>
      <c r="N607" s="3">
        <v>2024010123</v>
      </c>
      <c r="O607" s="3">
        <f t="shared" si="81"/>
        <v>1.23</v>
      </c>
      <c r="P607" s="6">
        <f t="shared" si="82"/>
        <v>349923.93</v>
      </c>
      <c r="Q607" s="3" t="str">
        <f t="shared" si="83"/>
        <v>Excellent</v>
      </c>
      <c r="R607" s="3">
        <f t="shared" si="84"/>
        <v>13847</v>
      </c>
      <c r="S607" s="7">
        <f t="shared" si="85"/>
        <v>360022</v>
      </c>
      <c r="T607" s="3" t="str">
        <f t="shared" si="86"/>
        <v>High Profit</v>
      </c>
      <c r="U607" s="3" t="str">
        <f t="shared" si="87"/>
        <v>Medium Discount</v>
      </c>
      <c r="V607" s="3" t="str">
        <f t="shared" si="88"/>
        <v>Priority B</v>
      </c>
      <c r="W607">
        <f t="shared" si="89"/>
        <v>42673.65</v>
      </c>
      <c r="X607" t="s">
        <v>23</v>
      </c>
      <c r="Y607" t="s">
        <v>23</v>
      </c>
      <c r="Z607" t="s">
        <v>23</v>
      </c>
      <c r="AA607" t="s">
        <v>23</v>
      </c>
      <c r="AB607" t="s">
        <v>23</v>
      </c>
      <c r="AC607" t="s">
        <v>23</v>
      </c>
      <c r="AD607" t="s">
        <v>23</v>
      </c>
      <c r="AE607" t="s">
        <v>23</v>
      </c>
      <c r="AF607" t="s">
        <v>23</v>
      </c>
      <c r="AG607" t="s">
        <v>23</v>
      </c>
      <c r="AH607" t="s">
        <v>23</v>
      </c>
      <c r="AI607" t="s">
        <v>23</v>
      </c>
      <c r="AJ607" t="s">
        <v>23</v>
      </c>
    </row>
    <row r="608" spans="1:36" x14ac:dyDescent="0.35">
      <c r="A608" s="2">
        <v>1606</v>
      </c>
      <c r="B608" s="4">
        <v>45213</v>
      </c>
      <c r="C608" s="1" t="s">
        <v>24</v>
      </c>
      <c r="D608" s="1" t="s">
        <v>31</v>
      </c>
      <c r="E608">
        <v>170732</v>
      </c>
      <c r="F608">
        <v>20</v>
      </c>
      <c r="G608" s="1" t="s">
        <v>26</v>
      </c>
      <c r="H608">
        <v>26450</v>
      </c>
      <c r="I608">
        <v>39709</v>
      </c>
      <c r="J608" s="1" t="s">
        <v>27</v>
      </c>
      <c r="K608" s="3">
        <v>25</v>
      </c>
      <c r="L608" s="1" t="s">
        <v>40</v>
      </c>
      <c r="M608" s="1" t="s">
        <v>29</v>
      </c>
      <c r="N608" s="3">
        <v>2024010123</v>
      </c>
      <c r="O608" s="3">
        <f t="shared" si="81"/>
        <v>1.23</v>
      </c>
      <c r="P608" s="6">
        <f t="shared" si="82"/>
        <v>210000.36</v>
      </c>
      <c r="Q608" s="3" t="str">
        <f t="shared" si="83"/>
        <v>Excellent</v>
      </c>
      <c r="R608" s="3">
        <f t="shared" si="84"/>
        <v>13259</v>
      </c>
      <c r="S608" s="7">
        <f t="shared" si="85"/>
        <v>265180</v>
      </c>
      <c r="T608" s="3" t="str">
        <f t="shared" si="86"/>
        <v>High Profit</v>
      </c>
      <c r="U608" s="3" t="str">
        <f t="shared" si="87"/>
        <v>High Discount</v>
      </c>
      <c r="V608" s="3" t="str">
        <f t="shared" si="88"/>
        <v>Priority C</v>
      </c>
      <c r="W608">
        <f t="shared" si="89"/>
        <v>25609.8</v>
      </c>
      <c r="X608" t="s">
        <v>23</v>
      </c>
      <c r="Y608" t="s">
        <v>23</v>
      </c>
      <c r="Z608" t="s">
        <v>23</v>
      </c>
      <c r="AA608" t="s">
        <v>23</v>
      </c>
      <c r="AB608" t="s">
        <v>23</v>
      </c>
      <c r="AC608" t="s">
        <v>23</v>
      </c>
      <c r="AD608" t="s">
        <v>23</v>
      </c>
      <c r="AE608" t="s">
        <v>23</v>
      </c>
      <c r="AF608" t="s">
        <v>23</v>
      </c>
      <c r="AG608" t="s">
        <v>23</v>
      </c>
      <c r="AH608" t="s">
        <v>23</v>
      </c>
      <c r="AI608" t="s">
        <v>23</v>
      </c>
      <c r="AJ608" t="s">
        <v>23</v>
      </c>
    </row>
    <row r="609" spans="1:36" x14ac:dyDescent="0.35">
      <c r="A609" s="2">
        <v>1607</v>
      </c>
      <c r="B609" s="4">
        <v>45027</v>
      </c>
      <c r="C609" s="1" t="s">
        <v>38</v>
      </c>
      <c r="D609" s="1" t="s">
        <v>42</v>
      </c>
      <c r="E609">
        <v>170505</v>
      </c>
      <c r="F609">
        <v>42</v>
      </c>
      <c r="G609" s="1" t="s">
        <v>26</v>
      </c>
      <c r="H609">
        <v>29751</v>
      </c>
      <c r="I609">
        <v>42929</v>
      </c>
      <c r="J609" s="1" t="s">
        <v>27</v>
      </c>
      <c r="K609" s="3">
        <v>27</v>
      </c>
      <c r="L609" s="1" t="s">
        <v>36</v>
      </c>
      <c r="M609" s="1" t="s">
        <v>37</v>
      </c>
      <c r="N609" s="3">
        <v>2024010123</v>
      </c>
      <c r="O609" s="3">
        <f t="shared" si="81"/>
        <v>1.23</v>
      </c>
      <c r="P609" s="6">
        <f t="shared" si="82"/>
        <v>209721.15</v>
      </c>
      <c r="Q609" s="3" t="str">
        <f t="shared" si="83"/>
        <v>Excellent</v>
      </c>
      <c r="R609" s="3">
        <f t="shared" si="84"/>
        <v>13178</v>
      </c>
      <c r="S609" s="7">
        <f t="shared" si="85"/>
        <v>553476</v>
      </c>
      <c r="T609" s="3" t="str">
        <f t="shared" si="86"/>
        <v>High Profit</v>
      </c>
      <c r="U609" s="3" t="str">
        <f t="shared" si="87"/>
        <v>High Discount</v>
      </c>
      <c r="V609" s="3" t="str">
        <f t="shared" si="88"/>
        <v>Priority C</v>
      </c>
      <c r="W609">
        <f t="shared" si="89"/>
        <v>25575.75</v>
      </c>
      <c r="X609" t="s">
        <v>23</v>
      </c>
      <c r="Y609" t="s">
        <v>23</v>
      </c>
      <c r="Z609" t="s">
        <v>23</v>
      </c>
      <c r="AA609" t="s">
        <v>23</v>
      </c>
      <c r="AB609" t="s">
        <v>23</v>
      </c>
      <c r="AC609" t="s">
        <v>23</v>
      </c>
      <c r="AD609" t="s">
        <v>23</v>
      </c>
      <c r="AE609" t="s">
        <v>23</v>
      </c>
      <c r="AF609" t="s">
        <v>23</v>
      </c>
      <c r="AG609" t="s">
        <v>23</v>
      </c>
      <c r="AH609" t="s">
        <v>23</v>
      </c>
      <c r="AI609" t="s">
        <v>23</v>
      </c>
      <c r="AJ609" t="s">
        <v>23</v>
      </c>
    </row>
    <row r="610" spans="1:36" x14ac:dyDescent="0.35">
      <c r="A610" s="2">
        <v>1608</v>
      </c>
      <c r="B610" s="4">
        <v>45255</v>
      </c>
      <c r="C610" s="1" t="s">
        <v>38</v>
      </c>
      <c r="D610" s="1" t="s">
        <v>43</v>
      </c>
      <c r="E610">
        <v>501609</v>
      </c>
      <c r="F610">
        <v>21</v>
      </c>
      <c r="G610" s="1" t="s">
        <v>39</v>
      </c>
      <c r="H610">
        <v>17971</v>
      </c>
      <c r="I610">
        <v>24655</v>
      </c>
      <c r="J610" s="1" t="s">
        <v>33</v>
      </c>
      <c r="K610" s="3">
        <v>25</v>
      </c>
      <c r="L610" s="1" t="s">
        <v>40</v>
      </c>
      <c r="M610" s="1" t="s">
        <v>37</v>
      </c>
      <c r="N610" s="3">
        <v>2024010123</v>
      </c>
      <c r="O610" s="3">
        <f t="shared" si="81"/>
        <v>1.23</v>
      </c>
      <c r="P610" s="6">
        <f t="shared" si="82"/>
        <v>616979.06999999995</v>
      </c>
      <c r="Q610" s="3" t="str">
        <f t="shared" si="83"/>
        <v>Excellent</v>
      </c>
      <c r="R610" s="3">
        <f t="shared" si="84"/>
        <v>6684</v>
      </c>
      <c r="S610" s="7">
        <f t="shared" si="85"/>
        <v>140364</v>
      </c>
      <c r="T610" s="3" t="str">
        <f t="shared" si="86"/>
        <v>High Profit</v>
      </c>
      <c r="U610" s="3" t="str">
        <f t="shared" si="87"/>
        <v>High Discount</v>
      </c>
      <c r="V610" s="3" t="str">
        <f t="shared" si="88"/>
        <v>Priority B</v>
      </c>
      <c r="W610">
        <f t="shared" si="89"/>
        <v>50160.9</v>
      </c>
      <c r="X610" t="s">
        <v>23</v>
      </c>
      <c r="Y610" t="s">
        <v>23</v>
      </c>
      <c r="Z610" t="s">
        <v>23</v>
      </c>
      <c r="AA610" t="s">
        <v>23</v>
      </c>
      <c r="AB610" t="s">
        <v>23</v>
      </c>
      <c r="AC610" t="s">
        <v>23</v>
      </c>
      <c r="AD610" t="s">
        <v>23</v>
      </c>
      <c r="AE610" t="s">
        <v>23</v>
      </c>
      <c r="AF610" t="s">
        <v>23</v>
      </c>
      <c r="AG610" t="s">
        <v>23</v>
      </c>
      <c r="AH610" t="s">
        <v>23</v>
      </c>
      <c r="AI610" t="s">
        <v>23</v>
      </c>
      <c r="AJ610" t="s">
        <v>23</v>
      </c>
    </row>
    <row r="611" spans="1:36" x14ac:dyDescent="0.35">
      <c r="A611" s="2">
        <v>1609</v>
      </c>
      <c r="B611" s="4">
        <v>45106</v>
      </c>
      <c r="C611" s="1" t="s">
        <v>30</v>
      </c>
      <c r="D611" s="1" t="s">
        <v>31</v>
      </c>
      <c r="E611">
        <v>501017</v>
      </c>
      <c r="F611">
        <v>40</v>
      </c>
      <c r="G611" s="1" t="s">
        <v>26</v>
      </c>
      <c r="H611">
        <v>21095</v>
      </c>
      <c r="I611">
        <v>28823</v>
      </c>
      <c r="J611" s="1" t="s">
        <v>33</v>
      </c>
      <c r="K611" s="3">
        <v>22</v>
      </c>
      <c r="L611" s="1" t="s">
        <v>40</v>
      </c>
      <c r="M611" s="1" t="s">
        <v>37</v>
      </c>
      <c r="N611" s="3">
        <v>2024010123</v>
      </c>
      <c r="O611" s="3">
        <f t="shared" si="81"/>
        <v>1.23</v>
      </c>
      <c r="P611" s="6">
        <f t="shared" si="82"/>
        <v>616250.91</v>
      </c>
      <c r="Q611" s="3" t="str">
        <f t="shared" si="83"/>
        <v>Excellent</v>
      </c>
      <c r="R611" s="3">
        <f t="shared" si="84"/>
        <v>7728</v>
      </c>
      <c r="S611" s="7">
        <f t="shared" si="85"/>
        <v>309120</v>
      </c>
      <c r="T611" s="3" t="str">
        <f t="shared" si="86"/>
        <v>High Profit</v>
      </c>
      <c r="U611" s="3" t="str">
        <f t="shared" si="87"/>
        <v>High Discount</v>
      </c>
      <c r="V611" s="3" t="str">
        <f t="shared" si="88"/>
        <v>Priority C</v>
      </c>
      <c r="W611">
        <f t="shared" si="89"/>
        <v>50101.700000000004</v>
      </c>
      <c r="X611" t="s">
        <v>23</v>
      </c>
      <c r="Y611" t="s">
        <v>23</v>
      </c>
      <c r="Z611" t="s">
        <v>23</v>
      </c>
      <c r="AA611" t="s">
        <v>23</v>
      </c>
      <c r="AB611" t="s">
        <v>23</v>
      </c>
      <c r="AC611" t="s">
        <v>23</v>
      </c>
      <c r="AD611" t="s">
        <v>23</v>
      </c>
      <c r="AE611" t="s">
        <v>23</v>
      </c>
      <c r="AF611" t="s">
        <v>23</v>
      </c>
      <c r="AG611" t="s">
        <v>23</v>
      </c>
      <c r="AH611" t="s">
        <v>23</v>
      </c>
      <c r="AI611" t="s">
        <v>23</v>
      </c>
      <c r="AJ611" t="s">
        <v>23</v>
      </c>
    </row>
    <row r="612" spans="1:36" x14ac:dyDescent="0.35">
      <c r="A612" s="2">
        <v>1610</v>
      </c>
      <c r="B612" s="4">
        <v>44938</v>
      </c>
      <c r="C612" s="1" t="s">
        <v>30</v>
      </c>
      <c r="D612" s="1" t="s">
        <v>42</v>
      </c>
      <c r="E612">
        <v>491051</v>
      </c>
      <c r="F612">
        <v>18</v>
      </c>
      <c r="G612" s="1" t="s">
        <v>32</v>
      </c>
      <c r="H612">
        <v>28211</v>
      </c>
      <c r="I612">
        <v>32090</v>
      </c>
      <c r="J612" s="1" t="s">
        <v>27</v>
      </c>
      <c r="K612" s="3">
        <v>0</v>
      </c>
      <c r="L612" s="1" t="s">
        <v>28</v>
      </c>
      <c r="M612" s="1" t="s">
        <v>37</v>
      </c>
      <c r="N612" s="3">
        <v>2024010123</v>
      </c>
      <c r="O612" s="3">
        <f t="shared" si="81"/>
        <v>1.23</v>
      </c>
      <c r="P612" s="6">
        <f t="shared" si="82"/>
        <v>603992.73</v>
      </c>
      <c r="Q612" s="3" t="str">
        <f t="shared" si="83"/>
        <v>Excellent</v>
      </c>
      <c r="R612" s="3">
        <f t="shared" si="84"/>
        <v>3879</v>
      </c>
      <c r="S612" s="7">
        <f t="shared" si="85"/>
        <v>69822</v>
      </c>
      <c r="T612" s="3" t="str">
        <f t="shared" si="86"/>
        <v>High Profit</v>
      </c>
      <c r="U612" s="3" t="str">
        <f t="shared" si="87"/>
        <v>No Discount</v>
      </c>
      <c r="V612" s="3" t="str">
        <f t="shared" si="88"/>
        <v>Priority C</v>
      </c>
      <c r="W612">
        <f t="shared" si="89"/>
        <v>73657.649999999994</v>
      </c>
      <c r="X612" t="s">
        <v>23</v>
      </c>
      <c r="Y612" t="s">
        <v>23</v>
      </c>
      <c r="Z612" t="s">
        <v>23</v>
      </c>
      <c r="AA612" t="s">
        <v>23</v>
      </c>
      <c r="AB612" t="s">
        <v>23</v>
      </c>
      <c r="AC612" t="s">
        <v>23</v>
      </c>
      <c r="AD612" t="s">
        <v>23</v>
      </c>
      <c r="AE612" t="s">
        <v>23</v>
      </c>
      <c r="AF612" t="s">
        <v>23</v>
      </c>
      <c r="AG612" t="s">
        <v>23</v>
      </c>
      <c r="AH612" t="s">
        <v>23</v>
      </c>
      <c r="AI612" t="s">
        <v>23</v>
      </c>
      <c r="AJ612" t="s">
        <v>23</v>
      </c>
    </row>
    <row r="613" spans="1:36" x14ac:dyDescent="0.35">
      <c r="A613" s="2">
        <v>1611</v>
      </c>
      <c r="B613" s="4">
        <v>44964</v>
      </c>
      <c r="C613" s="1" t="s">
        <v>38</v>
      </c>
      <c r="D613" s="1" t="s">
        <v>42</v>
      </c>
      <c r="E613">
        <v>668570</v>
      </c>
      <c r="F613">
        <v>18</v>
      </c>
      <c r="G613" s="1" t="s">
        <v>39</v>
      </c>
      <c r="H613">
        <v>28827</v>
      </c>
      <c r="I613">
        <v>34674</v>
      </c>
      <c r="J613" s="1" t="s">
        <v>27</v>
      </c>
      <c r="K613" s="3">
        <v>3</v>
      </c>
      <c r="L613" s="1" t="s">
        <v>36</v>
      </c>
      <c r="M613" s="1" t="s">
        <v>37</v>
      </c>
      <c r="N613" s="3">
        <v>2024010123</v>
      </c>
      <c r="O613" s="3">
        <f t="shared" si="81"/>
        <v>1.23</v>
      </c>
      <c r="P613" s="6">
        <f t="shared" si="82"/>
        <v>822341.1</v>
      </c>
      <c r="Q613" s="3" t="str">
        <f t="shared" si="83"/>
        <v>Excellent</v>
      </c>
      <c r="R613" s="3">
        <f t="shared" si="84"/>
        <v>5847</v>
      </c>
      <c r="S613" s="7">
        <f t="shared" si="85"/>
        <v>105246</v>
      </c>
      <c r="T613" s="3" t="str">
        <f t="shared" si="86"/>
        <v>High Profit</v>
      </c>
      <c r="U613" s="3" t="str">
        <f t="shared" si="87"/>
        <v>Low Discount</v>
      </c>
      <c r="V613" s="3" t="str">
        <f t="shared" si="88"/>
        <v>Priority C</v>
      </c>
      <c r="W613">
        <f t="shared" si="89"/>
        <v>100285.5</v>
      </c>
      <c r="X613" t="s">
        <v>23</v>
      </c>
      <c r="Y613" t="s">
        <v>23</v>
      </c>
      <c r="Z613" t="s">
        <v>23</v>
      </c>
      <c r="AA613" t="s">
        <v>23</v>
      </c>
      <c r="AB613" t="s">
        <v>23</v>
      </c>
      <c r="AC613" t="s">
        <v>23</v>
      </c>
      <c r="AD613" t="s">
        <v>23</v>
      </c>
      <c r="AE613" t="s">
        <v>23</v>
      </c>
      <c r="AF613" t="s">
        <v>23</v>
      </c>
      <c r="AG613" t="s">
        <v>23</v>
      </c>
      <c r="AH613" t="s">
        <v>23</v>
      </c>
      <c r="AI613" t="s">
        <v>23</v>
      </c>
      <c r="AJ613" t="s">
        <v>23</v>
      </c>
    </row>
    <row r="614" spans="1:36" x14ac:dyDescent="0.35">
      <c r="A614" s="2">
        <v>1612</v>
      </c>
      <c r="B614" s="4">
        <v>44984</v>
      </c>
      <c r="C614" s="1" t="s">
        <v>34</v>
      </c>
      <c r="D614" s="1" t="s">
        <v>25</v>
      </c>
      <c r="E614">
        <v>526904</v>
      </c>
      <c r="F614">
        <v>18</v>
      </c>
      <c r="G614" s="1" t="s">
        <v>26</v>
      </c>
      <c r="H614">
        <v>17145</v>
      </c>
      <c r="I614">
        <v>24052</v>
      </c>
      <c r="J614" s="1" t="s">
        <v>33</v>
      </c>
      <c r="K614" s="3">
        <v>3</v>
      </c>
      <c r="L614" s="1" t="s">
        <v>28</v>
      </c>
      <c r="M614" s="1" t="s">
        <v>29</v>
      </c>
      <c r="N614" s="3">
        <v>2024010123</v>
      </c>
      <c r="O614" s="3">
        <f t="shared" si="81"/>
        <v>1.23</v>
      </c>
      <c r="P614" s="6">
        <f t="shared" si="82"/>
        <v>648091.92000000004</v>
      </c>
      <c r="Q614" s="3" t="str">
        <f t="shared" si="83"/>
        <v>Excellent</v>
      </c>
      <c r="R614" s="3">
        <f t="shared" si="84"/>
        <v>6907</v>
      </c>
      <c r="S614" s="7">
        <f t="shared" si="85"/>
        <v>124326</v>
      </c>
      <c r="T614" s="3" t="str">
        <f t="shared" si="86"/>
        <v>High Profit</v>
      </c>
      <c r="U614" s="3" t="str">
        <f t="shared" si="87"/>
        <v>Low Discount</v>
      </c>
      <c r="V614" s="3" t="str">
        <f t="shared" si="88"/>
        <v>Priority C</v>
      </c>
      <c r="W614">
        <f t="shared" si="89"/>
        <v>52690.400000000001</v>
      </c>
      <c r="X614" t="s">
        <v>23</v>
      </c>
      <c r="Y614" t="s">
        <v>23</v>
      </c>
      <c r="Z614" t="s">
        <v>23</v>
      </c>
      <c r="AA614" t="s">
        <v>23</v>
      </c>
      <c r="AB614" t="s">
        <v>23</v>
      </c>
      <c r="AC614" t="s">
        <v>23</v>
      </c>
      <c r="AD614" t="s">
        <v>23</v>
      </c>
      <c r="AE614" t="s">
        <v>23</v>
      </c>
      <c r="AF614" t="s">
        <v>23</v>
      </c>
      <c r="AG614" t="s">
        <v>23</v>
      </c>
      <c r="AH614" t="s">
        <v>23</v>
      </c>
      <c r="AI614" t="s">
        <v>23</v>
      </c>
      <c r="AJ614" t="s">
        <v>23</v>
      </c>
    </row>
    <row r="615" spans="1:36" x14ac:dyDescent="0.35">
      <c r="A615" s="2">
        <v>1613</v>
      </c>
      <c r="B615" s="4">
        <v>45092</v>
      </c>
      <c r="C615" s="1" t="s">
        <v>24</v>
      </c>
      <c r="D615" s="1" t="s">
        <v>43</v>
      </c>
      <c r="E615">
        <v>860291</v>
      </c>
      <c r="F615">
        <v>18</v>
      </c>
      <c r="G615" s="1" t="s">
        <v>32</v>
      </c>
      <c r="H615">
        <v>27064</v>
      </c>
      <c r="I615">
        <v>32957</v>
      </c>
      <c r="J615" s="1" t="s">
        <v>27</v>
      </c>
      <c r="K615" s="3">
        <v>13</v>
      </c>
      <c r="L615" s="1" t="s">
        <v>40</v>
      </c>
      <c r="M615" s="1" t="s">
        <v>29</v>
      </c>
      <c r="N615" s="3">
        <v>2024010123</v>
      </c>
      <c r="O615" s="3">
        <f t="shared" si="81"/>
        <v>1.23</v>
      </c>
      <c r="P615" s="6">
        <f t="shared" si="82"/>
        <v>1058157.93</v>
      </c>
      <c r="Q615" s="3" t="str">
        <f t="shared" si="83"/>
        <v>Excellent</v>
      </c>
      <c r="R615" s="3">
        <f t="shared" si="84"/>
        <v>5893</v>
      </c>
      <c r="S615" s="7">
        <f t="shared" si="85"/>
        <v>106074</v>
      </c>
      <c r="T615" s="3" t="str">
        <f t="shared" si="86"/>
        <v>High Profit</v>
      </c>
      <c r="U615" s="3" t="str">
        <f t="shared" si="87"/>
        <v>Medium Discount</v>
      </c>
      <c r="V615" s="3" t="str">
        <f t="shared" si="88"/>
        <v>Priority C</v>
      </c>
      <c r="W615">
        <f t="shared" si="89"/>
        <v>129043.65</v>
      </c>
      <c r="X615" t="s">
        <v>23</v>
      </c>
      <c r="Y615" t="s">
        <v>23</v>
      </c>
      <c r="Z615" t="s">
        <v>23</v>
      </c>
      <c r="AA615" t="s">
        <v>23</v>
      </c>
      <c r="AB615" t="s">
        <v>23</v>
      </c>
      <c r="AC615" t="s">
        <v>23</v>
      </c>
      <c r="AD615" t="s">
        <v>23</v>
      </c>
      <c r="AE615" t="s">
        <v>23</v>
      </c>
      <c r="AF615" t="s">
        <v>23</v>
      </c>
      <c r="AG615" t="s">
        <v>23</v>
      </c>
      <c r="AH615" t="s">
        <v>23</v>
      </c>
      <c r="AI615" t="s">
        <v>23</v>
      </c>
      <c r="AJ615" t="s">
        <v>23</v>
      </c>
    </row>
    <row r="616" spans="1:36" x14ac:dyDescent="0.35">
      <c r="A616" s="2">
        <v>1614</v>
      </c>
      <c r="B616" s="4">
        <v>45142</v>
      </c>
      <c r="C616" s="1" t="s">
        <v>30</v>
      </c>
      <c r="D616" s="1" t="s">
        <v>42</v>
      </c>
      <c r="E616">
        <v>261177</v>
      </c>
      <c r="F616">
        <v>14</v>
      </c>
      <c r="G616" s="1" t="s">
        <v>35</v>
      </c>
      <c r="H616">
        <v>42196</v>
      </c>
      <c r="I616">
        <v>47435</v>
      </c>
      <c r="J616" s="1" t="s">
        <v>27</v>
      </c>
      <c r="K616" s="3">
        <v>9</v>
      </c>
      <c r="L616" s="1" t="s">
        <v>36</v>
      </c>
      <c r="M616" s="1" t="s">
        <v>37</v>
      </c>
      <c r="N616" s="3">
        <v>2024010123</v>
      </c>
      <c r="O616" s="3">
        <f t="shared" si="81"/>
        <v>1.23</v>
      </c>
      <c r="P616" s="6">
        <f t="shared" si="82"/>
        <v>321247.71000000002</v>
      </c>
      <c r="Q616" s="3" t="str">
        <f t="shared" si="83"/>
        <v>Excellent</v>
      </c>
      <c r="R616" s="3">
        <f t="shared" si="84"/>
        <v>5239</v>
      </c>
      <c r="S616" s="7">
        <f t="shared" si="85"/>
        <v>73346</v>
      </c>
      <c r="T616" s="3" t="str">
        <f t="shared" si="86"/>
        <v>High Profit</v>
      </c>
      <c r="U616" s="3" t="str">
        <f t="shared" si="87"/>
        <v>Medium Discount</v>
      </c>
      <c r="V616" s="3" t="str">
        <f t="shared" si="88"/>
        <v>Priority C</v>
      </c>
      <c r="W616">
        <f t="shared" si="89"/>
        <v>39176.549999999996</v>
      </c>
      <c r="X616" t="s">
        <v>23</v>
      </c>
      <c r="Y616" t="s">
        <v>23</v>
      </c>
      <c r="Z616" t="s">
        <v>23</v>
      </c>
      <c r="AA616" t="s">
        <v>23</v>
      </c>
      <c r="AB616" t="s">
        <v>23</v>
      </c>
      <c r="AC616" t="s">
        <v>23</v>
      </c>
      <c r="AD616" t="s">
        <v>23</v>
      </c>
      <c r="AE616" t="s">
        <v>23</v>
      </c>
      <c r="AF616" t="s">
        <v>23</v>
      </c>
      <c r="AG616" t="s">
        <v>23</v>
      </c>
      <c r="AH616" t="s">
        <v>23</v>
      </c>
      <c r="AI616" t="s">
        <v>23</v>
      </c>
      <c r="AJ616" t="s">
        <v>23</v>
      </c>
    </row>
    <row r="617" spans="1:36" x14ac:dyDescent="0.35">
      <c r="A617" s="2">
        <v>1615</v>
      </c>
      <c r="B617" s="4">
        <v>45141</v>
      </c>
      <c r="C617" s="1" t="s">
        <v>41</v>
      </c>
      <c r="D617" s="1" t="s">
        <v>43</v>
      </c>
      <c r="E617">
        <v>833694</v>
      </c>
      <c r="F617">
        <v>18</v>
      </c>
      <c r="G617" s="1" t="s">
        <v>32</v>
      </c>
      <c r="H617">
        <v>30822</v>
      </c>
      <c r="I617">
        <v>37858</v>
      </c>
      <c r="J617" s="1" t="s">
        <v>33</v>
      </c>
      <c r="K617" s="3">
        <v>12</v>
      </c>
      <c r="L617" s="1" t="s">
        <v>36</v>
      </c>
      <c r="M617" s="1" t="s">
        <v>37</v>
      </c>
      <c r="N617" s="3">
        <v>2024010123</v>
      </c>
      <c r="O617" s="3">
        <f t="shared" si="81"/>
        <v>1.23</v>
      </c>
      <c r="P617" s="6">
        <f t="shared" si="82"/>
        <v>1025443.62</v>
      </c>
      <c r="Q617" s="3" t="str">
        <f t="shared" si="83"/>
        <v>Excellent</v>
      </c>
      <c r="R617" s="3">
        <f t="shared" si="84"/>
        <v>7036</v>
      </c>
      <c r="S617" s="7">
        <f t="shared" si="85"/>
        <v>126648</v>
      </c>
      <c r="T617" s="3" t="str">
        <f t="shared" si="86"/>
        <v>High Profit</v>
      </c>
      <c r="U617" s="3" t="str">
        <f t="shared" si="87"/>
        <v>Medium Discount</v>
      </c>
      <c r="V617" s="3" t="str">
        <f t="shared" si="88"/>
        <v>Priority C</v>
      </c>
      <c r="W617">
        <f t="shared" si="89"/>
        <v>83369.400000000009</v>
      </c>
      <c r="X617" t="s">
        <v>23</v>
      </c>
      <c r="Y617" t="s">
        <v>23</v>
      </c>
      <c r="Z617" t="s">
        <v>23</v>
      </c>
      <c r="AA617" t="s">
        <v>23</v>
      </c>
      <c r="AB617" t="s">
        <v>23</v>
      </c>
      <c r="AC617" t="s">
        <v>23</v>
      </c>
      <c r="AD617" t="s">
        <v>23</v>
      </c>
      <c r="AE617" t="s">
        <v>23</v>
      </c>
      <c r="AF617" t="s">
        <v>23</v>
      </c>
      <c r="AG617" t="s">
        <v>23</v>
      </c>
      <c r="AH617" t="s">
        <v>23</v>
      </c>
      <c r="AI617" t="s">
        <v>23</v>
      </c>
      <c r="AJ617" t="s">
        <v>23</v>
      </c>
    </row>
    <row r="618" spans="1:36" x14ac:dyDescent="0.35">
      <c r="A618" s="2">
        <v>1616</v>
      </c>
      <c r="B618" s="4">
        <v>45129</v>
      </c>
      <c r="C618" s="1" t="s">
        <v>41</v>
      </c>
      <c r="D618" s="1" t="s">
        <v>42</v>
      </c>
      <c r="E618">
        <v>984795</v>
      </c>
      <c r="F618">
        <v>18</v>
      </c>
      <c r="G618" s="1" t="s">
        <v>26</v>
      </c>
      <c r="H618">
        <v>43479</v>
      </c>
      <c r="I618">
        <v>47439</v>
      </c>
      <c r="J618" s="1" t="s">
        <v>27</v>
      </c>
      <c r="K618" s="3">
        <v>28</v>
      </c>
      <c r="L618" s="1" t="s">
        <v>28</v>
      </c>
      <c r="M618" s="1" t="s">
        <v>37</v>
      </c>
      <c r="N618" s="3">
        <v>2024010123</v>
      </c>
      <c r="O618" s="3">
        <f t="shared" si="81"/>
        <v>1.23</v>
      </c>
      <c r="P618" s="6">
        <f t="shared" si="82"/>
        <v>1211297.8500000001</v>
      </c>
      <c r="Q618" s="3" t="str">
        <f t="shared" si="83"/>
        <v>Excellent</v>
      </c>
      <c r="R618" s="3">
        <f t="shared" si="84"/>
        <v>3960</v>
      </c>
      <c r="S618" s="7">
        <f t="shared" si="85"/>
        <v>71280</v>
      </c>
      <c r="T618" s="3" t="str">
        <f t="shared" si="86"/>
        <v>High Profit</v>
      </c>
      <c r="U618" s="3" t="str">
        <f t="shared" si="87"/>
        <v>High Discount</v>
      </c>
      <c r="V618" s="3" t="str">
        <f t="shared" si="88"/>
        <v>Priority C</v>
      </c>
      <c r="W618">
        <f t="shared" si="89"/>
        <v>147719.25</v>
      </c>
      <c r="X618" t="s">
        <v>23</v>
      </c>
      <c r="Y618" t="s">
        <v>23</v>
      </c>
      <c r="Z618" t="s">
        <v>23</v>
      </c>
      <c r="AA618" t="s">
        <v>23</v>
      </c>
      <c r="AB618" t="s">
        <v>23</v>
      </c>
      <c r="AC618" t="s">
        <v>23</v>
      </c>
      <c r="AD618" t="s">
        <v>23</v>
      </c>
      <c r="AE618" t="s">
        <v>23</v>
      </c>
      <c r="AF618" t="s">
        <v>23</v>
      </c>
      <c r="AG618" t="s">
        <v>23</v>
      </c>
      <c r="AH618" t="s">
        <v>23</v>
      </c>
      <c r="AI618" t="s">
        <v>23</v>
      </c>
      <c r="AJ618" t="s">
        <v>23</v>
      </c>
    </row>
    <row r="619" spans="1:36" x14ac:dyDescent="0.35">
      <c r="A619" s="2">
        <v>1617</v>
      </c>
      <c r="B619" s="4">
        <v>45173</v>
      </c>
      <c r="C619" s="1" t="s">
        <v>24</v>
      </c>
      <c r="D619" s="1" t="s">
        <v>31</v>
      </c>
      <c r="E619">
        <v>507393</v>
      </c>
      <c r="F619">
        <v>18</v>
      </c>
      <c r="G619" s="1" t="s">
        <v>32</v>
      </c>
      <c r="H619">
        <v>17511</v>
      </c>
      <c r="I619">
        <v>21681</v>
      </c>
      <c r="J619" s="1" t="s">
        <v>27</v>
      </c>
      <c r="K619" s="3">
        <v>28</v>
      </c>
      <c r="L619" s="1" t="s">
        <v>40</v>
      </c>
      <c r="M619" s="1" t="s">
        <v>29</v>
      </c>
      <c r="N619" s="3">
        <v>2024010123</v>
      </c>
      <c r="O619" s="3">
        <f t="shared" si="81"/>
        <v>1.23</v>
      </c>
      <c r="P619" s="6">
        <f t="shared" si="82"/>
        <v>624093.39</v>
      </c>
      <c r="Q619" s="3" t="str">
        <f t="shared" si="83"/>
        <v>Excellent</v>
      </c>
      <c r="R619" s="3">
        <f t="shared" si="84"/>
        <v>4170</v>
      </c>
      <c r="S619" s="7">
        <f t="shared" si="85"/>
        <v>75060</v>
      </c>
      <c r="T619" s="3" t="str">
        <f t="shared" si="86"/>
        <v>High Profit</v>
      </c>
      <c r="U619" s="3" t="str">
        <f t="shared" si="87"/>
        <v>High Discount</v>
      </c>
      <c r="V619" s="3" t="str">
        <f t="shared" si="88"/>
        <v>Priority C</v>
      </c>
      <c r="W619">
        <f t="shared" si="89"/>
        <v>76108.95</v>
      </c>
      <c r="X619" t="s">
        <v>23</v>
      </c>
      <c r="Y619" t="s">
        <v>23</v>
      </c>
      <c r="Z619" t="s">
        <v>23</v>
      </c>
      <c r="AA619" t="s">
        <v>23</v>
      </c>
      <c r="AB619" t="s">
        <v>23</v>
      </c>
      <c r="AC619" t="s">
        <v>23</v>
      </c>
      <c r="AD619" t="s">
        <v>23</v>
      </c>
      <c r="AE619" t="s">
        <v>23</v>
      </c>
      <c r="AF619" t="s">
        <v>23</v>
      </c>
      <c r="AG619" t="s">
        <v>23</v>
      </c>
      <c r="AH619" t="s">
        <v>23</v>
      </c>
      <c r="AI619" t="s">
        <v>23</v>
      </c>
      <c r="AJ619" t="s">
        <v>23</v>
      </c>
    </row>
    <row r="620" spans="1:36" x14ac:dyDescent="0.35">
      <c r="A620" s="2">
        <v>1618</v>
      </c>
      <c r="B620" s="4">
        <v>44941</v>
      </c>
      <c r="C620" s="1" t="s">
        <v>38</v>
      </c>
      <c r="D620" s="1" t="s">
        <v>31</v>
      </c>
      <c r="E620">
        <v>650060</v>
      </c>
      <c r="F620">
        <v>18</v>
      </c>
      <c r="G620" s="1" t="s">
        <v>26</v>
      </c>
      <c r="H620">
        <v>28974</v>
      </c>
      <c r="I620">
        <v>34304</v>
      </c>
      <c r="J620" s="1" t="s">
        <v>27</v>
      </c>
      <c r="K620" s="3">
        <v>16</v>
      </c>
      <c r="L620" s="1" t="s">
        <v>36</v>
      </c>
      <c r="M620" s="1" t="s">
        <v>37</v>
      </c>
      <c r="N620" s="3">
        <v>2024010123</v>
      </c>
      <c r="O620" s="3">
        <f t="shared" si="81"/>
        <v>1.23</v>
      </c>
      <c r="P620" s="6">
        <f t="shared" si="82"/>
        <v>799573.8</v>
      </c>
      <c r="Q620" s="3" t="str">
        <f t="shared" si="83"/>
        <v>Excellent</v>
      </c>
      <c r="R620" s="3">
        <f t="shared" si="84"/>
        <v>5330</v>
      </c>
      <c r="S620" s="7">
        <f t="shared" si="85"/>
        <v>95940</v>
      </c>
      <c r="T620" s="3" t="str">
        <f t="shared" si="86"/>
        <v>High Profit</v>
      </c>
      <c r="U620" s="3" t="str">
        <f t="shared" si="87"/>
        <v>High Discount</v>
      </c>
      <c r="V620" s="3" t="str">
        <f t="shared" si="88"/>
        <v>Priority C</v>
      </c>
      <c r="W620">
        <f t="shared" si="89"/>
        <v>97509</v>
      </c>
      <c r="X620" t="s">
        <v>23</v>
      </c>
      <c r="Y620" t="s">
        <v>23</v>
      </c>
      <c r="Z620" t="s">
        <v>23</v>
      </c>
      <c r="AA620" t="s">
        <v>23</v>
      </c>
      <c r="AB620" t="s">
        <v>23</v>
      </c>
      <c r="AC620" t="s">
        <v>23</v>
      </c>
      <c r="AD620" t="s">
        <v>23</v>
      </c>
      <c r="AE620" t="s">
        <v>23</v>
      </c>
      <c r="AF620" t="s">
        <v>23</v>
      </c>
      <c r="AG620" t="s">
        <v>23</v>
      </c>
      <c r="AH620" t="s">
        <v>23</v>
      </c>
      <c r="AI620" t="s">
        <v>23</v>
      </c>
      <c r="AJ620" t="s">
        <v>23</v>
      </c>
    </row>
    <row r="621" spans="1:36" x14ac:dyDescent="0.35">
      <c r="A621" s="2">
        <v>1619</v>
      </c>
      <c r="B621" s="4">
        <v>45024</v>
      </c>
      <c r="C621" s="1" t="s">
        <v>38</v>
      </c>
      <c r="D621" s="1" t="s">
        <v>25</v>
      </c>
      <c r="E621">
        <v>904119</v>
      </c>
      <c r="F621">
        <v>18</v>
      </c>
      <c r="G621" s="1" t="s">
        <v>35</v>
      </c>
      <c r="H621">
        <v>24326</v>
      </c>
      <c r="I621">
        <v>28196</v>
      </c>
      <c r="J621" s="1" t="s">
        <v>27</v>
      </c>
      <c r="K621" s="3">
        <v>25</v>
      </c>
      <c r="L621" s="1" t="s">
        <v>28</v>
      </c>
      <c r="M621" s="1" t="s">
        <v>29</v>
      </c>
      <c r="N621" s="3">
        <v>2024010123</v>
      </c>
      <c r="O621" s="3">
        <f t="shared" si="81"/>
        <v>1.23</v>
      </c>
      <c r="P621" s="6">
        <f t="shared" si="82"/>
        <v>1112066.3699999999</v>
      </c>
      <c r="Q621" s="3" t="str">
        <f t="shared" si="83"/>
        <v>Excellent</v>
      </c>
      <c r="R621" s="3">
        <f t="shared" si="84"/>
        <v>3870</v>
      </c>
      <c r="S621" s="7">
        <f t="shared" si="85"/>
        <v>69660</v>
      </c>
      <c r="T621" s="3" t="str">
        <f t="shared" si="86"/>
        <v>High Profit</v>
      </c>
      <c r="U621" s="3" t="str">
        <f t="shared" si="87"/>
        <v>High Discount</v>
      </c>
      <c r="V621" s="3" t="str">
        <f t="shared" si="88"/>
        <v>Priority C</v>
      </c>
      <c r="W621">
        <f t="shared" si="89"/>
        <v>135617.85</v>
      </c>
      <c r="X621" t="s">
        <v>23</v>
      </c>
      <c r="Y621" t="s">
        <v>23</v>
      </c>
      <c r="Z621" t="s">
        <v>23</v>
      </c>
      <c r="AA621" t="s">
        <v>23</v>
      </c>
      <c r="AB621" t="s">
        <v>23</v>
      </c>
      <c r="AC621" t="s">
        <v>23</v>
      </c>
      <c r="AD621" t="s">
        <v>23</v>
      </c>
      <c r="AE621" t="s">
        <v>23</v>
      </c>
      <c r="AF621" t="s">
        <v>23</v>
      </c>
      <c r="AG621" t="s">
        <v>23</v>
      </c>
      <c r="AH621" t="s">
        <v>23</v>
      </c>
      <c r="AI621" t="s">
        <v>23</v>
      </c>
      <c r="AJ621" t="s">
        <v>23</v>
      </c>
    </row>
    <row r="622" spans="1:36" x14ac:dyDescent="0.35">
      <c r="A622" s="2">
        <v>1620</v>
      </c>
      <c r="B622" s="4">
        <v>45040</v>
      </c>
      <c r="C622" s="1" t="s">
        <v>24</v>
      </c>
      <c r="D622" s="1" t="s">
        <v>31</v>
      </c>
      <c r="E622">
        <v>856726</v>
      </c>
      <c r="F622">
        <v>12</v>
      </c>
      <c r="G622" s="1" t="s">
        <v>35</v>
      </c>
      <c r="H622">
        <v>23528</v>
      </c>
      <c r="I622">
        <v>26930</v>
      </c>
      <c r="J622" s="1" t="s">
        <v>33</v>
      </c>
      <c r="K622" s="3">
        <v>0</v>
      </c>
      <c r="L622" s="1" t="s">
        <v>28</v>
      </c>
      <c r="M622" s="1" t="s">
        <v>29</v>
      </c>
      <c r="N622" s="3">
        <v>2024010123</v>
      </c>
      <c r="O622" s="3">
        <f t="shared" si="81"/>
        <v>1.23</v>
      </c>
      <c r="P622" s="6">
        <f t="shared" si="82"/>
        <v>1053772.98</v>
      </c>
      <c r="Q622" s="3" t="str">
        <f t="shared" si="83"/>
        <v>Excellent</v>
      </c>
      <c r="R622" s="3">
        <f t="shared" si="84"/>
        <v>3402</v>
      </c>
      <c r="S622" s="7">
        <f t="shared" si="85"/>
        <v>40824</v>
      </c>
      <c r="T622" s="3" t="str">
        <f t="shared" si="86"/>
        <v>High Profit</v>
      </c>
      <c r="U622" s="3" t="str">
        <f t="shared" si="87"/>
        <v>No Discount</v>
      </c>
      <c r="V622" s="3" t="str">
        <f t="shared" si="88"/>
        <v>Priority D</v>
      </c>
      <c r="W622">
        <f t="shared" si="89"/>
        <v>85672.6</v>
      </c>
      <c r="X622" t="s">
        <v>23</v>
      </c>
      <c r="Y622" t="s">
        <v>23</v>
      </c>
      <c r="Z622" t="s">
        <v>23</v>
      </c>
      <c r="AA622" t="s">
        <v>23</v>
      </c>
      <c r="AB622" t="s">
        <v>23</v>
      </c>
      <c r="AC622" t="s">
        <v>23</v>
      </c>
      <c r="AD622" t="s">
        <v>23</v>
      </c>
      <c r="AE622" t="s">
        <v>23</v>
      </c>
      <c r="AF622" t="s">
        <v>23</v>
      </c>
      <c r="AG622" t="s">
        <v>23</v>
      </c>
      <c r="AH622" t="s">
        <v>23</v>
      </c>
      <c r="AI622" t="s">
        <v>23</v>
      </c>
      <c r="AJ622" t="s">
        <v>23</v>
      </c>
    </row>
    <row r="623" spans="1:36" x14ac:dyDescent="0.35">
      <c r="A623" s="2">
        <v>1621</v>
      </c>
      <c r="B623" s="4">
        <v>45155</v>
      </c>
      <c r="C623" s="1" t="s">
        <v>24</v>
      </c>
      <c r="D623" s="1" t="s">
        <v>25</v>
      </c>
      <c r="E623">
        <v>880638</v>
      </c>
      <c r="F623">
        <v>12</v>
      </c>
      <c r="G623" s="1" t="s">
        <v>39</v>
      </c>
      <c r="H623">
        <v>36051</v>
      </c>
      <c r="I623">
        <v>37743</v>
      </c>
      <c r="J623" s="1" t="s">
        <v>27</v>
      </c>
      <c r="K623" s="3">
        <v>1</v>
      </c>
      <c r="L623" s="1" t="s">
        <v>40</v>
      </c>
      <c r="M623" s="1" t="s">
        <v>37</v>
      </c>
      <c r="N623" s="3">
        <v>2024010123</v>
      </c>
      <c r="O623" s="3">
        <f t="shared" si="81"/>
        <v>1.23</v>
      </c>
      <c r="P623" s="6">
        <f t="shared" si="82"/>
        <v>1083184.74</v>
      </c>
      <c r="Q623" s="3" t="str">
        <f t="shared" si="83"/>
        <v>Excellent</v>
      </c>
      <c r="R623" s="3">
        <f t="shared" si="84"/>
        <v>1692</v>
      </c>
      <c r="S623" s="7">
        <f t="shared" si="85"/>
        <v>20304</v>
      </c>
      <c r="T623" s="3" t="str">
        <f t="shared" si="86"/>
        <v>High Profit</v>
      </c>
      <c r="U623" s="3" t="str">
        <f t="shared" si="87"/>
        <v>Low Discount</v>
      </c>
      <c r="V623" s="3" t="str">
        <f t="shared" si="88"/>
        <v>Priority C</v>
      </c>
      <c r="W623">
        <f t="shared" si="89"/>
        <v>132095.69999999998</v>
      </c>
      <c r="X623" t="s">
        <v>23</v>
      </c>
      <c r="Y623" t="s">
        <v>23</v>
      </c>
      <c r="Z623" t="s">
        <v>23</v>
      </c>
      <c r="AA623" t="s">
        <v>23</v>
      </c>
      <c r="AB623" t="s">
        <v>23</v>
      </c>
      <c r="AC623" t="s">
        <v>23</v>
      </c>
      <c r="AD623" t="s">
        <v>23</v>
      </c>
      <c r="AE623" t="s">
        <v>23</v>
      </c>
      <c r="AF623" t="s">
        <v>23</v>
      </c>
      <c r="AG623" t="s">
        <v>23</v>
      </c>
      <c r="AH623" t="s">
        <v>23</v>
      </c>
      <c r="AI623" t="s">
        <v>23</v>
      </c>
      <c r="AJ623" t="s">
        <v>23</v>
      </c>
    </row>
    <row r="624" spans="1:36" x14ac:dyDescent="0.35">
      <c r="A624" s="2">
        <v>1622</v>
      </c>
      <c r="B624" s="4">
        <v>44931</v>
      </c>
      <c r="C624" s="1" t="s">
        <v>34</v>
      </c>
      <c r="D624" s="1" t="s">
        <v>31</v>
      </c>
      <c r="E624">
        <v>788063</v>
      </c>
      <c r="F624">
        <v>12</v>
      </c>
      <c r="G624" s="1" t="s">
        <v>26</v>
      </c>
      <c r="H624">
        <v>50412</v>
      </c>
      <c r="I624">
        <v>52845</v>
      </c>
      <c r="J624" s="1" t="s">
        <v>33</v>
      </c>
      <c r="K624" s="3">
        <v>4</v>
      </c>
      <c r="L624" s="1" t="s">
        <v>28</v>
      </c>
      <c r="M624" s="1" t="s">
        <v>37</v>
      </c>
      <c r="N624" s="3">
        <v>2024010123</v>
      </c>
      <c r="O624" s="3">
        <f t="shared" si="81"/>
        <v>1.23</v>
      </c>
      <c r="P624" s="6">
        <f t="shared" si="82"/>
        <v>969317.49</v>
      </c>
      <c r="Q624" s="3" t="str">
        <f t="shared" si="83"/>
        <v>Excellent</v>
      </c>
      <c r="R624" s="3">
        <f t="shared" si="84"/>
        <v>2433</v>
      </c>
      <c r="S624" s="7">
        <f t="shared" si="85"/>
        <v>29196</v>
      </c>
      <c r="T624" s="3" t="str">
        <f t="shared" si="86"/>
        <v>High Profit</v>
      </c>
      <c r="U624" s="3" t="str">
        <f t="shared" si="87"/>
        <v>Low Discount</v>
      </c>
      <c r="V624" s="3" t="str">
        <f t="shared" si="88"/>
        <v>Priority C</v>
      </c>
      <c r="W624">
        <f t="shared" si="89"/>
        <v>78806.3</v>
      </c>
      <c r="X624" t="s">
        <v>23</v>
      </c>
      <c r="Y624" t="s">
        <v>23</v>
      </c>
      <c r="Z624" t="s">
        <v>23</v>
      </c>
      <c r="AA624" t="s">
        <v>23</v>
      </c>
      <c r="AB624" t="s">
        <v>23</v>
      </c>
      <c r="AC624" t="s">
        <v>23</v>
      </c>
      <c r="AD624" t="s">
        <v>23</v>
      </c>
      <c r="AE624" t="s">
        <v>23</v>
      </c>
      <c r="AF624" t="s">
        <v>23</v>
      </c>
      <c r="AG624" t="s">
        <v>23</v>
      </c>
      <c r="AH624" t="s">
        <v>23</v>
      </c>
      <c r="AI624" t="s">
        <v>23</v>
      </c>
      <c r="AJ624" t="s">
        <v>23</v>
      </c>
    </row>
    <row r="625" spans="1:36" x14ac:dyDescent="0.35">
      <c r="A625" s="2">
        <v>1623</v>
      </c>
      <c r="B625" s="4">
        <v>44929</v>
      </c>
      <c r="C625" s="1" t="s">
        <v>34</v>
      </c>
      <c r="D625" s="1" t="s">
        <v>42</v>
      </c>
      <c r="E625">
        <v>322683</v>
      </c>
      <c r="F625">
        <v>4</v>
      </c>
      <c r="G625" s="1" t="s">
        <v>39</v>
      </c>
      <c r="H625">
        <v>55787</v>
      </c>
      <c r="I625">
        <v>57781</v>
      </c>
      <c r="J625" s="1" t="s">
        <v>27</v>
      </c>
      <c r="K625" s="3">
        <v>6</v>
      </c>
      <c r="L625" s="1" t="s">
        <v>40</v>
      </c>
      <c r="M625" s="1" t="s">
        <v>37</v>
      </c>
      <c r="N625" s="3">
        <v>2024010123</v>
      </c>
      <c r="O625" s="3">
        <f t="shared" si="81"/>
        <v>1.23</v>
      </c>
      <c r="P625" s="6">
        <f t="shared" si="82"/>
        <v>396900.08999999997</v>
      </c>
      <c r="Q625" s="3" t="str">
        <f t="shared" si="83"/>
        <v>Excellent</v>
      </c>
      <c r="R625" s="3">
        <f t="shared" si="84"/>
        <v>1994</v>
      </c>
      <c r="S625" s="7">
        <f t="shared" si="85"/>
        <v>7976</v>
      </c>
      <c r="T625" s="3" t="str">
        <f t="shared" si="86"/>
        <v>High Profit</v>
      </c>
      <c r="U625" s="3" t="str">
        <f t="shared" si="87"/>
        <v>Medium Discount</v>
      </c>
      <c r="V625" s="3" t="str">
        <f t="shared" si="88"/>
        <v>Priority C</v>
      </c>
      <c r="W625">
        <f t="shared" si="89"/>
        <v>48402.45</v>
      </c>
      <c r="X625" t="s">
        <v>23</v>
      </c>
      <c r="Y625" t="s">
        <v>23</v>
      </c>
      <c r="Z625" t="s">
        <v>23</v>
      </c>
      <c r="AA625" t="s">
        <v>23</v>
      </c>
      <c r="AB625" t="s">
        <v>23</v>
      </c>
      <c r="AC625" t="s">
        <v>23</v>
      </c>
      <c r="AD625" t="s">
        <v>23</v>
      </c>
      <c r="AE625" t="s">
        <v>23</v>
      </c>
      <c r="AF625" t="s">
        <v>23</v>
      </c>
      <c r="AG625" t="s">
        <v>23</v>
      </c>
      <c r="AH625" t="s">
        <v>23</v>
      </c>
      <c r="AI625" t="s">
        <v>23</v>
      </c>
      <c r="AJ625" t="s">
        <v>23</v>
      </c>
    </row>
    <row r="626" spans="1:36" x14ac:dyDescent="0.35">
      <c r="A626" s="2">
        <v>1624</v>
      </c>
      <c r="B626" s="4">
        <v>44982</v>
      </c>
      <c r="C626" s="1" t="s">
        <v>24</v>
      </c>
      <c r="D626" s="1" t="s">
        <v>42</v>
      </c>
      <c r="E626">
        <v>575340</v>
      </c>
      <c r="F626">
        <v>12</v>
      </c>
      <c r="G626" s="1" t="s">
        <v>35</v>
      </c>
      <c r="H626">
        <v>27864</v>
      </c>
      <c r="I626">
        <v>32155</v>
      </c>
      <c r="J626" s="1" t="s">
        <v>27</v>
      </c>
      <c r="K626" s="3">
        <v>12</v>
      </c>
      <c r="L626" s="1" t="s">
        <v>40</v>
      </c>
      <c r="M626" s="1" t="s">
        <v>29</v>
      </c>
      <c r="N626" s="3">
        <v>2024010123</v>
      </c>
      <c r="O626" s="3">
        <f t="shared" si="81"/>
        <v>1.23</v>
      </c>
      <c r="P626" s="6">
        <f t="shared" si="82"/>
        <v>707668.2</v>
      </c>
      <c r="Q626" s="3" t="str">
        <f t="shared" si="83"/>
        <v>Excellent</v>
      </c>
      <c r="R626" s="3">
        <f t="shared" si="84"/>
        <v>4291</v>
      </c>
      <c r="S626" s="7">
        <f t="shared" si="85"/>
        <v>51492</v>
      </c>
      <c r="T626" s="3" t="str">
        <f t="shared" si="86"/>
        <v>High Profit</v>
      </c>
      <c r="U626" s="3" t="str">
        <f t="shared" si="87"/>
        <v>Medium Discount</v>
      </c>
      <c r="V626" s="3" t="str">
        <f t="shared" si="88"/>
        <v>Priority D</v>
      </c>
      <c r="W626">
        <f t="shared" si="89"/>
        <v>86301</v>
      </c>
      <c r="X626" t="s">
        <v>23</v>
      </c>
      <c r="Y626" t="s">
        <v>23</v>
      </c>
      <c r="Z626" t="s">
        <v>23</v>
      </c>
      <c r="AA626" t="s">
        <v>23</v>
      </c>
      <c r="AB626" t="s">
        <v>23</v>
      </c>
      <c r="AC626" t="s">
        <v>23</v>
      </c>
      <c r="AD626" t="s">
        <v>23</v>
      </c>
      <c r="AE626" t="s">
        <v>23</v>
      </c>
      <c r="AF626" t="s">
        <v>23</v>
      </c>
      <c r="AG626" t="s">
        <v>23</v>
      </c>
      <c r="AH626" t="s">
        <v>23</v>
      </c>
      <c r="AI626" t="s">
        <v>23</v>
      </c>
      <c r="AJ626" t="s">
        <v>23</v>
      </c>
    </row>
    <row r="627" spans="1:36" x14ac:dyDescent="0.35">
      <c r="A627" s="2">
        <v>1625</v>
      </c>
      <c r="B627" s="4">
        <v>45290</v>
      </c>
      <c r="C627" s="1" t="s">
        <v>38</v>
      </c>
      <c r="D627" s="1" t="s">
        <v>25</v>
      </c>
      <c r="E627">
        <v>722787</v>
      </c>
      <c r="F627">
        <v>12</v>
      </c>
      <c r="G627" s="1" t="s">
        <v>35</v>
      </c>
      <c r="H627">
        <v>35945</v>
      </c>
      <c r="I627">
        <v>39080</v>
      </c>
      <c r="J627" s="1" t="s">
        <v>33</v>
      </c>
      <c r="K627" s="3">
        <v>7</v>
      </c>
      <c r="L627" s="1" t="s">
        <v>40</v>
      </c>
      <c r="M627" s="1" t="s">
        <v>29</v>
      </c>
      <c r="N627" s="3">
        <v>2024010123</v>
      </c>
      <c r="O627" s="3">
        <f t="shared" si="81"/>
        <v>1.23</v>
      </c>
      <c r="P627" s="6">
        <f t="shared" si="82"/>
        <v>889028.01</v>
      </c>
      <c r="Q627" s="3" t="str">
        <f t="shared" si="83"/>
        <v>Excellent</v>
      </c>
      <c r="R627" s="3">
        <f t="shared" si="84"/>
        <v>3135</v>
      </c>
      <c r="S627" s="7">
        <f t="shared" si="85"/>
        <v>37620</v>
      </c>
      <c r="T627" s="3" t="str">
        <f t="shared" si="86"/>
        <v>High Profit</v>
      </c>
      <c r="U627" s="3" t="str">
        <f t="shared" si="87"/>
        <v>Medium Discount</v>
      </c>
      <c r="V627" s="3" t="str">
        <f t="shared" si="88"/>
        <v>Priority D</v>
      </c>
      <c r="W627">
        <f t="shared" si="89"/>
        <v>72278.7</v>
      </c>
      <c r="X627" t="s">
        <v>23</v>
      </c>
      <c r="Y627" t="s">
        <v>23</v>
      </c>
      <c r="Z627" t="s">
        <v>23</v>
      </c>
      <c r="AA627" t="s">
        <v>23</v>
      </c>
      <c r="AB627" t="s">
        <v>23</v>
      </c>
      <c r="AC627" t="s">
        <v>23</v>
      </c>
      <c r="AD627" t="s">
        <v>23</v>
      </c>
      <c r="AE627" t="s">
        <v>23</v>
      </c>
      <c r="AF627" t="s">
        <v>23</v>
      </c>
      <c r="AG627" t="s">
        <v>23</v>
      </c>
      <c r="AH627" t="s">
        <v>23</v>
      </c>
      <c r="AI627" t="s">
        <v>23</v>
      </c>
      <c r="AJ627" t="s">
        <v>23</v>
      </c>
    </row>
    <row r="628" spans="1:36" x14ac:dyDescent="0.35">
      <c r="A628" s="2">
        <v>1626</v>
      </c>
      <c r="B628" s="4">
        <v>45213</v>
      </c>
      <c r="C628" s="1" t="s">
        <v>34</v>
      </c>
      <c r="D628" s="1" t="s">
        <v>25</v>
      </c>
      <c r="E628">
        <v>151420</v>
      </c>
      <c r="F628">
        <v>6</v>
      </c>
      <c r="G628" s="1" t="s">
        <v>32</v>
      </c>
      <c r="H628">
        <v>55789</v>
      </c>
      <c r="I628">
        <v>58815</v>
      </c>
      <c r="J628" s="1" t="s">
        <v>33</v>
      </c>
      <c r="K628" s="3">
        <v>19</v>
      </c>
      <c r="L628" s="1" t="s">
        <v>36</v>
      </c>
      <c r="M628" s="1" t="s">
        <v>29</v>
      </c>
      <c r="N628" s="3">
        <v>2024010123</v>
      </c>
      <c r="O628" s="3">
        <f t="shared" si="81"/>
        <v>1.23</v>
      </c>
      <c r="P628" s="6">
        <f t="shared" si="82"/>
        <v>186246.6</v>
      </c>
      <c r="Q628" s="3" t="str">
        <f t="shared" si="83"/>
        <v>Excellent</v>
      </c>
      <c r="R628" s="3">
        <f t="shared" si="84"/>
        <v>3026</v>
      </c>
      <c r="S628" s="7">
        <f t="shared" si="85"/>
        <v>18156</v>
      </c>
      <c r="T628" s="3" t="str">
        <f t="shared" si="86"/>
        <v>High Profit</v>
      </c>
      <c r="U628" s="3" t="str">
        <f t="shared" si="87"/>
        <v>High Discount</v>
      </c>
      <c r="V628" s="3" t="str">
        <f t="shared" si="88"/>
        <v>Priority D</v>
      </c>
      <c r="W628">
        <f t="shared" si="89"/>
        <v>15142</v>
      </c>
      <c r="X628" t="s">
        <v>23</v>
      </c>
      <c r="Y628" t="s">
        <v>23</v>
      </c>
      <c r="Z628" t="s">
        <v>23</v>
      </c>
      <c r="AA628" t="s">
        <v>23</v>
      </c>
      <c r="AB628" t="s">
        <v>23</v>
      </c>
      <c r="AC628" t="s">
        <v>23</v>
      </c>
      <c r="AD628" t="s">
        <v>23</v>
      </c>
      <c r="AE628" t="s">
        <v>23</v>
      </c>
      <c r="AF628" t="s">
        <v>23</v>
      </c>
      <c r="AG628" t="s">
        <v>23</v>
      </c>
      <c r="AH628" t="s">
        <v>23</v>
      </c>
      <c r="AI628" t="s">
        <v>23</v>
      </c>
      <c r="AJ628" t="s">
        <v>23</v>
      </c>
    </row>
    <row r="629" spans="1:36" x14ac:dyDescent="0.35">
      <c r="A629" s="2">
        <v>1627</v>
      </c>
      <c r="B629" s="4">
        <v>45045</v>
      </c>
      <c r="C629" s="1" t="s">
        <v>34</v>
      </c>
      <c r="D629" s="1" t="s">
        <v>31</v>
      </c>
      <c r="E629">
        <v>412539</v>
      </c>
      <c r="F629">
        <v>4</v>
      </c>
      <c r="G629" s="1" t="s">
        <v>32</v>
      </c>
      <c r="H629">
        <v>50600</v>
      </c>
      <c r="I629">
        <v>55258</v>
      </c>
      <c r="J629" s="1" t="s">
        <v>33</v>
      </c>
      <c r="K629" s="3">
        <v>20</v>
      </c>
      <c r="L629" s="1" t="s">
        <v>40</v>
      </c>
      <c r="M629" s="1" t="s">
        <v>37</v>
      </c>
      <c r="N629" s="3">
        <v>2024010123</v>
      </c>
      <c r="O629" s="3">
        <f t="shared" si="81"/>
        <v>1.23</v>
      </c>
      <c r="P629" s="6">
        <f t="shared" si="82"/>
        <v>507422.97</v>
      </c>
      <c r="Q629" s="3" t="str">
        <f t="shared" si="83"/>
        <v>Excellent</v>
      </c>
      <c r="R629" s="3">
        <f t="shared" si="84"/>
        <v>4658</v>
      </c>
      <c r="S629" s="7">
        <f t="shared" si="85"/>
        <v>18632</v>
      </c>
      <c r="T629" s="3" t="str">
        <f t="shared" si="86"/>
        <v>High Profit</v>
      </c>
      <c r="U629" s="3" t="str">
        <f t="shared" si="87"/>
        <v>High Discount</v>
      </c>
      <c r="V629" s="3" t="str">
        <f t="shared" si="88"/>
        <v>Priority C</v>
      </c>
      <c r="W629">
        <f t="shared" si="89"/>
        <v>41253.9</v>
      </c>
      <c r="X629" t="s">
        <v>23</v>
      </c>
      <c r="Y629" t="s">
        <v>23</v>
      </c>
      <c r="Z629" t="s">
        <v>23</v>
      </c>
      <c r="AA629" t="s">
        <v>23</v>
      </c>
      <c r="AB629" t="s">
        <v>23</v>
      </c>
      <c r="AC629" t="s">
        <v>23</v>
      </c>
      <c r="AD629" t="s">
        <v>23</v>
      </c>
      <c r="AE629" t="s">
        <v>23</v>
      </c>
      <c r="AF629" t="s">
        <v>23</v>
      </c>
      <c r="AG629" t="s">
        <v>23</v>
      </c>
      <c r="AH629" t="s">
        <v>23</v>
      </c>
      <c r="AI629" t="s">
        <v>23</v>
      </c>
      <c r="AJ629" t="s">
        <v>23</v>
      </c>
    </row>
    <row r="630" spans="1:36" x14ac:dyDescent="0.35">
      <c r="A630" s="2">
        <v>1628</v>
      </c>
      <c r="B630" s="4">
        <v>45155</v>
      </c>
      <c r="C630" s="1" t="s">
        <v>34</v>
      </c>
      <c r="D630" s="1" t="s">
        <v>25</v>
      </c>
      <c r="E630">
        <v>397066</v>
      </c>
      <c r="F630">
        <v>12</v>
      </c>
      <c r="G630" s="1" t="s">
        <v>35</v>
      </c>
      <c r="H630">
        <v>21558</v>
      </c>
      <c r="I630">
        <v>23806</v>
      </c>
      <c r="J630" s="1" t="s">
        <v>33</v>
      </c>
      <c r="K630" s="3">
        <v>25</v>
      </c>
      <c r="L630" s="1" t="s">
        <v>40</v>
      </c>
      <c r="M630" s="1" t="s">
        <v>29</v>
      </c>
      <c r="N630" s="3">
        <v>2024010123</v>
      </c>
      <c r="O630" s="3">
        <f t="shared" si="81"/>
        <v>1.23</v>
      </c>
      <c r="P630" s="6">
        <f t="shared" si="82"/>
        <v>488391.18</v>
      </c>
      <c r="Q630" s="3" t="str">
        <f t="shared" si="83"/>
        <v>Excellent</v>
      </c>
      <c r="R630" s="3">
        <f t="shared" si="84"/>
        <v>2248</v>
      </c>
      <c r="S630" s="7">
        <f t="shared" si="85"/>
        <v>26976</v>
      </c>
      <c r="T630" s="3" t="str">
        <f t="shared" si="86"/>
        <v>High Profit</v>
      </c>
      <c r="U630" s="3" t="str">
        <f t="shared" si="87"/>
        <v>High Discount</v>
      </c>
      <c r="V630" s="3" t="str">
        <f t="shared" si="88"/>
        <v>Priority D</v>
      </c>
      <c r="W630">
        <f t="shared" si="89"/>
        <v>39706.600000000006</v>
      </c>
      <c r="X630" t="s">
        <v>23</v>
      </c>
      <c r="Y630" t="s">
        <v>23</v>
      </c>
      <c r="Z630" t="s">
        <v>23</v>
      </c>
      <c r="AA630" t="s">
        <v>23</v>
      </c>
      <c r="AB630" t="s">
        <v>23</v>
      </c>
      <c r="AC630" t="s">
        <v>23</v>
      </c>
      <c r="AD630" t="s">
        <v>23</v>
      </c>
      <c r="AE630" t="s">
        <v>23</v>
      </c>
      <c r="AF630" t="s">
        <v>23</v>
      </c>
      <c r="AG630" t="s">
        <v>23</v>
      </c>
      <c r="AH630" t="s">
        <v>23</v>
      </c>
      <c r="AI630" t="s">
        <v>23</v>
      </c>
      <c r="AJ630" t="s">
        <v>23</v>
      </c>
    </row>
    <row r="631" spans="1:36" x14ac:dyDescent="0.35">
      <c r="A631" s="2">
        <v>1629</v>
      </c>
      <c r="B631" s="4">
        <v>44971</v>
      </c>
      <c r="C631" s="1" t="s">
        <v>38</v>
      </c>
      <c r="D631" s="1" t="s">
        <v>43</v>
      </c>
      <c r="E631">
        <v>694957</v>
      </c>
      <c r="F631">
        <v>12</v>
      </c>
      <c r="G631" s="1" t="s">
        <v>32</v>
      </c>
      <c r="H631">
        <v>48064</v>
      </c>
      <c r="I631">
        <v>52861</v>
      </c>
      <c r="J631" s="1" t="s">
        <v>33</v>
      </c>
      <c r="K631" s="3">
        <v>27</v>
      </c>
      <c r="L631" s="1" t="s">
        <v>28</v>
      </c>
      <c r="M631" s="1" t="s">
        <v>29</v>
      </c>
      <c r="N631" s="3">
        <v>2024010123</v>
      </c>
      <c r="O631" s="3">
        <f t="shared" si="81"/>
        <v>1.23</v>
      </c>
      <c r="P631" s="6">
        <f t="shared" si="82"/>
        <v>854797.11</v>
      </c>
      <c r="Q631" s="3" t="str">
        <f t="shared" si="83"/>
        <v>Excellent</v>
      </c>
      <c r="R631" s="3">
        <f t="shared" si="84"/>
        <v>4797</v>
      </c>
      <c r="S631" s="7">
        <f t="shared" si="85"/>
        <v>57564</v>
      </c>
      <c r="T631" s="3" t="str">
        <f t="shared" si="86"/>
        <v>High Profit</v>
      </c>
      <c r="U631" s="3" t="str">
        <f t="shared" si="87"/>
        <v>High Discount</v>
      </c>
      <c r="V631" s="3" t="str">
        <f t="shared" si="88"/>
        <v>Priority D</v>
      </c>
      <c r="W631">
        <f t="shared" si="89"/>
        <v>69495.7</v>
      </c>
      <c r="X631" t="s">
        <v>23</v>
      </c>
      <c r="Y631" t="s">
        <v>23</v>
      </c>
      <c r="Z631" t="s">
        <v>23</v>
      </c>
      <c r="AA631" t="s">
        <v>23</v>
      </c>
      <c r="AB631" t="s">
        <v>23</v>
      </c>
      <c r="AC631" t="s">
        <v>23</v>
      </c>
      <c r="AD631" t="s">
        <v>23</v>
      </c>
      <c r="AE631" t="s">
        <v>23</v>
      </c>
      <c r="AF631" t="s">
        <v>23</v>
      </c>
      <c r="AG631" t="s">
        <v>23</v>
      </c>
      <c r="AH631" t="s">
        <v>23</v>
      </c>
      <c r="AI631" t="s">
        <v>23</v>
      </c>
      <c r="AJ631" t="s">
        <v>23</v>
      </c>
    </row>
    <row r="632" spans="1:36" x14ac:dyDescent="0.35">
      <c r="A632" s="2">
        <v>1630</v>
      </c>
      <c r="B632" s="4">
        <v>45188</v>
      </c>
      <c r="C632" s="1" t="s">
        <v>24</v>
      </c>
      <c r="D632" s="1" t="s">
        <v>31</v>
      </c>
      <c r="E632">
        <v>80606</v>
      </c>
      <c r="F632">
        <v>38</v>
      </c>
      <c r="G632" s="1" t="s">
        <v>26</v>
      </c>
      <c r="H632">
        <v>15076</v>
      </c>
      <c r="I632">
        <v>25276</v>
      </c>
      <c r="J632" s="1" t="s">
        <v>33</v>
      </c>
      <c r="K632" s="3">
        <v>0</v>
      </c>
      <c r="L632" s="1" t="s">
        <v>36</v>
      </c>
      <c r="M632" s="1" t="s">
        <v>37</v>
      </c>
      <c r="N632" s="3">
        <v>2024010123</v>
      </c>
      <c r="O632" s="3">
        <f t="shared" si="81"/>
        <v>1.23</v>
      </c>
      <c r="P632" s="6">
        <f t="shared" si="82"/>
        <v>99145.38</v>
      </c>
      <c r="Q632" s="3" t="str">
        <f t="shared" si="83"/>
        <v>Excellent</v>
      </c>
      <c r="R632" s="3">
        <f t="shared" si="84"/>
        <v>10200</v>
      </c>
      <c r="S632" s="7">
        <f t="shared" si="85"/>
        <v>387600</v>
      </c>
      <c r="T632" s="3" t="str">
        <f t="shared" si="86"/>
        <v>High Profit</v>
      </c>
      <c r="U632" s="3" t="str">
        <f t="shared" si="87"/>
        <v>No Discount</v>
      </c>
      <c r="V632" s="3" t="str">
        <f t="shared" si="88"/>
        <v>Priority C</v>
      </c>
      <c r="W632">
        <f t="shared" si="89"/>
        <v>8060.6</v>
      </c>
      <c r="X632" t="s">
        <v>23</v>
      </c>
      <c r="Y632" t="s">
        <v>23</v>
      </c>
      <c r="Z632" t="s">
        <v>23</v>
      </c>
      <c r="AA632" t="s">
        <v>23</v>
      </c>
      <c r="AB632" t="s">
        <v>23</v>
      </c>
      <c r="AC632" t="s">
        <v>23</v>
      </c>
      <c r="AD632" t="s">
        <v>23</v>
      </c>
      <c r="AE632" t="s">
        <v>23</v>
      </c>
      <c r="AF632" t="s">
        <v>23</v>
      </c>
      <c r="AG632" t="s">
        <v>23</v>
      </c>
      <c r="AH632" t="s">
        <v>23</v>
      </c>
      <c r="AI632" t="s">
        <v>23</v>
      </c>
      <c r="AJ632" t="s">
        <v>23</v>
      </c>
    </row>
    <row r="633" spans="1:36" x14ac:dyDescent="0.35">
      <c r="A633" s="2">
        <v>1631</v>
      </c>
      <c r="B633" s="4">
        <v>45007</v>
      </c>
      <c r="C633" s="1" t="s">
        <v>41</v>
      </c>
      <c r="D633" s="1" t="s">
        <v>42</v>
      </c>
      <c r="E633">
        <v>334158</v>
      </c>
      <c r="F633">
        <v>36</v>
      </c>
      <c r="G633" s="1" t="s">
        <v>35</v>
      </c>
      <c r="H633">
        <v>26136</v>
      </c>
      <c r="I633">
        <v>39458</v>
      </c>
      <c r="J633" s="1" t="s">
        <v>33</v>
      </c>
      <c r="K633" s="3">
        <v>1</v>
      </c>
      <c r="L633" s="1" t="s">
        <v>36</v>
      </c>
      <c r="M633" s="1" t="s">
        <v>37</v>
      </c>
      <c r="N633" s="3">
        <v>2024010123</v>
      </c>
      <c r="O633" s="3">
        <f t="shared" si="81"/>
        <v>1.23</v>
      </c>
      <c r="P633" s="6">
        <f t="shared" si="82"/>
        <v>411014.33999999997</v>
      </c>
      <c r="Q633" s="3" t="str">
        <f t="shared" si="83"/>
        <v>Excellent</v>
      </c>
      <c r="R633" s="3">
        <f t="shared" si="84"/>
        <v>13322</v>
      </c>
      <c r="S633" s="7">
        <f t="shared" si="85"/>
        <v>479592</v>
      </c>
      <c r="T633" s="3" t="str">
        <f t="shared" si="86"/>
        <v>High Profit</v>
      </c>
      <c r="U633" s="3" t="str">
        <f t="shared" si="87"/>
        <v>Low Discount</v>
      </c>
      <c r="V633" s="3" t="str">
        <f t="shared" si="88"/>
        <v>Priority C</v>
      </c>
      <c r="W633">
        <f t="shared" si="89"/>
        <v>33415.800000000003</v>
      </c>
      <c r="X633" t="s">
        <v>23</v>
      </c>
      <c r="Y633" t="s">
        <v>23</v>
      </c>
      <c r="Z633" t="s">
        <v>23</v>
      </c>
      <c r="AA633" t="s">
        <v>23</v>
      </c>
      <c r="AB633" t="s">
        <v>23</v>
      </c>
      <c r="AC633" t="s">
        <v>23</v>
      </c>
      <c r="AD633" t="s">
        <v>23</v>
      </c>
      <c r="AE633" t="s">
        <v>23</v>
      </c>
      <c r="AF633" t="s">
        <v>23</v>
      </c>
      <c r="AG633" t="s">
        <v>23</v>
      </c>
      <c r="AH633" t="s">
        <v>23</v>
      </c>
      <c r="AI633" t="s">
        <v>23</v>
      </c>
      <c r="AJ633" t="s">
        <v>23</v>
      </c>
    </row>
    <row r="634" spans="1:36" x14ac:dyDescent="0.35">
      <c r="A634" s="2">
        <v>1632</v>
      </c>
      <c r="B634" s="4">
        <v>45112</v>
      </c>
      <c r="C634" s="1" t="s">
        <v>41</v>
      </c>
      <c r="D634" s="1" t="s">
        <v>31</v>
      </c>
      <c r="E634">
        <v>283185</v>
      </c>
      <c r="F634">
        <v>32</v>
      </c>
      <c r="G634" s="1" t="s">
        <v>39</v>
      </c>
      <c r="H634">
        <v>29724</v>
      </c>
      <c r="I634">
        <v>38086</v>
      </c>
      <c r="J634" s="1" t="s">
        <v>27</v>
      </c>
      <c r="K634" s="3">
        <v>3</v>
      </c>
      <c r="L634" s="1" t="s">
        <v>40</v>
      </c>
      <c r="M634" s="1" t="s">
        <v>29</v>
      </c>
      <c r="N634" s="3">
        <v>2024010123</v>
      </c>
      <c r="O634" s="3">
        <f t="shared" si="81"/>
        <v>1.23</v>
      </c>
      <c r="P634" s="6">
        <f t="shared" si="82"/>
        <v>348317.55</v>
      </c>
      <c r="Q634" s="3" t="str">
        <f t="shared" si="83"/>
        <v>Excellent</v>
      </c>
      <c r="R634" s="3">
        <f t="shared" si="84"/>
        <v>8362</v>
      </c>
      <c r="S634" s="7">
        <f t="shared" si="85"/>
        <v>267584</v>
      </c>
      <c r="T634" s="3" t="str">
        <f t="shared" si="86"/>
        <v>High Profit</v>
      </c>
      <c r="U634" s="3" t="str">
        <f t="shared" si="87"/>
        <v>Low Discount</v>
      </c>
      <c r="V634" s="3" t="str">
        <f t="shared" si="88"/>
        <v>Priority B</v>
      </c>
      <c r="W634">
        <f t="shared" si="89"/>
        <v>42477.75</v>
      </c>
      <c r="X634" t="s">
        <v>23</v>
      </c>
      <c r="Y634" t="s">
        <v>23</v>
      </c>
      <c r="Z634" t="s">
        <v>23</v>
      </c>
      <c r="AA634" t="s">
        <v>23</v>
      </c>
      <c r="AB634" t="s">
        <v>23</v>
      </c>
      <c r="AC634" t="s">
        <v>23</v>
      </c>
      <c r="AD634" t="s">
        <v>23</v>
      </c>
      <c r="AE634" t="s">
        <v>23</v>
      </c>
      <c r="AF634" t="s">
        <v>23</v>
      </c>
      <c r="AG634" t="s">
        <v>23</v>
      </c>
      <c r="AH634" t="s">
        <v>23</v>
      </c>
      <c r="AI634" t="s">
        <v>23</v>
      </c>
      <c r="AJ634" t="s">
        <v>23</v>
      </c>
    </row>
    <row r="635" spans="1:36" x14ac:dyDescent="0.35">
      <c r="A635" s="2">
        <v>1633</v>
      </c>
      <c r="B635" s="4">
        <v>45056</v>
      </c>
      <c r="C635" s="1" t="s">
        <v>38</v>
      </c>
      <c r="D635" s="1" t="s">
        <v>42</v>
      </c>
      <c r="E635">
        <v>423473</v>
      </c>
      <c r="F635">
        <v>27</v>
      </c>
      <c r="G635" s="1" t="s">
        <v>39</v>
      </c>
      <c r="H635">
        <v>22976</v>
      </c>
      <c r="I635">
        <v>31710</v>
      </c>
      <c r="J635" s="1" t="s">
        <v>27</v>
      </c>
      <c r="K635" s="3">
        <v>14</v>
      </c>
      <c r="L635" s="1" t="s">
        <v>36</v>
      </c>
      <c r="M635" s="1" t="s">
        <v>37</v>
      </c>
      <c r="N635" s="3">
        <v>2024010123</v>
      </c>
      <c r="O635" s="3">
        <f t="shared" si="81"/>
        <v>1.23</v>
      </c>
      <c r="P635" s="6">
        <f t="shared" si="82"/>
        <v>520871.79</v>
      </c>
      <c r="Q635" s="3" t="str">
        <f t="shared" si="83"/>
        <v>Excellent</v>
      </c>
      <c r="R635" s="3">
        <f t="shared" si="84"/>
        <v>8734</v>
      </c>
      <c r="S635" s="7">
        <f t="shared" si="85"/>
        <v>235818</v>
      </c>
      <c r="T635" s="3" t="str">
        <f t="shared" si="86"/>
        <v>High Profit</v>
      </c>
      <c r="U635" s="3" t="str">
        <f t="shared" si="87"/>
        <v>Medium Discount</v>
      </c>
      <c r="V635" s="3" t="str">
        <f t="shared" si="88"/>
        <v>Priority B</v>
      </c>
      <c r="W635">
        <f t="shared" si="89"/>
        <v>63520.95</v>
      </c>
      <c r="X635" t="s">
        <v>23</v>
      </c>
      <c r="Y635" t="s">
        <v>23</v>
      </c>
      <c r="Z635" t="s">
        <v>23</v>
      </c>
      <c r="AA635" t="s">
        <v>23</v>
      </c>
      <c r="AB635" t="s">
        <v>23</v>
      </c>
      <c r="AC635" t="s">
        <v>23</v>
      </c>
      <c r="AD635" t="s">
        <v>23</v>
      </c>
      <c r="AE635" t="s">
        <v>23</v>
      </c>
      <c r="AF635" t="s">
        <v>23</v>
      </c>
      <c r="AG635" t="s">
        <v>23</v>
      </c>
      <c r="AH635" t="s">
        <v>23</v>
      </c>
      <c r="AI635" t="s">
        <v>23</v>
      </c>
      <c r="AJ635" t="s">
        <v>23</v>
      </c>
    </row>
    <row r="636" spans="1:36" x14ac:dyDescent="0.35">
      <c r="A636" s="2">
        <v>1634</v>
      </c>
      <c r="B636" s="4">
        <v>45276</v>
      </c>
      <c r="C636" s="1" t="s">
        <v>30</v>
      </c>
      <c r="D636" s="1" t="s">
        <v>43</v>
      </c>
      <c r="E636">
        <v>967338</v>
      </c>
      <c r="F636">
        <v>17</v>
      </c>
      <c r="G636" s="1" t="s">
        <v>35</v>
      </c>
      <c r="H636">
        <v>12575</v>
      </c>
      <c r="I636">
        <v>18784</v>
      </c>
      <c r="J636" s="1" t="s">
        <v>27</v>
      </c>
      <c r="K636" s="3">
        <v>12</v>
      </c>
      <c r="L636" s="1" t="s">
        <v>28</v>
      </c>
      <c r="M636" s="1" t="s">
        <v>29</v>
      </c>
      <c r="N636" s="3">
        <v>2024010123</v>
      </c>
      <c r="O636" s="3">
        <f t="shared" si="81"/>
        <v>1.23</v>
      </c>
      <c r="P636" s="6">
        <f t="shared" si="82"/>
        <v>1189825.74</v>
      </c>
      <c r="Q636" s="3" t="str">
        <f t="shared" si="83"/>
        <v>Excellent</v>
      </c>
      <c r="R636" s="3">
        <f t="shared" si="84"/>
        <v>6209</v>
      </c>
      <c r="S636" s="7">
        <f t="shared" si="85"/>
        <v>105553</v>
      </c>
      <c r="T636" s="3" t="str">
        <f t="shared" si="86"/>
        <v>High Profit</v>
      </c>
      <c r="U636" s="3" t="str">
        <f t="shared" si="87"/>
        <v>Medium Discount</v>
      </c>
      <c r="V636" s="3" t="str">
        <f t="shared" si="88"/>
        <v>Priority C</v>
      </c>
      <c r="W636">
        <f t="shared" si="89"/>
        <v>145100.69999999998</v>
      </c>
      <c r="X636" t="s">
        <v>23</v>
      </c>
      <c r="Y636" t="s">
        <v>23</v>
      </c>
      <c r="Z636" t="s">
        <v>23</v>
      </c>
      <c r="AA636" t="s">
        <v>23</v>
      </c>
      <c r="AB636" t="s">
        <v>23</v>
      </c>
      <c r="AC636" t="s">
        <v>23</v>
      </c>
      <c r="AD636" t="s">
        <v>23</v>
      </c>
      <c r="AE636" t="s">
        <v>23</v>
      </c>
      <c r="AF636" t="s">
        <v>23</v>
      </c>
      <c r="AG636" t="s">
        <v>23</v>
      </c>
      <c r="AH636" t="s">
        <v>23</v>
      </c>
      <c r="AI636" t="s">
        <v>23</v>
      </c>
      <c r="AJ636" t="s">
        <v>23</v>
      </c>
    </row>
    <row r="637" spans="1:36" x14ac:dyDescent="0.35">
      <c r="A637" s="2">
        <v>1635</v>
      </c>
      <c r="B637" s="4">
        <v>45154</v>
      </c>
      <c r="C637" s="1" t="s">
        <v>34</v>
      </c>
      <c r="D637" s="1" t="s">
        <v>25</v>
      </c>
      <c r="E637">
        <v>491052</v>
      </c>
      <c r="F637">
        <v>43</v>
      </c>
      <c r="G637" s="1" t="s">
        <v>35</v>
      </c>
      <c r="H637">
        <v>12529</v>
      </c>
      <c r="I637">
        <v>22154</v>
      </c>
      <c r="J637" s="1" t="s">
        <v>27</v>
      </c>
      <c r="K637" s="3">
        <v>13</v>
      </c>
      <c r="L637" s="1" t="s">
        <v>36</v>
      </c>
      <c r="M637" s="1" t="s">
        <v>29</v>
      </c>
      <c r="N637" s="3">
        <v>2024010123</v>
      </c>
      <c r="O637" s="3">
        <f t="shared" si="81"/>
        <v>1.23</v>
      </c>
      <c r="P637" s="6">
        <f t="shared" si="82"/>
        <v>603993.96</v>
      </c>
      <c r="Q637" s="3" t="str">
        <f t="shared" si="83"/>
        <v>Excellent</v>
      </c>
      <c r="R637" s="3">
        <f t="shared" si="84"/>
        <v>9625</v>
      </c>
      <c r="S637" s="7">
        <f t="shared" si="85"/>
        <v>413875</v>
      </c>
      <c r="T637" s="3" t="str">
        <f t="shared" si="86"/>
        <v>High Profit</v>
      </c>
      <c r="U637" s="3" t="str">
        <f t="shared" si="87"/>
        <v>Medium Discount</v>
      </c>
      <c r="V637" s="3" t="str">
        <f t="shared" si="88"/>
        <v>Priority C</v>
      </c>
      <c r="W637">
        <f t="shared" si="89"/>
        <v>73657.8</v>
      </c>
      <c r="X637" t="s">
        <v>23</v>
      </c>
      <c r="Y637" t="s">
        <v>23</v>
      </c>
      <c r="Z637" t="s">
        <v>23</v>
      </c>
      <c r="AA637" t="s">
        <v>23</v>
      </c>
      <c r="AB637" t="s">
        <v>23</v>
      </c>
      <c r="AC637" t="s">
        <v>23</v>
      </c>
      <c r="AD637" t="s">
        <v>23</v>
      </c>
      <c r="AE637" t="s">
        <v>23</v>
      </c>
      <c r="AF637" t="s">
        <v>23</v>
      </c>
      <c r="AG637" t="s">
        <v>23</v>
      </c>
      <c r="AH637" t="s">
        <v>23</v>
      </c>
      <c r="AI637" t="s">
        <v>23</v>
      </c>
      <c r="AJ637" t="s">
        <v>23</v>
      </c>
    </row>
    <row r="638" spans="1:36" x14ac:dyDescent="0.35">
      <c r="A638" s="2">
        <v>1636</v>
      </c>
      <c r="B638" s="4">
        <v>45260</v>
      </c>
      <c r="C638" s="1" t="s">
        <v>34</v>
      </c>
      <c r="D638" s="1" t="s">
        <v>43</v>
      </c>
      <c r="E638">
        <v>955947</v>
      </c>
      <c r="F638">
        <v>46</v>
      </c>
      <c r="G638" s="1" t="s">
        <v>39</v>
      </c>
      <c r="H638">
        <v>13756</v>
      </c>
      <c r="I638">
        <v>27070</v>
      </c>
      <c r="J638" s="1" t="s">
        <v>27</v>
      </c>
      <c r="K638" s="3">
        <v>16</v>
      </c>
      <c r="L638" s="1" t="s">
        <v>40</v>
      </c>
      <c r="M638" s="1" t="s">
        <v>37</v>
      </c>
      <c r="N638" s="3">
        <v>2024010123</v>
      </c>
      <c r="O638" s="3">
        <f t="shared" si="81"/>
        <v>1.23</v>
      </c>
      <c r="P638" s="6">
        <f t="shared" si="82"/>
        <v>1175814.81</v>
      </c>
      <c r="Q638" s="3" t="str">
        <f t="shared" si="83"/>
        <v>Excellent</v>
      </c>
      <c r="R638" s="3">
        <f t="shared" si="84"/>
        <v>13314</v>
      </c>
      <c r="S638" s="7">
        <f t="shared" si="85"/>
        <v>612444</v>
      </c>
      <c r="T638" s="3" t="str">
        <f t="shared" si="86"/>
        <v>High Profit</v>
      </c>
      <c r="U638" s="3" t="str">
        <f t="shared" si="87"/>
        <v>High Discount</v>
      </c>
      <c r="V638" s="3" t="str">
        <f t="shared" si="88"/>
        <v>Priority A</v>
      </c>
      <c r="W638">
        <f t="shared" si="89"/>
        <v>143392.04999999999</v>
      </c>
      <c r="X638" t="s">
        <v>23</v>
      </c>
      <c r="Y638" t="s">
        <v>23</v>
      </c>
      <c r="Z638" t="s">
        <v>23</v>
      </c>
      <c r="AA638" t="s">
        <v>23</v>
      </c>
      <c r="AB638" t="s">
        <v>23</v>
      </c>
      <c r="AC638" t="s">
        <v>23</v>
      </c>
      <c r="AD638" t="s">
        <v>23</v>
      </c>
      <c r="AE638" t="s">
        <v>23</v>
      </c>
      <c r="AF638" t="s">
        <v>23</v>
      </c>
      <c r="AG638" t="s">
        <v>23</v>
      </c>
      <c r="AH638" t="s">
        <v>23</v>
      </c>
      <c r="AI638" t="s">
        <v>23</v>
      </c>
      <c r="AJ638" t="s">
        <v>23</v>
      </c>
    </row>
    <row r="639" spans="1:36" x14ac:dyDescent="0.35">
      <c r="A639" s="2">
        <v>1637</v>
      </c>
      <c r="B639" s="4">
        <v>45152</v>
      </c>
      <c r="C639" s="1" t="s">
        <v>38</v>
      </c>
      <c r="D639" s="1" t="s">
        <v>31</v>
      </c>
      <c r="E639">
        <v>866512</v>
      </c>
      <c r="F639">
        <v>33</v>
      </c>
      <c r="G639" s="1" t="s">
        <v>26</v>
      </c>
      <c r="H639">
        <v>17463</v>
      </c>
      <c r="I639">
        <v>28570</v>
      </c>
      <c r="J639" s="1" t="s">
        <v>27</v>
      </c>
      <c r="K639" s="3">
        <v>21</v>
      </c>
      <c r="L639" s="1" t="s">
        <v>28</v>
      </c>
      <c r="M639" s="1" t="s">
        <v>37</v>
      </c>
      <c r="N639" s="3">
        <v>2024010123</v>
      </c>
      <c r="O639" s="3">
        <f t="shared" si="81"/>
        <v>1.23</v>
      </c>
      <c r="P639" s="6">
        <f t="shared" si="82"/>
        <v>1065809.76</v>
      </c>
      <c r="Q639" s="3" t="str">
        <f t="shared" si="83"/>
        <v>Excellent</v>
      </c>
      <c r="R639" s="3">
        <f t="shared" si="84"/>
        <v>11107</v>
      </c>
      <c r="S639" s="7">
        <f t="shared" si="85"/>
        <v>366531</v>
      </c>
      <c r="T639" s="3" t="str">
        <f t="shared" si="86"/>
        <v>High Profit</v>
      </c>
      <c r="U639" s="3" t="str">
        <f t="shared" si="87"/>
        <v>High Discount</v>
      </c>
      <c r="V639" s="3" t="str">
        <f t="shared" si="88"/>
        <v>Priority C</v>
      </c>
      <c r="W639">
        <f t="shared" si="89"/>
        <v>129976.79999999999</v>
      </c>
      <c r="X639" t="s">
        <v>23</v>
      </c>
      <c r="Y639" t="s">
        <v>23</v>
      </c>
      <c r="Z639" t="s">
        <v>23</v>
      </c>
      <c r="AA639" t="s">
        <v>23</v>
      </c>
      <c r="AB639" t="s">
        <v>23</v>
      </c>
      <c r="AC639" t="s">
        <v>23</v>
      </c>
      <c r="AD639" t="s">
        <v>23</v>
      </c>
      <c r="AE639" t="s">
        <v>23</v>
      </c>
      <c r="AF639" t="s">
        <v>23</v>
      </c>
      <c r="AG639" t="s">
        <v>23</v>
      </c>
      <c r="AH639" t="s">
        <v>23</v>
      </c>
      <c r="AI639" t="s">
        <v>23</v>
      </c>
      <c r="AJ639" t="s">
        <v>23</v>
      </c>
    </row>
    <row r="640" spans="1:36" x14ac:dyDescent="0.35">
      <c r="A640" s="2">
        <v>1638</v>
      </c>
      <c r="B640" s="4">
        <v>44929</v>
      </c>
      <c r="C640" s="1" t="s">
        <v>30</v>
      </c>
      <c r="D640" s="1" t="s">
        <v>42</v>
      </c>
      <c r="E640">
        <v>465060</v>
      </c>
      <c r="F640">
        <v>27</v>
      </c>
      <c r="G640" s="1" t="s">
        <v>26</v>
      </c>
      <c r="H640">
        <v>10562</v>
      </c>
      <c r="I640">
        <v>19194</v>
      </c>
      <c r="J640" s="1" t="s">
        <v>27</v>
      </c>
      <c r="K640" s="3">
        <v>17</v>
      </c>
      <c r="L640" s="1" t="s">
        <v>28</v>
      </c>
      <c r="M640" s="1" t="s">
        <v>29</v>
      </c>
      <c r="N640" s="3">
        <v>2024010123</v>
      </c>
      <c r="O640" s="3">
        <f t="shared" si="81"/>
        <v>1.23</v>
      </c>
      <c r="P640" s="6">
        <f t="shared" si="82"/>
        <v>572023.80000000005</v>
      </c>
      <c r="Q640" s="3" t="str">
        <f t="shared" si="83"/>
        <v>Excellent</v>
      </c>
      <c r="R640" s="3">
        <f t="shared" si="84"/>
        <v>8632</v>
      </c>
      <c r="S640" s="7">
        <f t="shared" si="85"/>
        <v>233064</v>
      </c>
      <c r="T640" s="3" t="str">
        <f t="shared" si="86"/>
        <v>High Profit</v>
      </c>
      <c r="U640" s="3" t="str">
        <f t="shared" si="87"/>
        <v>High Discount</v>
      </c>
      <c r="V640" s="3" t="str">
        <f t="shared" si="88"/>
        <v>Priority C</v>
      </c>
      <c r="W640">
        <f t="shared" si="89"/>
        <v>69759</v>
      </c>
      <c r="X640" t="s">
        <v>23</v>
      </c>
      <c r="Y640" t="s">
        <v>23</v>
      </c>
      <c r="Z640" t="s">
        <v>23</v>
      </c>
      <c r="AA640" t="s">
        <v>23</v>
      </c>
      <c r="AB640" t="s">
        <v>23</v>
      </c>
      <c r="AC640" t="s">
        <v>23</v>
      </c>
      <c r="AD640" t="s">
        <v>23</v>
      </c>
      <c r="AE640" t="s">
        <v>23</v>
      </c>
      <c r="AF640" t="s">
        <v>23</v>
      </c>
      <c r="AG640" t="s">
        <v>23</v>
      </c>
      <c r="AH640" t="s">
        <v>23</v>
      </c>
      <c r="AI640" t="s">
        <v>23</v>
      </c>
      <c r="AJ640" t="s">
        <v>23</v>
      </c>
    </row>
    <row r="641" spans="1:36" x14ac:dyDescent="0.35">
      <c r="A641" s="2">
        <v>1639</v>
      </c>
      <c r="B641" s="4">
        <v>44979</v>
      </c>
      <c r="C641" s="1" t="s">
        <v>34</v>
      </c>
      <c r="D641" s="1" t="s">
        <v>31</v>
      </c>
      <c r="E641">
        <v>90813</v>
      </c>
      <c r="F641">
        <v>12</v>
      </c>
      <c r="G641" s="1" t="s">
        <v>35</v>
      </c>
      <c r="H641">
        <v>10620</v>
      </c>
      <c r="I641">
        <v>18172</v>
      </c>
      <c r="J641" s="1" t="s">
        <v>33</v>
      </c>
      <c r="K641" s="3">
        <v>19</v>
      </c>
      <c r="L641" s="1" t="s">
        <v>28</v>
      </c>
      <c r="M641" s="1" t="s">
        <v>29</v>
      </c>
      <c r="N641" s="3">
        <v>2024010123</v>
      </c>
      <c r="O641" s="3">
        <f t="shared" si="81"/>
        <v>1.23</v>
      </c>
      <c r="P641" s="6">
        <f t="shared" si="82"/>
        <v>111699.99</v>
      </c>
      <c r="Q641" s="3" t="str">
        <f t="shared" si="83"/>
        <v>Excellent</v>
      </c>
      <c r="R641" s="3">
        <f t="shared" si="84"/>
        <v>7552</v>
      </c>
      <c r="S641" s="7">
        <f t="shared" si="85"/>
        <v>90624</v>
      </c>
      <c r="T641" s="3" t="str">
        <f t="shared" si="86"/>
        <v>High Profit</v>
      </c>
      <c r="U641" s="3" t="str">
        <f t="shared" si="87"/>
        <v>High Discount</v>
      </c>
      <c r="V641" s="3" t="str">
        <f t="shared" si="88"/>
        <v>Priority D</v>
      </c>
      <c r="W641">
        <f t="shared" si="89"/>
        <v>9081.3000000000011</v>
      </c>
      <c r="X641" t="s">
        <v>23</v>
      </c>
      <c r="Y641" t="s">
        <v>23</v>
      </c>
      <c r="Z641" t="s">
        <v>23</v>
      </c>
      <c r="AA641" t="s">
        <v>23</v>
      </c>
      <c r="AB641" t="s">
        <v>23</v>
      </c>
      <c r="AC641" t="s">
        <v>23</v>
      </c>
      <c r="AD641" t="s">
        <v>23</v>
      </c>
      <c r="AE641" t="s">
        <v>23</v>
      </c>
      <c r="AF641" t="s">
        <v>23</v>
      </c>
      <c r="AG641" t="s">
        <v>23</v>
      </c>
      <c r="AH641" t="s">
        <v>23</v>
      </c>
      <c r="AI641" t="s">
        <v>23</v>
      </c>
      <c r="AJ641" t="s">
        <v>23</v>
      </c>
    </row>
    <row r="642" spans="1:36" x14ac:dyDescent="0.35">
      <c r="A642" s="2">
        <v>1640</v>
      </c>
      <c r="B642" s="4">
        <v>44953</v>
      </c>
      <c r="C642" s="1" t="s">
        <v>30</v>
      </c>
      <c r="D642" s="1" t="s">
        <v>31</v>
      </c>
      <c r="E642">
        <v>248979</v>
      </c>
      <c r="F642">
        <v>18</v>
      </c>
      <c r="G642" s="1" t="s">
        <v>35</v>
      </c>
      <c r="H642">
        <v>43654</v>
      </c>
      <c r="I642">
        <v>50417</v>
      </c>
      <c r="J642" s="1" t="s">
        <v>33</v>
      </c>
      <c r="K642" s="3">
        <v>0</v>
      </c>
      <c r="L642" s="1" t="s">
        <v>36</v>
      </c>
      <c r="M642" s="1" t="s">
        <v>29</v>
      </c>
      <c r="N642" s="3">
        <v>2024010123</v>
      </c>
      <c r="O642" s="3">
        <f t="shared" si="81"/>
        <v>1.23</v>
      </c>
      <c r="P642" s="6">
        <f t="shared" si="82"/>
        <v>306244.17</v>
      </c>
      <c r="Q642" s="3" t="str">
        <f t="shared" si="83"/>
        <v>Excellent</v>
      </c>
      <c r="R642" s="3">
        <f t="shared" si="84"/>
        <v>6763</v>
      </c>
      <c r="S642" s="7">
        <f t="shared" si="85"/>
        <v>121734</v>
      </c>
      <c r="T642" s="3" t="str">
        <f t="shared" si="86"/>
        <v>High Profit</v>
      </c>
      <c r="U642" s="3" t="str">
        <f t="shared" si="87"/>
        <v>No Discount</v>
      </c>
      <c r="V642" s="3" t="str">
        <f t="shared" si="88"/>
        <v>Priority C</v>
      </c>
      <c r="W642">
        <f t="shared" si="89"/>
        <v>24897.9</v>
      </c>
      <c r="X642" t="s">
        <v>23</v>
      </c>
      <c r="Y642" t="s">
        <v>23</v>
      </c>
      <c r="Z642" t="s">
        <v>23</v>
      </c>
      <c r="AA642" t="s">
        <v>23</v>
      </c>
      <c r="AB642" t="s">
        <v>23</v>
      </c>
      <c r="AC642" t="s">
        <v>23</v>
      </c>
      <c r="AD642" t="s">
        <v>23</v>
      </c>
      <c r="AE642" t="s">
        <v>23</v>
      </c>
      <c r="AF642" t="s">
        <v>23</v>
      </c>
      <c r="AG642" t="s">
        <v>23</v>
      </c>
      <c r="AH642" t="s">
        <v>23</v>
      </c>
      <c r="AI642" t="s">
        <v>23</v>
      </c>
      <c r="AJ642" t="s">
        <v>23</v>
      </c>
    </row>
    <row r="643" spans="1:36" x14ac:dyDescent="0.35">
      <c r="A643" s="2">
        <v>1641</v>
      </c>
      <c r="B643" s="4">
        <v>45123</v>
      </c>
      <c r="C643" s="1" t="s">
        <v>30</v>
      </c>
      <c r="D643" s="1" t="s">
        <v>42</v>
      </c>
      <c r="E643">
        <v>144911</v>
      </c>
      <c r="F643">
        <v>18</v>
      </c>
      <c r="G643" s="1" t="s">
        <v>39</v>
      </c>
      <c r="H643">
        <v>44538</v>
      </c>
      <c r="I643">
        <v>50035</v>
      </c>
      <c r="J643" s="1" t="s">
        <v>33</v>
      </c>
      <c r="K643" s="3">
        <v>4</v>
      </c>
      <c r="L643" s="1" t="s">
        <v>36</v>
      </c>
      <c r="M643" s="1" t="s">
        <v>29</v>
      </c>
      <c r="N643" s="3">
        <v>2024010123</v>
      </c>
      <c r="O643" s="3">
        <f t="shared" ref="O643:O706" si="90">VALUE(RIGHT($N$2,3))/100</f>
        <v>1.23</v>
      </c>
      <c r="P643" s="6">
        <f t="shared" ref="P643:P706" si="91">E643*$O643</f>
        <v>178240.53</v>
      </c>
      <c r="Q643" s="3" t="str">
        <f t="shared" ref="Q643:Q706" si="92">IF(P643&gt;=5000,"Excellent",
   IF(P643&gt;=3000,"Good",
      IF(P643&gt;=1500,"Average","Below Average")))</f>
        <v>Excellent</v>
      </c>
      <c r="R643" s="3">
        <f t="shared" ref="R643:R706" si="93">I643-H643</f>
        <v>5497</v>
      </c>
      <c r="S643" s="7">
        <f t="shared" ref="S643:S706" si="94">R643*F643</f>
        <v>98946</v>
      </c>
      <c r="T643" s="3" t="str">
        <f t="shared" ref="T643:T706" si="95">IF(S643&gt;=1000,"High Profit",
   IF(S643&gt;=500,"Medium Profit","Low Profit"))</f>
        <v>High Profit</v>
      </c>
      <c r="U643" s="3" t="str">
        <f t="shared" ref="U643:U706" si="96">_xlfn.LET(
  _xlpm.d0, K643,
  _xlpm.d, IF(_xlpm.d0&gt;=1, _xlpm.d0/100, _xlpm.d0),
  IF(_xlpm.d&gt;=0.15, "High Discount",
     IF(_xlpm.d&gt;=0.05, "Medium Discount",
        IF(_xlpm.d&gt;0, "Low Discount", "No Discount")))
)</f>
        <v>Low Discount</v>
      </c>
      <c r="V643" s="3" t="str">
        <f t="shared" ref="V643:V706" si="97">IF(AND(G643="Electronics",F643&gt;=30,M643="Online"),"Priority A",
   IF(AND(OR(G643="Furniture",G643="Electronics"),F643&gt;=20),"Priority B",
      IF(OR(M643="Online",F643&gt;=15),"Priority C","Priority D")))</f>
        <v>Priority C</v>
      </c>
      <c r="W643">
        <f t="shared" ref="W643:W706" si="98">IF(AND(Q643="Excellent",J643="Returning",T643="High Profit"),E643*0.15,
   IF(AND(Q643="Excellent",J643="New"),E643*0.1,
      IF(AND(OR(Q643="Good",Q643="Excellent"),L643="Cash"),E643*0.08,
         IF(AND(Q643="Good",T643="High Profit"),E643*0.06,
            IF(Q643="Average",E643*0.03,
               IF(Q643="Below Average",E643*0.01,0))))))</f>
        <v>14491.1</v>
      </c>
      <c r="X643" t="s">
        <v>23</v>
      </c>
      <c r="Y643" t="s">
        <v>23</v>
      </c>
      <c r="Z643" t="s">
        <v>23</v>
      </c>
      <c r="AA643" t="s">
        <v>23</v>
      </c>
      <c r="AB643" t="s">
        <v>23</v>
      </c>
      <c r="AC643" t="s">
        <v>23</v>
      </c>
      <c r="AD643" t="s">
        <v>23</v>
      </c>
      <c r="AE643" t="s">
        <v>23</v>
      </c>
      <c r="AF643" t="s">
        <v>23</v>
      </c>
      <c r="AG643" t="s">
        <v>23</v>
      </c>
      <c r="AH643" t="s">
        <v>23</v>
      </c>
      <c r="AI643" t="s">
        <v>23</v>
      </c>
      <c r="AJ643" t="s">
        <v>23</v>
      </c>
    </row>
    <row r="644" spans="1:36" x14ac:dyDescent="0.35">
      <c r="A644" s="2">
        <v>1642</v>
      </c>
      <c r="B644" s="4">
        <v>45037</v>
      </c>
      <c r="C644" s="1" t="s">
        <v>41</v>
      </c>
      <c r="D644" s="1" t="s">
        <v>43</v>
      </c>
      <c r="E644">
        <v>673104</v>
      </c>
      <c r="F644">
        <v>10</v>
      </c>
      <c r="G644" s="1" t="s">
        <v>26</v>
      </c>
      <c r="H644">
        <v>44717</v>
      </c>
      <c r="I644">
        <v>52415</v>
      </c>
      <c r="J644" s="1" t="s">
        <v>33</v>
      </c>
      <c r="K644" s="3">
        <v>4</v>
      </c>
      <c r="L644" s="1" t="s">
        <v>40</v>
      </c>
      <c r="M644" s="1" t="s">
        <v>37</v>
      </c>
      <c r="N644" s="3">
        <v>2024010123</v>
      </c>
      <c r="O644" s="3">
        <f t="shared" si="90"/>
        <v>1.23</v>
      </c>
      <c r="P644" s="6">
        <f t="shared" si="91"/>
        <v>827917.92</v>
      </c>
      <c r="Q644" s="3" t="str">
        <f t="shared" si="92"/>
        <v>Excellent</v>
      </c>
      <c r="R644" s="3">
        <f t="shared" si="93"/>
        <v>7698</v>
      </c>
      <c r="S644" s="7">
        <f t="shared" si="94"/>
        <v>76980</v>
      </c>
      <c r="T644" s="3" t="str">
        <f t="shared" si="95"/>
        <v>High Profit</v>
      </c>
      <c r="U644" s="3" t="str">
        <f t="shared" si="96"/>
        <v>Low Discount</v>
      </c>
      <c r="V644" s="3" t="str">
        <f t="shared" si="97"/>
        <v>Priority C</v>
      </c>
      <c r="W644">
        <f t="shared" si="98"/>
        <v>67310.400000000009</v>
      </c>
      <c r="X644" t="s">
        <v>23</v>
      </c>
      <c r="Y644" t="s">
        <v>23</v>
      </c>
      <c r="Z644" t="s">
        <v>23</v>
      </c>
      <c r="AA644" t="s">
        <v>23</v>
      </c>
      <c r="AB644" t="s">
        <v>23</v>
      </c>
      <c r="AC644" t="s">
        <v>23</v>
      </c>
      <c r="AD644" t="s">
        <v>23</v>
      </c>
      <c r="AE644" t="s">
        <v>23</v>
      </c>
      <c r="AF644" t="s">
        <v>23</v>
      </c>
      <c r="AG644" t="s">
        <v>23</v>
      </c>
      <c r="AH644" t="s">
        <v>23</v>
      </c>
      <c r="AI644" t="s">
        <v>23</v>
      </c>
      <c r="AJ644" t="s">
        <v>23</v>
      </c>
    </row>
    <row r="645" spans="1:36" x14ac:dyDescent="0.35">
      <c r="A645" s="2">
        <v>1643</v>
      </c>
      <c r="B645" s="4">
        <v>45209</v>
      </c>
      <c r="C645" s="1" t="s">
        <v>30</v>
      </c>
      <c r="D645" s="1" t="s">
        <v>43</v>
      </c>
      <c r="E645">
        <v>154068</v>
      </c>
      <c r="F645">
        <v>17</v>
      </c>
      <c r="G645" s="1" t="s">
        <v>32</v>
      </c>
      <c r="H645">
        <v>28686</v>
      </c>
      <c r="I645">
        <v>33346</v>
      </c>
      <c r="J645" s="1" t="s">
        <v>27</v>
      </c>
      <c r="K645" s="3">
        <v>13</v>
      </c>
      <c r="L645" s="1" t="s">
        <v>36</v>
      </c>
      <c r="M645" s="1" t="s">
        <v>37</v>
      </c>
      <c r="N645" s="3">
        <v>2024010123</v>
      </c>
      <c r="O645" s="3">
        <f t="shared" si="90"/>
        <v>1.23</v>
      </c>
      <c r="P645" s="6">
        <f t="shared" si="91"/>
        <v>189503.63999999998</v>
      </c>
      <c r="Q645" s="3" t="str">
        <f t="shared" si="92"/>
        <v>Excellent</v>
      </c>
      <c r="R645" s="3">
        <f t="shared" si="93"/>
        <v>4660</v>
      </c>
      <c r="S645" s="7">
        <f t="shared" si="94"/>
        <v>79220</v>
      </c>
      <c r="T645" s="3" t="str">
        <f t="shared" si="95"/>
        <v>High Profit</v>
      </c>
      <c r="U645" s="3" t="str">
        <f t="shared" si="96"/>
        <v>Medium Discount</v>
      </c>
      <c r="V645" s="3" t="str">
        <f t="shared" si="97"/>
        <v>Priority C</v>
      </c>
      <c r="W645">
        <f t="shared" si="98"/>
        <v>23110.2</v>
      </c>
      <c r="X645" t="s">
        <v>23</v>
      </c>
      <c r="Y645" t="s">
        <v>23</v>
      </c>
      <c r="Z645" t="s">
        <v>23</v>
      </c>
      <c r="AA645" t="s">
        <v>23</v>
      </c>
      <c r="AB645" t="s">
        <v>23</v>
      </c>
      <c r="AC645" t="s">
        <v>23</v>
      </c>
      <c r="AD645" t="s">
        <v>23</v>
      </c>
      <c r="AE645" t="s">
        <v>23</v>
      </c>
      <c r="AF645" t="s">
        <v>23</v>
      </c>
      <c r="AG645" t="s">
        <v>23</v>
      </c>
      <c r="AH645" t="s">
        <v>23</v>
      </c>
      <c r="AI645" t="s">
        <v>23</v>
      </c>
      <c r="AJ645" t="s">
        <v>23</v>
      </c>
    </row>
    <row r="646" spans="1:36" x14ac:dyDescent="0.35">
      <c r="A646" s="2">
        <v>1644</v>
      </c>
      <c r="B646" s="4">
        <v>45227</v>
      </c>
      <c r="C646" s="1" t="s">
        <v>34</v>
      </c>
      <c r="D646" s="1" t="s">
        <v>25</v>
      </c>
      <c r="E646">
        <v>294126</v>
      </c>
      <c r="F646">
        <v>18</v>
      </c>
      <c r="G646" s="1" t="s">
        <v>32</v>
      </c>
      <c r="H646">
        <v>41525</v>
      </c>
      <c r="I646">
        <v>48879</v>
      </c>
      <c r="J646" s="1" t="s">
        <v>33</v>
      </c>
      <c r="K646" s="3">
        <v>12</v>
      </c>
      <c r="L646" s="1" t="s">
        <v>28</v>
      </c>
      <c r="M646" s="1" t="s">
        <v>37</v>
      </c>
      <c r="N646" s="3">
        <v>2024010123</v>
      </c>
      <c r="O646" s="3">
        <f t="shared" si="90"/>
        <v>1.23</v>
      </c>
      <c r="P646" s="6">
        <f t="shared" si="91"/>
        <v>361774.98</v>
      </c>
      <c r="Q646" s="3" t="str">
        <f t="shared" si="92"/>
        <v>Excellent</v>
      </c>
      <c r="R646" s="3">
        <f t="shared" si="93"/>
        <v>7354</v>
      </c>
      <c r="S646" s="7">
        <f t="shared" si="94"/>
        <v>132372</v>
      </c>
      <c r="T646" s="3" t="str">
        <f t="shared" si="95"/>
        <v>High Profit</v>
      </c>
      <c r="U646" s="3" t="str">
        <f t="shared" si="96"/>
        <v>Medium Discount</v>
      </c>
      <c r="V646" s="3" t="str">
        <f t="shared" si="97"/>
        <v>Priority C</v>
      </c>
      <c r="W646">
        <f t="shared" si="98"/>
        <v>29412.600000000002</v>
      </c>
      <c r="X646" t="s">
        <v>23</v>
      </c>
      <c r="Y646" t="s">
        <v>23</v>
      </c>
      <c r="Z646" t="s">
        <v>23</v>
      </c>
      <c r="AA646" t="s">
        <v>23</v>
      </c>
      <c r="AB646" t="s">
        <v>23</v>
      </c>
      <c r="AC646" t="s">
        <v>23</v>
      </c>
      <c r="AD646" t="s">
        <v>23</v>
      </c>
      <c r="AE646" t="s">
        <v>23</v>
      </c>
      <c r="AF646" t="s">
        <v>23</v>
      </c>
      <c r="AG646" t="s">
        <v>23</v>
      </c>
      <c r="AH646" t="s">
        <v>23</v>
      </c>
      <c r="AI646" t="s">
        <v>23</v>
      </c>
      <c r="AJ646" t="s">
        <v>23</v>
      </c>
    </row>
    <row r="647" spans="1:36" x14ac:dyDescent="0.35">
      <c r="A647" s="2">
        <v>1645</v>
      </c>
      <c r="B647" s="4">
        <v>45167</v>
      </c>
      <c r="C647" s="1" t="s">
        <v>30</v>
      </c>
      <c r="D647" s="1" t="s">
        <v>43</v>
      </c>
      <c r="E647">
        <v>906432</v>
      </c>
      <c r="F647">
        <v>18</v>
      </c>
      <c r="G647" s="1" t="s">
        <v>26</v>
      </c>
      <c r="H647">
        <v>39745</v>
      </c>
      <c r="I647">
        <v>46141</v>
      </c>
      <c r="J647" s="1" t="s">
        <v>27</v>
      </c>
      <c r="K647" s="3">
        <v>6</v>
      </c>
      <c r="L647" s="1" t="s">
        <v>36</v>
      </c>
      <c r="M647" s="1" t="s">
        <v>29</v>
      </c>
      <c r="N647" s="3">
        <v>2024010123</v>
      </c>
      <c r="O647" s="3">
        <f t="shared" si="90"/>
        <v>1.23</v>
      </c>
      <c r="P647" s="6">
        <f t="shared" si="91"/>
        <v>1114911.3599999999</v>
      </c>
      <c r="Q647" s="3" t="str">
        <f t="shared" si="92"/>
        <v>Excellent</v>
      </c>
      <c r="R647" s="3">
        <f t="shared" si="93"/>
        <v>6396</v>
      </c>
      <c r="S647" s="7">
        <f t="shared" si="94"/>
        <v>115128</v>
      </c>
      <c r="T647" s="3" t="str">
        <f t="shared" si="95"/>
        <v>High Profit</v>
      </c>
      <c r="U647" s="3" t="str">
        <f t="shared" si="96"/>
        <v>Medium Discount</v>
      </c>
      <c r="V647" s="3" t="str">
        <f t="shared" si="97"/>
        <v>Priority C</v>
      </c>
      <c r="W647">
        <f t="shared" si="98"/>
        <v>135964.79999999999</v>
      </c>
      <c r="X647" t="s">
        <v>23</v>
      </c>
      <c r="Y647" t="s">
        <v>23</v>
      </c>
      <c r="Z647" t="s">
        <v>23</v>
      </c>
      <c r="AA647" t="s">
        <v>23</v>
      </c>
      <c r="AB647" t="s">
        <v>23</v>
      </c>
      <c r="AC647" t="s">
        <v>23</v>
      </c>
      <c r="AD647" t="s">
        <v>23</v>
      </c>
      <c r="AE647" t="s">
        <v>23</v>
      </c>
      <c r="AF647" t="s">
        <v>23</v>
      </c>
      <c r="AG647" t="s">
        <v>23</v>
      </c>
      <c r="AH647" t="s">
        <v>23</v>
      </c>
      <c r="AI647" t="s">
        <v>23</v>
      </c>
      <c r="AJ647" t="s">
        <v>23</v>
      </c>
    </row>
    <row r="648" spans="1:36" x14ac:dyDescent="0.35">
      <c r="A648" s="2">
        <v>1646</v>
      </c>
      <c r="B648" s="4">
        <v>45158</v>
      </c>
      <c r="C648" s="1" t="s">
        <v>34</v>
      </c>
      <c r="D648" s="1" t="s">
        <v>31</v>
      </c>
      <c r="E648">
        <v>988206</v>
      </c>
      <c r="F648">
        <v>8</v>
      </c>
      <c r="G648" s="1" t="s">
        <v>35</v>
      </c>
      <c r="H648">
        <v>42210</v>
      </c>
      <c r="I648">
        <v>49239</v>
      </c>
      <c r="J648" s="1" t="s">
        <v>27</v>
      </c>
      <c r="K648" s="3">
        <v>28</v>
      </c>
      <c r="L648" s="1" t="s">
        <v>28</v>
      </c>
      <c r="M648" s="1" t="s">
        <v>29</v>
      </c>
      <c r="N648" s="3">
        <v>2024010123</v>
      </c>
      <c r="O648" s="3">
        <f t="shared" si="90"/>
        <v>1.23</v>
      </c>
      <c r="P648" s="6">
        <f t="shared" si="91"/>
        <v>1215493.3799999999</v>
      </c>
      <c r="Q648" s="3" t="str">
        <f t="shared" si="92"/>
        <v>Excellent</v>
      </c>
      <c r="R648" s="3">
        <f t="shared" si="93"/>
        <v>7029</v>
      </c>
      <c r="S648" s="7">
        <f t="shared" si="94"/>
        <v>56232</v>
      </c>
      <c r="T648" s="3" t="str">
        <f t="shared" si="95"/>
        <v>High Profit</v>
      </c>
      <c r="U648" s="3" t="str">
        <f t="shared" si="96"/>
        <v>High Discount</v>
      </c>
      <c r="V648" s="3" t="str">
        <f t="shared" si="97"/>
        <v>Priority D</v>
      </c>
      <c r="W648">
        <f t="shared" si="98"/>
        <v>148230.9</v>
      </c>
      <c r="X648" t="s">
        <v>23</v>
      </c>
      <c r="Y648" t="s">
        <v>23</v>
      </c>
      <c r="Z648" t="s">
        <v>23</v>
      </c>
      <c r="AA648" t="s">
        <v>23</v>
      </c>
      <c r="AB648" t="s">
        <v>23</v>
      </c>
      <c r="AC648" t="s">
        <v>23</v>
      </c>
      <c r="AD648" t="s">
        <v>23</v>
      </c>
      <c r="AE648" t="s">
        <v>23</v>
      </c>
      <c r="AF648" t="s">
        <v>23</v>
      </c>
      <c r="AG648" t="s">
        <v>23</v>
      </c>
      <c r="AH648" t="s">
        <v>23</v>
      </c>
      <c r="AI648" t="s">
        <v>23</v>
      </c>
      <c r="AJ648" t="s">
        <v>23</v>
      </c>
    </row>
    <row r="649" spans="1:36" x14ac:dyDescent="0.35">
      <c r="A649" s="2">
        <v>1647</v>
      </c>
      <c r="B649" s="4">
        <v>45014</v>
      </c>
      <c r="C649" s="1" t="s">
        <v>30</v>
      </c>
      <c r="D649" s="1" t="s">
        <v>25</v>
      </c>
      <c r="E649">
        <v>253273</v>
      </c>
      <c r="F649">
        <v>18</v>
      </c>
      <c r="G649" s="1" t="s">
        <v>26</v>
      </c>
      <c r="H649">
        <v>16229</v>
      </c>
      <c r="I649">
        <v>22314</v>
      </c>
      <c r="J649" s="1" t="s">
        <v>33</v>
      </c>
      <c r="K649" s="3">
        <v>27</v>
      </c>
      <c r="L649" s="1" t="s">
        <v>40</v>
      </c>
      <c r="M649" s="1" t="s">
        <v>29</v>
      </c>
      <c r="N649" s="3">
        <v>2024010123</v>
      </c>
      <c r="O649" s="3">
        <f t="shared" si="90"/>
        <v>1.23</v>
      </c>
      <c r="P649" s="6">
        <f t="shared" si="91"/>
        <v>311525.78999999998</v>
      </c>
      <c r="Q649" s="3" t="str">
        <f t="shared" si="92"/>
        <v>Excellent</v>
      </c>
      <c r="R649" s="3">
        <f t="shared" si="93"/>
        <v>6085</v>
      </c>
      <c r="S649" s="7">
        <f t="shared" si="94"/>
        <v>109530</v>
      </c>
      <c r="T649" s="3" t="str">
        <f t="shared" si="95"/>
        <v>High Profit</v>
      </c>
      <c r="U649" s="3" t="str">
        <f t="shared" si="96"/>
        <v>High Discount</v>
      </c>
      <c r="V649" s="3" t="str">
        <f t="shared" si="97"/>
        <v>Priority C</v>
      </c>
      <c r="W649">
        <f t="shared" si="98"/>
        <v>25327.300000000003</v>
      </c>
      <c r="X649" t="s">
        <v>23</v>
      </c>
      <c r="Y649" t="s">
        <v>23</v>
      </c>
      <c r="Z649" t="s">
        <v>23</v>
      </c>
      <c r="AA649" t="s">
        <v>23</v>
      </c>
      <c r="AB649" t="s">
        <v>23</v>
      </c>
      <c r="AC649" t="s">
        <v>23</v>
      </c>
      <c r="AD649" t="s">
        <v>23</v>
      </c>
      <c r="AE649" t="s">
        <v>23</v>
      </c>
      <c r="AF649" t="s">
        <v>23</v>
      </c>
      <c r="AG649" t="s">
        <v>23</v>
      </c>
      <c r="AH649" t="s">
        <v>23</v>
      </c>
      <c r="AI649" t="s">
        <v>23</v>
      </c>
      <c r="AJ649" t="s">
        <v>23</v>
      </c>
    </row>
    <row r="650" spans="1:36" x14ac:dyDescent="0.35">
      <c r="A650" s="2">
        <v>1648</v>
      </c>
      <c r="B650" s="4">
        <v>44948</v>
      </c>
      <c r="C650" s="1" t="s">
        <v>34</v>
      </c>
      <c r="D650" s="1" t="s">
        <v>31</v>
      </c>
      <c r="E650">
        <v>653032</v>
      </c>
      <c r="F650">
        <v>18</v>
      </c>
      <c r="G650" s="1" t="s">
        <v>35</v>
      </c>
      <c r="H650">
        <v>26434</v>
      </c>
      <c r="I650">
        <v>30714</v>
      </c>
      <c r="J650" s="1" t="s">
        <v>33</v>
      </c>
      <c r="K650" s="3">
        <v>23</v>
      </c>
      <c r="L650" s="1" t="s">
        <v>36</v>
      </c>
      <c r="M650" s="1" t="s">
        <v>29</v>
      </c>
      <c r="N650" s="3">
        <v>2024010123</v>
      </c>
      <c r="O650" s="3">
        <f t="shared" si="90"/>
        <v>1.23</v>
      </c>
      <c r="P650" s="6">
        <f t="shared" si="91"/>
        <v>803229.36</v>
      </c>
      <c r="Q650" s="3" t="str">
        <f t="shared" si="92"/>
        <v>Excellent</v>
      </c>
      <c r="R650" s="3">
        <f t="shared" si="93"/>
        <v>4280</v>
      </c>
      <c r="S650" s="7">
        <f t="shared" si="94"/>
        <v>77040</v>
      </c>
      <c r="T650" s="3" t="str">
        <f t="shared" si="95"/>
        <v>High Profit</v>
      </c>
      <c r="U650" s="3" t="str">
        <f t="shared" si="96"/>
        <v>High Discount</v>
      </c>
      <c r="V650" s="3" t="str">
        <f t="shared" si="97"/>
        <v>Priority C</v>
      </c>
      <c r="W650">
        <f t="shared" si="98"/>
        <v>65303.200000000004</v>
      </c>
      <c r="X650" t="s">
        <v>23</v>
      </c>
      <c r="Y650" t="s">
        <v>23</v>
      </c>
      <c r="Z650" t="s">
        <v>23</v>
      </c>
      <c r="AA650" t="s">
        <v>23</v>
      </c>
      <c r="AB650" t="s">
        <v>23</v>
      </c>
      <c r="AC650" t="s">
        <v>23</v>
      </c>
      <c r="AD650" t="s">
        <v>23</v>
      </c>
      <c r="AE650" t="s">
        <v>23</v>
      </c>
      <c r="AF650" t="s">
        <v>23</v>
      </c>
      <c r="AG650" t="s">
        <v>23</v>
      </c>
      <c r="AH650" t="s">
        <v>23</v>
      </c>
      <c r="AI650" t="s">
        <v>23</v>
      </c>
      <c r="AJ650" t="s">
        <v>23</v>
      </c>
    </row>
    <row r="651" spans="1:36" x14ac:dyDescent="0.35">
      <c r="A651" s="2">
        <v>1649</v>
      </c>
      <c r="B651" s="4">
        <v>45037</v>
      </c>
      <c r="C651" s="1" t="s">
        <v>24</v>
      </c>
      <c r="D651" s="1" t="s">
        <v>31</v>
      </c>
      <c r="E651">
        <v>99744</v>
      </c>
      <c r="F651">
        <v>18</v>
      </c>
      <c r="G651" s="1" t="s">
        <v>39</v>
      </c>
      <c r="H651">
        <v>34837</v>
      </c>
      <c r="I651">
        <v>39282</v>
      </c>
      <c r="J651" s="1" t="s">
        <v>33</v>
      </c>
      <c r="K651" s="3">
        <v>28</v>
      </c>
      <c r="L651" s="1" t="s">
        <v>36</v>
      </c>
      <c r="M651" s="1" t="s">
        <v>37</v>
      </c>
      <c r="N651" s="3">
        <v>2024010123</v>
      </c>
      <c r="O651" s="3">
        <f t="shared" si="90"/>
        <v>1.23</v>
      </c>
      <c r="P651" s="6">
        <f t="shared" si="91"/>
        <v>122685.12</v>
      </c>
      <c r="Q651" s="3" t="str">
        <f t="shared" si="92"/>
        <v>Excellent</v>
      </c>
      <c r="R651" s="3">
        <f t="shared" si="93"/>
        <v>4445</v>
      </c>
      <c r="S651" s="7">
        <f t="shared" si="94"/>
        <v>80010</v>
      </c>
      <c r="T651" s="3" t="str">
        <f t="shared" si="95"/>
        <v>High Profit</v>
      </c>
      <c r="U651" s="3" t="str">
        <f t="shared" si="96"/>
        <v>High Discount</v>
      </c>
      <c r="V651" s="3" t="str">
        <f t="shared" si="97"/>
        <v>Priority C</v>
      </c>
      <c r="W651">
        <f t="shared" si="98"/>
        <v>9974.4000000000015</v>
      </c>
      <c r="X651" t="s">
        <v>23</v>
      </c>
      <c r="Y651" t="s">
        <v>23</v>
      </c>
      <c r="Z651" t="s">
        <v>23</v>
      </c>
      <c r="AA651" t="s">
        <v>23</v>
      </c>
      <c r="AB651" t="s">
        <v>23</v>
      </c>
      <c r="AC651" t="s">
        <v>23</v>
      </c>
      <c r="AD651" t="s">
        <v>23</v>
      </c>
      <c r="AE651" t="s">
        <v>23</v>
      </c>
      <c r="AF651" t="s">
        <v>23</v>
      </c>
      <c r="AG651" t="s">
        <v>23</v>
      </c>
      <c r="AH651" t="s">
        <v>23</v>
      </c>
      <c r="AI651" t="s">
        <v>23</v>
      </c>
      <c r="AJ651" t="s">
        <v>23</v>
      </c>
    </row>
    <row r="652" spans="1:36" x14ac:dyDescent="0.35">
      <c r="A652" s="2">
        <v>1650</v>
      </c>
      <c r="B652" s="4">
        <v>45240</v>
      </c>
      <c r="C652" s="1" t="s">
        <v>24</v>
      </c>
      <c r="D652" s="1" t="s">
        <v>43</v>
      </c>
      <c r="E652">
        <v>497565</v>
      </c>
      <c r="F652">
        <v>12</v>
      </c>
      <c r="G652" s="1" t="s">
        <v>39</v>
      </c>
      <c r="H652">
        <v>33800</v>
      </c>
      <c r="I652">
        <v>37896</v>
      </c>
      <c r="J652" s="1" t="s">
        <v>33</v>
      </c>
      <c r="K652" s="3">
        <v>0</v>
      </c>
      <c r="L652" s="1" t="s">
        <v>28</v>
      </c>
      <c r="M652" s="1" t="s">
        <v>37</v>
      </c>
      <c r="N652" s="3">
        <v>2024010123</v>
      </c>
      <c r="O652" s="3">
        <f t="shared" si="90"/>
        <v>1.23</v>
      </c>
      <c r="P652" s="6">
        <f t="shared" si="91"/>
        <v>612004.94999999995</v>
      </c>
      <c r="Q652" s="3" t="str">
        <f t="shared" si="92"/>
        <v>Excellent</v>
      </c>
      <c r="R652" s="3">
        <f t="shared" si="93"/>
        <v>4096</v>
      </c>
      <c r="S652" s="7">
        <f t="shared" si="94"/>
        <v>49152</v>
      </c>
      <c r="T652" s="3" t="str">
        <f t="shared" si="95"/>
        <v>High Profit</v>
      </c>
      <c r="U652" s="3" t="str">
        <f t="shared" si="96"/>
        <v>No Discount</v>
      </c>
      <c r="V652" s="3" t="str">
        <f t="shared" si="97"/>
        <v>Priority C</v>
      </c>
      <c r="W652">
        <f t="shared" si="98"/>
        <v>49756.5</v>
      </c>
      <c r="X652" t="s">
        <v>23</v>
      </c>
      <c r="Y652" t="s">
        <v>23</v>
      </c>
      <c r="Z652" t="s">
        <v>23</v>
      </c>
      <c r="AA652" t="s">
        <v>23</v>
      </c>
      <c r="AB652" t="s">
        <v>23</v>
      </c>
      <c r="AC652" t="s">
        <v>23</v>
      </c>
      <c r="AD652" t="s">
        <v>23</v>
      </c>
      <c r="AE652" t="s">
        <v>23</v>
      </c>
      <c r="AF652" t="s">
        <v>23</v>
      </c>
      <c r="AG652" t="s">
        <v>23</v>
      </c>
      <c r="AH652" t="s">
        <v>23</v>
      </c>
      <c r="AI652" t="s">
        <v>23</v>
      </c>
      <c r="AJ652" t="s">
        <v>23</v>
      </c>
    </row>
    <row r="653" spans="1:36" x14ac:dyDescent="0.35">
      <c r="A653" s="2">
        <v>1651</v>
      </c>
      <c r="B653" s="4">
        <v>45227</v>
      </c>
      <c r="C653" s="1" t="s">
        <v>34</v>
      </c>
      <c r="D653" s="1" t="s">
        <v>25</v>
      </c>
      <c r="E653">
        <v>46749</v>
      </c>
      <c r="F653">
        <v>12</v>
      </c>
      <c r="G653" s="1" t="s">
        <v>26</v>
      </c>
      <c r="H653">
        <v>25548</v>
      </c>
      <c r="I653">
        <v>30093</v>
      </c>
      <c r="J653" s="1" t="s">
        <v>27</v>
      </c>
      <c r="K653" s="3">
        <v>1</v>
      </c>
      <c r="L653" s="1" t="s">
        <v>28</v>
      </c>
      <c r="M653" s="1" t="s">
        <v>29</v>
      </c>
      <c r="N653" s="3">
        <v>2024010123</v>
      </c>
      <c r="O653" s="3">
        <f t="shared" si="90"/>
        <v>1.23</v>
      </c>
      <c r="P653" s="6">
        <f t="shared" si="91"/>
        <v>57501.27</v>
      </c>
      <c r="Q653" s="3" t="str">
        <f t="shared" si="92"/>
        <v>Excellent</v>
      </c>
      <c r="R653" s="3">
        <f t="shared" si="93"/>
        <v>4545</v>
      </c>
      <c r="S653" s="7">
        <f t="shared" si="94"/>
        <v>54540</v>
      </c>
      <c r="T653" s="3" t="str">
        <f t="shared" si="95"/>
        <v>High Profit</v>
      </c>
      <c r="U653" s="3" t="str">
        <f t="shared" si="96"/>
        <v>Low Discount</v>
      </c>
      <c r="V653" s="3" t="str">
        <f t="shared" si="97"/>
        <v>Priority D</v>
      </c>
      <c r="W653">
        <f t="shared" si="98"/>
        <v>7012.3499999999995</v>
      </c>
      <c r="X653" t="s">
        <v>23</v>
      </c>
      <c r="Y653" t="s">
        <v>23</v>
      </c>
      <c r="Z653" t="s">
        <v>23</v>
      </c>
      <c r="AA653" t="s">
        <v>23</v>
      </c>
      <c r="AB653" t="s">
        <v>23</v>
      </c>
      <c r="AC653" t="s">
        <v>23</v>
      </c>
      <c r="AD653" t="s">
        <v>23</v>
      </c>
      <c r="AE653" t="s">
        <v>23</v>
      </c>
      <c r="AF653" t="s">
        <v>23</v>
      </c>
      <c r="AG653" t="s">
        <v>23</v>
      </c>
      <c r="AH653" t="s">
        <v>23</v>
      </c>
      <c r="AI653" t="s">
        <v>23</v>
      </c>
      <c r="AJ653" t="s">
        <v>23</v>
      </c>
    </row>
    <row r="654" spans="1:36" x14ac:dyDescent="0.35">
      <c r="A654" s="2">
        <v>1652</v>
      </c>
      <c r="B654" s="4">
        <v>44993</v>
      </c>
      <c r="C654" s="1" t="s">
        <v>38</v>
      </c>
      <c r="D654" s="1" t="s">
        <v>25</v>
      </c>
      <c r="E654">
        <v>274010</v>
      </c>
      <c r="F654">
        <v>10</v>
      </c>
      <c r="G654" s="1" t="s">
        <v>26</v>
      </c>
      <c r="H654">
        <v>53297</v>
      </c>
      <c r="I654">
        <v>55714</v>
      </c>
      <c r="J654" s="1" t="s">
        <v>27</v>
      </c>
      <c r="K654" s="3">
        <v>1</v>
      </c>
      <c r="L654" s="1" t="s">
        <v>36</v>
      </c>
      <c r="M654" s="1" t="s">
        <v>29</v>
      </c>
      <c r="N654" s="3">
        <v>2024010123</v>
      </c>
      <c r="O654" s="3">
        <f t="shared" si="90"/>
        <v>1.23</v>
      </c>
      <c r="P654" s="6">
        <f t="shared" si="91"/>
        <v>337032.3</v>
      </c>
      <c r="Q654" s="3" t="str">
        <f t="shared" si="92"/>
        <v>Excellent</v>
      </c>
      <c r="R654" s="3">
        <f t="shared" si="93"/>
        <v>2417</v>
      </c>
      <c r="S654" s="7">
        <f t="shared" si="94"/>
        <v>24170</v>
      </c>
      <c r="T654" s="3" t="str">
        <f t="shared" si="95"/>
        <v>High Profit</v>
      </c>
      <c r="U654" s="3" t="str">
        <f t="shared" si="96"/>
        <v>Low Discount</v>
      </c>
      <c r="V654" s="3" t="str">
        <f t="shared" si="97"/>
        <v>Priority D</v>
      </c>
      <c r="W654">
        <f t="shared" si="98"/>
        <v>41101.5</v>
      </c>
      <c r="X654" t="s">
        <v>23</v>
      </c>
      <c r="Y654" t="s">
        <v>23</v>
      </c>
      <c r="Z654" t="s">
        <v>23</v>
      </c>
      <c r="AA654" t="s">
        <v>23</v>
      </c>
      <c r="AB654" t="s">
        <v>23</v>
      </c>
      <c r="AC654" t="s">
        <v>23</v>
      </c>
      <c r="AD654" t="s">
        <v>23</v>
      </c>
      <c r="AE654" t="s">
        <v>23</v>
      </c>
      <c r="AF654" t="s">
        <v>23</v>
      </c>
      <c r="AG654" t="s">
        <v>23</v>
      </c>
      <c r="AH654" t="s">
        <v>23</v>
      </c>
      <c r="AI654" t="s">
        <v>23</v>
      </c>
      <c r="AJ654" t="s">
        <v>23</v>
      </c>
    </row>
    <row r="655" spans="1:36" x14ac:dyDescent="0.35">
      <c r="A655" s="2">
        <v>1653</v>
      </c>
      <c r="B655" s="4">
        <v>45132</v>
      </c>
      <c r="C655" s="1" t="s">
        <v>24</v>
      </c>
      <c r="D655" s="1" t="s">
        <v>43</v>
      </c>
      <c r="E655">
        <v>821860</v>
      </c>
      <c r="F655">
        <v>12</v>
      </c>
      <c r="G655" s="1" t="s">
        <v>35</v>
      </c>
      <c r="H655">
        <v>22154</v>
      </c>
      <c r="I655">
        <v>25387</v>
      </c>
      <c r="J655" s="1" t="s">
        <v>33</v>
      </c>
      <c r="K655" s="3">
        <v>8</v>
      </c>
      <c r="L655" s="1" t="s">
        <v>36</v>
      </c>
      <c r="M655" s="1" t="s">
        <v>29</v>
      </c>
      <c r="N655" s="3">
        <v>2024010123</v>
      </c>
      <c r="O655" s="3">
        <f t="shared" si="90"/>
        <v>1.23</v>
      </c>
      <c r="P655" s="6">
        <f t="shared" si="91"/>
        <v>1010887.7999999999</v>
      </c>
      <c r="Q655" s="3" t="str">
        <f t="shared" si="92"/>
        <v>Excellent</v>
      </c>
      <c r="R655" s="3">
        <f t="shared" si="93"/>
        <v>3233</v>
      </c>
      <c r="S655" s="7">
        <f t="shared" si="94"/>
        <v>38796</v>
      </c>
      <c r="T655" s="3" t="str">
        <f t="shared" si="95"/>
        <v>High Profit</v>
      </c>
      <c r="U655" s="3" t="str">
        <f t="shared" si="96"/>
        <v>Medium Discount</v>
      </c>
      <c r="V655" s="3" t="str">
        <f t="shared" si="97"/>
        <v>Priority D</v>
      </c>
      <c r="W655">
        <f t="shared" si="98"/>
        <v>82186</v>
      </c>
      <c r="X655" t="s">
        <v>23</v>
      </c>
      <c r="Y655" t="s">
        <v>23</v>
      </c>
      <c r="Z655" t="s">
        <v>23</v>
      </c>
      <c r="AA655" t="s">
        <v>23</v>
      </c>
      <c r="AB655" t="s">
        <v>23</v>
      </c>
      <c r="AC655" t="s">
        <v>23</v>
      </c>
      <c r="AD655" t="s">
        <v>23</v>
      </c>
      <c r="AE655" t="s">
        <v>23</v>
      </c>
      <c r="AF655" t="s">
        <v>23</v>
      </c>
      <c r="AG655" t="s">
        <v>23</v>
      </c>
      <c r="AH655" t="s">
        <v>23</v>
      </c>
      <c r="AI655" t="s">
        <v>23</v>
      </c>
      <c r="AJ655" t="s">
        <v>23</v>
      </c>
    </row>
    <row r="656" spans="1:36" x14ac:dyDescent="0.35">
      <c r="A656" s="2">
        <v>1654</v>
      </c>
      <c r="B656" s="4">
        <v>44930</v>
      </c>
      <c r="C656" s="1" t="s">
        <v>38</v>
      </c>
      <c r="D656" s="1" t="s">
        <v>43</v>
      </c>
      <c r="E656">
        <v>815807</v>
      </c>
      <c r="F656">
        <v>12</v>
      </c>
      <c r="G656" s="1" t="s">
        <v>26</v>
      </c>
      <c r="H656">
        <v>42247</v>
      </c>
      <c r="I656">
        <v>46710</v>
      </c>
      <c r="J656" s="1" t="s">
        <v>33</v>
      </c>
      <c r="K656" s="3">
        <v>5</v>
      </c>
      <c r="L656" s="1" t="s">
        <v>28</v>
      </c>
      <c r="M656" s="1" t="s">
        <v>29</v>
      </c>
      <c r="N656" s="3">
        <v>2024010123</v>
      </c>
      <c r="O656" s="3">
        <f t="shared" si="90"/>
        <v>1.23</v>
      </c>
      <c r="P656" s="6">
        <f t="shared" si="91"/>
        <v>1003442.61</v>
      </c>
      <c r="Q656" s="3" t="str">
        <f t="shared" si="92"/>
        <v>Excellent</v>
      </c>
      <c r="R656" s="3">
        <f t="shared" si="93"/>
        <v>4463</v>
      </c>
      <c r="S656" s="7">
        <f t="shared" si="94"/>
        <v>53556</v>
      </c>
      <c r="T656" s="3" t="str">
        <f t="shared" si="95"/>
        <v>High Profit</v>
      </c>
      <c r="U656" s="3" t="str">
        <f t="shared" si="96"/>
        <v>Medium Discount</v>
      </c>
      <c r="V656" s="3" t="str">
        <f t="shared" si="97"/>
        <v>Priority D</v>
      </c>
      <c r="W656">
        <f t="shared" si="98"/>
        <v>81580.700000000012</v>
      </c>
      <c r="X656" t="s">
        <v>23</v>
      </c>
      <c r="Y656" t="s">
        <v>23</v>
      </c>
      <c r="Z656" t="s">
        <v>23</v>
      </c>
      <c r="AA656" t="s">
        <v>23</v>
      </c>
      <c r="AB656" t="s">
        <v>23</v>
      </c>
      <c r="AC656" t="s">
        <v>23</v>
      </c>
      <c r="AD656" t="s">
        <v>23</v>
      </c>
      <c r="AE656" t="s">
        <v>23</v>
      </c>
      <c r="AF656" t="s">
        <v>23</v>
      </c>
      <c r="AG656" t="s">
        <v>23</v>
      </c>
      <c r="AH656" t="s">
        <v>23</v>
      </c>
      <c r="AI656" t="s">
        <v>23</v>
      </c>
      <c r="AJ656" t="s">
        <v>23</v>
      </c>
    </row>
    <row r="657" spans="1:36" x14ac:dyDescent="0.35">
      <c r="A657" s="2">
        <v>1655</v>
      </c>
      <c r="B657" s="4">
        <v>45143</v>
      </c>
      <c r="C657" s="1" t="s">
        <v>41</v>
      </c>
      <c r="D657" s="1" t="s">
        <v>25</v>
      </c>
      <c r="E657">
        <v>26900</v>
      </c>
      <c r="F657">
        <v>12</v>
      </c>
      <c r="G657" s="1" t="s">
        <v>32</v>
      </c>
      <c r="H657">
        <v>28528</v>
      </c>
      <c r="I657">
        <v>32402</v>
      </c>
      <c r="J657" s="1" t="s">
        <v>27</v>
      </c>
      <c r="K657" s="3">
        <v>6</v>
      </c>
      <c r="L657" s="1" t="s">
        <v>36</v>
      </c>
      <c r="M657" s="1" t="s">
        <v>29</v>
      </c>
      <c r="N657" s="3">
        <v>2024010123</v>
      </c>
      <c r="O657" s="3">
        <f t="shared" si="90"/>
        <v>1.23</v>
      </c>
      <c r="P657" s="6">
        <f t="shared" si="91"/>
        <v>33087</v>
      </c>
      <c r="Q657" s="3" t="str">
        <f t="shared" si="92"/>
        <v>Excellent</v>
      </c>
      <c r="R657" s="3">
        <f t="shared" si="93"/>
        <v>3874</v>
      </c>
      <c r="S657" s="7">
        <f t="shared" si="94"/>
        <v>46488</v>
      </c>
      <c r="T657" s="3" t="str">
        <f t="shared" si="95"/>
        <v>High Profit</v>
      </c>
      <c r="U657" s="3" t="str">
        <f t="shared" si="96"/>
        <v>Medium Discount</v>
      </c>
      <c r="V657" s="3" t="str">
        <f t="shared" si="97"/>
        <v>Priority D</v>
      </c>
      <c r="W657">
        <f t="shared" si="98"/>
        <v>4035</v>
      </c>
      <c r="X657" t="s">
        <v>23</v>
      </c>
      <c r="Y657" t="s">
        <v>23</v>
      </c>
      <c r="Z657" t="s">
        <v>23</v>
      </c>
      <c r="AA657" t="s">
        <v>23</v>
      </c>
      <c r="AB657" t="s">
        <v>23</v>
      </c>
      <c r="AC657" t="s">
        <v>23</v>
      </c>
      <c r="AD657" t="s">
        <v>23</v>
      </c>
      <c r="AE657" t="s">
        <v>23</v>
      </c>
      <c r="AF657" t="s">
        <v>23</v>
      </c>
      <c r="AG657" t="s">
        <v>23</v>
      </c>
      <c r="AH657" t="s">
        <v>23</v>
      </c>
      <c r="AI657" t="s">
        <v>23</v>
      </c>
      <c r="AJ657" t="s">
        <v>23</v>
      </c>
    </row>
    <row r="658" spans="1:36" x14ac:dyDescent="0.35">
      <c r="A658" s="2">
        <v>1656</v>
      </c>
      <c r="B658" s="4">
        <v>45132</v>
      </c>
      <c r="C658" s="1" t="s">
        <v>24</v>
      </c>
      <c r="D658" s="1" t="s">
        <v>31</v>
      </c>
      <c r="E658">
        <v>962815</v>
      </c>
      <c r="F658">
        <v>12</v>
      </c>
      <c r="G658" s="1" t="s">
        <v>26</v>
      </c>
      <c r="H658">
        <v>36045</v>
      </c>
      <c r="I658">
        <v>40410</v>
      </c>
      <c r="J658" s="1" t="s">
        <v>33</v>
      </c>
      <c r="K658" s="3">
        <v>17</v>
      </c>
      <c r="L658" s="1" t="s">
        <v>28</v>
      </c>
      <c r="M658" s="1" t="s">
        <v>29</v>
      </c>
      <c r="N658" s="3">
        <v>2024010123</v>
      </c>
      <c r="O658" s="3">
        <f t="shared" si="90"/>
        <v>1.23</v>
      </c>
      <c r="P658" s="6">
        <f t="shared" si="91"/>
        <v>1184262.45</v>
      </c>
      <c r="Q658" s="3" t="str">
        <f t="shared" si="92"/>
        <v>Excellent</v>
      </c>
      <c r="R658" s="3">
        <f t="shared" si="93"/>
        <v>4365</v>
      </c>
      <c r="S658" s="7">
        <f t="shared" si="94"/>
        <v>52380</v>
      </c>
      <c r="T658" s="3" t="str">
        <f t="shared" si="95"/>
        <v>High Profit</v>
      </c>
      <c r="U658" s="3" t="str">
        <f t="shared" si="96"/>
        <v>High Discount</v>
      </c>
      <c r="V658" s="3" t="str">
        <f t="shared" si="97"/>
        <v>Priority D</v>
      </c>
      <c r="W658">
        <f t="shared" si="98"/>
        <v>96281.5</v>
      </c>
      <c r="X658" t="s">
        <v>23</v>
      </c>
      <c r="Y658" t="s">
        <v>23</v>
      </c>
      <c r="Z658" t="s">
        <v>23</v>
      </c>
      <c r="AA658" t="s">
        <v>23</v>
      </c>
      <c r="AB658" t="s">
        <v>23</v>
      </c>
      <c r="AC658" t="s">
        <v>23</v>
      </c>
      <c r="AD658" t="s">
        <v>23</v>
      </c>
      <c r="AE658" t="s">
        <v>23</v>
      </c>
      <c r="AF658" t="s">
        <v>23</v>
      </c>
      <c r="AG658" t="s">
        <v>23</v>
      </c>
      <c r="AH658" t="s">
        <v>23</v>
      </c>
      <c r="AI658" t="s">
        <v>23</v>
      </c>
      <c r="AJ658" t="s">
        <v>23</v>
      </c>
    </row>
    <row r="659" spans="1:36" x14ac:dyDescent="0.35">
      <c r="A659" s="2">
        <v>1657</v>
      </c>
      <c r="B659" s="4">
        <v>44937</v>
      </c>
      <c r="C659" s="1" t="s">
        <v>41</v>
      </c>
      <c r="D659" s="1" t="s">
        <v>43</v>
      </c>
      <c r="E659">
        <v>866323</v>
      </c>
      <c r="F659">
        <v>12</v>
      </c>
      <c r="G659" s="1" t="s">
        <v>26</v>
      </c>
      <c r="H659">
        <v>38137</v>
      </c>
      <c r="I659">
        <v>42680</v>
      </c>
      <c r="J659" s="1" t="s">
        <v>33</v>
      </c>
      <c r="K659" s="3">
        <v>26</v>
      </c>
      <c r="L659" s="1" t="s">
        <v>28</v>
      </c>
      <c r="M659" s="1" t="s">
        <v>37</v>
      </c>
      <c r="N659" s="3">
        <v>2024010123</v>
      </c>
      <c r="O659" s="3">
        <f t="shared" si="90"/>
        <v>1.23</v>
      </c>
      <c r="P659" s="6">
        <f t="shared" si="91"/>
        <v>1065577.29</v>
      </c>
      <c r="Q659" s="3" t="str">
        <f t="shared" si="92"/>
        <v>Excellent</v>
      </c>
      <c r="R659" s="3">
        <f t="shared" si="93"/>
        <v>4543</v>
      </c>
      <c r="S659" s="7">
        <f t="shared" si="94"/>
        <v>54516</v>
      </c>
      <c r="T659" s="3" t="str">
        <f t="shared" si="95"/>
        <v>High Profit</v>
      </c>
      <c r="U659" s="3" t="str">
        <f t="shared" si="96"/>
        <v>High Discount</v>
      </c>
      <c r="V659" s="3" t="str">
        <f t="shared" si="97"/>
        <v>Priority C</v>
      </c>
      <c r="W659">
        <f t="shared" si="98"/>
        <v>86632.3</v>
      </c>
      <c r="X659" t="s">
        <v>23</v>
      </c>
      <c r="Y659" t="s">
        <v>23</v>
      </c>
      <c r="Z659" t="s">
        <v>23</v>
      </c>
      <c r="AA659" t="s">
        <v>23</v>
      </c>
      <c r="AB659" t="s">
        <v>23</v>
      </c>
      <c r="AC659" t="s">
        <v>23</v>
      </c>
      <c r="AD659" t="s">
        <v>23</v>
      </c>
      <c r="AE659" t="s">
        <v>23</v>
      </c>
      <c r="AF659" t="s">
        <v>23</v>
      </c>
      <c r="AG659" t="s">
        <v>23</v>
      </c>
      <c r="AH659" t="s">
        <v>23</v>
      </c>
      <c r="AI659" t="s">
        <v>23</v>
      </c>
      <c r="AJ659" t="s">
        <v>23</v>
      </c>
    </row>
    <row r="660" spans="1:36" x14ac:dyDescent="0.35">
      <c r="A660" s="2">
        <v>1658</v>
      </c>
      <c r="B660" s="4">
        <v>45248</v>
      </c>
      <c r="C660" s="1" t="s">
        <v>34</v>
      </c>
      <c r="D660" s="1" t="s">
        <v>43</v>
      </c>
      <c r="E660">
        <v>491050</v>
      </c>
      <c r="F660">
        <v>12</v>
      </c>
      <c r="G660" s="1" t="s">
        <v>39</v>
      </c>
      <c r="H660">
        <v>42177</v>
      </c>
      <c r="I660">
        <v>45235</v>
      </c>
      <c r="J660" s="1" t="s">
        <v>27</v>
      </c>
      <c r="K660" s="3">
        <v>17</v>
      </c>
      <c r="L660" s="1" t="s">
        <v>36</v>
      </c>
      <c r="M660" s="1" t="s">
        <v>29</v>
      </c>
      <c r="N660" s="3">
        <v>2024010123</v>
      </c>
      <c r="O660" s="3">
        <f t="shared" si="90"/>
        <v>1.23</v>
      </c>
      <c r="P660" s="6">
        <f t="shared" si="91"/>
        <v>603991.5</v>
      </c>
      <c r="Q660" s="3" t="str">
        <f t="shared" si="92"/>
        <v>Excellent</v>
      </c>
      <c r="R660" s="3">
        <f t="shared" si="93"/>
        <v>3058</v>
      </c>
      <c r="S660" s="7">
        <f t="shared" si="94"/>
        <v>36696</v>
      </c>
      <c r="T660" s="3" t="str">
        <f t="shared" si="95"/>
        <v>High Profit</v>
      </c>
      <c r="U660" s="3" t="str">
        <f t="shared" si="96"/>
        <v>High Discount</v>
      </c>
      <c r="V660" s="3" t="str">
        <f t="shared" si="97"/>
        <v>Priority D</v>
      </c>
      <c r="W660">
        <f t="shared" si="98"/>
        <v>73657.5</v>
      </c>
      <c r="X660" t="s">
        <v>23</v>
      </c>
      <c r="Y660" t="s">
        <v>23</v>
      </c>
      <c r="Z660" t="s">
        <v>23</v>
      </c>
      <c r="AA660" t="s">
        <v>23</v>
      </c>
      <c r="AB660" t="s">
        <v>23</v>
      </c>
      <c r="AC660" t="s">
        <v>23</v>
      </c>
      <c r="AD660" t="s">
        <v>23</v>
      </c>
      <c r="AE660" t="s">
        <v>23</v>
      </c>
      <c r="AF660" t="s">
        <v>23</v>
      </c>
      <c r="AG660" t="s">
        <v>23</v>
      </c>
      <c r="AH660" t="s">
        <v>23</v>
      </c>
      <c r="AI660" t="s">
        <v>23</v>
      </c>
      <c r="AJ660" t="s">
        <v>23</v>
      </c>
    </row>
    <row r="661" spans="1:36" x14ac:dyDescent="0.35">
      <c r="A661" s="2">
        <v>1659</v>
      </c>
      <c r="B661" s="4">
        <v>45284</v>
      </c>
      <c r="C661" s="1" t="s">
        <v>41</v>
      </c>
      <c r="D661" s="1" t="s">
        <v>25</v>
      </c>
      <c r="E661">
        <v>616154</v>
      </c>
      <c r="F661">
        <v>12</v>
      </c>
      <c r="G661" s="1" t="s">
        <v>32</v>
      </c>
      <c r="H661">
        <v>21704</v>
      </c>
      <c r="I661">
        <v>25118</v>
      </c>
      <c r="J661" s="1" t="s">
        <v>33</v>
      </c>
      <c r="K661" s="3">
        <v>17</v>
      </c>
      <c r="L661" s="1" t="s">
        <v>40</v>
      </c>
      <c r="M661" s="1" t="s">
        <v>37</v>
      </c>
      <c r="N661" s="3">
        <v>2024010123</v>
      </c>
      <c r="O661" s="3">
        <f t="shared" si="90"/>
        <v>1.23</v>
      </c>
      <c r="P661" s="6">
        <f t="shared" si="91"/>
        <v>757869.42</v>
      </c>
      <c r="Q661" s="3" t="str">
        <f t="shared" si="92"/>
        <v>Excellent</v>
      </c>
      <c r="R661" s="3">
        <f t="shared" si="93"/>
        <v>3414</v>
      </c>
      <c r="S661" s="7">
        <f t="shared" si="94"/>
        <v>40968</v>
      </c>
      <c r="T661" s="3" t="str">
        <f t="shared" si="95"/>
        <v>High Profit</v>
      </c>
      <c r="U661" s="3" t="str">
        <f t="shared" si="96"/>
        <v>High Discount</v>
      </c>
      <c r="V661" s="3" t="str">
        <f t="shared" si="97"/>
        <v>Priority C</v>
      </c>
      <c r="W661">
        <f t="shared" si="98"/>
        <v>61615.4</v>
      </c>
      <c r="X661" t="s">
        <v>23</v>
      </c>
      <c r="Y661" t="s">
        <v>23</v>
      </c>
      <c r="Z661" t="s">
        <v>23</v>
      </c>
      <c r="AA661" t="s">
        <v>23</v>
      </c>
      <c r="AB661" t="s">
        <v>23</v>
      </c>
      <c r="AC661" t="s">
        <v>23</v>
      </c>
      <c r="AD661" t="s">
        <v>23</v>
      </c>
      <c r="AE661" t="s">
        <v>23</v>
      </c>
      <c r="AF661" t="s">
        <v>23</v>
      </c>
      <c r="AG661" t="s">
        <v>23</v>
      </c>
      <c r="AH661" t="s">
        <v>23</v>
      </c>
      <c r="AI661" t="s">
        <v>23</v>
      </c>
      <c r="AJ661" t="s">
        <v>23</v>
      </c>
    </row>
    <row r="662" spans="1:36" x14ac:dyDescent="0.35">
      <c r="A662" s="2">
        <v>1660</v>
      </c>
      <c r="B662" s="4">
        <v>45144</v>
      </c>
      <c r="C662" s="1" t="s">
        <v>41</v>
      </c>
      <c r="D662" s="1" t="s">
        <v>31</v>
      </c>
      <c r="E662">
        <v>387915</v>
      </c>
      <c r="F662">
        <v>30</v>
      </c>
      <c r="G662" s="1" t="s">
        <v>32</v>
      </c>
      <c r="H662">
        <v>20936</v>
      </c>
      <c r="I662">
        <v>29447</v>
      </c>
      <c r="J662" s="1" t="s">
        <v>27</v>
      </c>
      <c r="K662" s="3">
        <v>0</v>
      </c>
      <c r="L662" s="1" t="s">
        <v>28</v>
      </c>
      <c r="M662" s="1" t="s">
        <v>29</v>
      </c>
      <c r="N662" s="3">
        <v>2024010123</v>
      </c>
      <c r="O662" s="3">
        <f t="shared" si="90"/>
        <v>1.23</v>
      </c>
      <c r="P662" s="6">
        <f t="shared" si="91"/>
        <v>477135.45</v>
      </c>
      <c r="Q662" s="3" t="str">
        <f t="shared" si="92"/>
        <v>Excellent</v>
      </c>
      <c r="R662" s="3">
        <f t="shared" si="93"/>
        <v>8511</v>
      </c>
      <c r="S662" s="7">
        <f t="shared" si="94"/>
        <v>255330</v>
      </c>
      <c r="T662" s="3" t="str">
        <f t="shared" si="95"/>
        <v>High Profit</v>
      </c>
      <c r="U662" s="3" t="str">
        <f t="shared" si="96"/>
        <v>No Discount</v>
      </c>
      <c r="V662" s="3" t="str">
        <f t="shared" si="97"/>
        <v>Priority B</v>
      </c>
      <c r="W662">
        <f t="shared" si="98"/>
        <v>58187.25</v>
      </c>
      <c r="X662" t="s">
        <v>23</v>
      </c>
      <c r="Y662" t="s">
        <v>23</v>
      </c>
      <c r="Z662" t="s">
        <v>23</v>
      </c>
      <c r="AA662" t="s">
        <v>23</v>
      </c>
      <c r="AB662" t="s">
        <v>23</v>
      </c>
      <c r="AC662" t="s">
        <v>23</v>
      </c>
      <c r="AD662" t="s">
        <v>23</v>
      </c>
      <c r="AE662" t="s">
        <v>23</v>
      </c>
      <c r="AF662" t="s">
        <v>23</v>
      </c>
      <c r="AG662" t="s">
        <v>23</v>
      </c>
      <c r="AH662" t="s">
        <v>23</v>
      </c>
      <c r="AI662" t="s">
        <v>23</v>
      </c>
      <c r="AJ662" t="s">
        <v>23</v>
      </c>
    </row>
    <row r="663" spans="1:36" x14ac:dyDescent="0.35">
      <c r="A663" s="2">
        <v>1661</v>
      </c>
      <c r="B663" s="4">
        <v>45236</v>
      </c>
      <c r="C663" s="1" t="s">
        <v>24</v>
      </c>
      <c r="D663" s="1" t="s">
        <v>42</v>
      </c>
      <c r="E663">
        <v>635610</v>
      </c>
      <c r="F663">
        <v>34</v>
      </c>
      <c r="G663" s="1" t="s">
        <v>26</v>
      </c>
      <c r="H663">
        <v>15841</v>
      </c>
      <c r="I663">
        <v>23598</v>
      </c>
      <c r="J663" s="1" t="s">
        <v>27</v>
      </c>
      <c r="K663" s="3">
        <v>1</v>
      </c>
      <c r="L663" s="1" t="s">
        <v>40</v>
      </c>
      <c r="M663" s="1" t="s">
        <v>37</v>
      </c>
      <c r="N663" s="3">
        <v>2024010123</v>
      </c>
      <c r="O663" s="3">
        <f t="shared" si="90"/>
        <v>1.23</v>
      </c>
      <c r="P663" s="6">
        <f t="shared" si="91"/>
        <v>781800.3</v>
      </c>
      <c r="Q663" s="3" t="str">
        <f t="shared" si="92"/>
        <v>Excellent</v>
      </c>
      <c r="R663" s="3">
        <f t="shared" si="93"/>
        <v>7757</v>
      </c>
      <c r="S663" s="7">
        <f t="shared" si="94"/>
        <v>263738</v>
      </c>
      <c r="T663" s="3" t="str">
        <f t="shared" si="95"/>
        <v>High Profit</v>
      </c>
      <c r="U663" s="3" t="str">
        <f t="shared" si="96"/>
        <v>Low Discount</v>
      </c>
      <c r="V663" s="3" t="str">
        <f t="shared" si="97"/>
        <v>Priority C</v>
      </c>
      <c r="W663">
        <f t="shared" si="98"/>
        <v>95341.5</v>
      </c>
      <c r="X663" t="s">
        <v>23</v>
      </c>
      <c r="Y663" t="s">
        <v>23</v>
      </c>
      <c r="Z663" t="s">
        <v>23</v>
      </c>
      <c r="AA663" t="s">
        <v>23</v>
      </c>
      <c r="AB663" t="s">
        <v>23</v>
      </c>
      <c r="AC663" t="s">
        <v>23</v>
      </c>
      <c r="AD663" t="s">
        <v>23</v>
      </c>
      <c r="AE663" t="s">
        <v>23</v>
      </c>
      <c r="AF663" t="s">
        <v>23</v>
      </c>
      <c r="AG663" t="s">
        <v>23</v>
      </c>
      <c r="AH663" t="s">
        <v>23</v>
      </c>
      <c r="AI663" t="s">
        <v>23</v>
      </c>
      <c r="AJ663" t="s">
        <v>23</v>
      </c>
    </row>
    <row r="664" spans="1:36" x14ac:dyDescent="0.35">
      <c r="A664" s="2">
        <v>1662</v>
      </c>
      <c r="B664" s="4">
        <v>45143</v>
      </c>
      <c r="C664" s="1" t="s">
        <v>34</v>
      </c>
      <c r="D664" s="1" t="s">
        <v>31</v>
      </c>
      <c r="E664">
        <v>295120</v>
      </c>
      <c r="F664">
        <v>12</v>
      </c>
      <c r="G664" s="1" t="s">
        <v>35</v>
      </c>
      <c r="H664">
        <v>26823</v>
      </c>
      <c r="I664">
        <v>35721</v>
      </c>
      <c r="J664" s="1" t="s">
        <v>33</v>
      </c>
      <c r="K664" s="3">
        <v>1</v>
      </c>
      <c r="L664" s="1" t="s">
        <v>36</v>
      </c>
      <c r="M664" s="1" t="s">
        <v>37</v>
      </c>
      <c r="N664" s="3">
        <v>2024010123</v>
      </c>
      <c r="O664" s="3">
        <f t="shared" si="90"/>
        <v>1.23</v>
      </c>
      <c r="P664" s="6">
        <f t="shared" si="91"/>
        <v>362997.6</v>
      </c>
      <c r="Q664" s="3" t="str">
        <f t="shared" si="92"/>
        <v>Excellent</v>
      </c>
      <c r="R664" s="3">
        <f t="shared" si="93"/>
        <v>8898</v>
      </c>
      <c r="S664" s="7">
        <f t="shared" si="94"/>
        <v>106776</v>
      </c>
      <c r="T664" s="3" t="str">
        <f t="shared" si="95"/>
        <v>High Profit</v>
      </c>
      <c r="U664" s="3" t="str">
        <f t="shared" si="96"/>
        <v>Low Discount</v>
      </c>
      <c r="V664" s="3" t="str">
        <f t="shared" si="97"/>
        <v>Priority C</v>
      </c>
      <c r="W664">
        <f t="shared" si="98"/>
        <v>29512</v>
      </c>
      <c r="X664" t="s">
        <v>23</v>
      </c>
      <c r="Y664" t="s">
        <v>23</v>
      </c>
      <c r="Z664" t="s">
        <v>23</v>
      </c>
      <c r="AA664" t="s">
        <v>23</v>
      </c>
      <c r="AB664" t="s">
        <v>23</v>
      </c>
      <c r="AC664" t="s">
        <v>23</v>
      </c>
      <c r="AD664" t="s">
        <v>23</v>
      </c>
      <c r="AE664" t="s">
        <v>23</v>
      </c>
      <c r="AF664" t="s">
        <v>23</v>
      </c>
      <c r="AG664" t="s">
        <v>23</v>
      </c>
      <c r="AH664" t="s">
        <v>23</v>
      </c>
      <c r="AI664" t="s">
        <v>23</v>
      </c>
      <c r="AJ664" t="s">
        <v>23</v>
      </c>
    </row>
    <row r="665" spans="1:36" x14ac:dyDescent="0.35">
      <c r="A665" s="2">
        <v>1663</v>
      </c>
      <c r="B665" s="4">
        <v>45143</v>
      </c>
      <c r="C665" s="1" t="s">
        <v>38</v>
      </c>
      <c r="D665" s="1" t="s">
        <v>42</v>
      </c>
      <c r="E665">
        <v>740333</v>
      </c>
      <c r="F665">
        <v>31</v>
      </c>
      <c r="G665" s="1" t="s">
        <v>26</v>
      </c>
      <c r="H665">
        <v>16749</v>
      </c>
      <c r="I665">
        <v>24959</v>
      </c>
      <c r="J665" s="1" t="s">
        <v>27</v>
      </c>
      <c r="K665" s="3">
        <v>6</v>
      </c>
      <c r="L665" s="1" t="s">
        <v>40</v>
      </c>
      <c r="M665" s="1" t="s">
        <v>29</v>
      </c>
      <c r="N665" s="3">
        <v>2024010123</v>
      </c>
      <c r="O665" s="3">
        <f t="shared" si="90"/>
        <v>1.23</v>
      </c>
      <c r="P665" s="6">
        <f t="shared" si="91"/>
        <v>910609.59</v>
      </c>
      <c r="Q665" s="3" t="str">
        <f t="shared" si="92"/>
        <v>Excellent</v>
      </c>
      <c r="R665" s="3">
        <f t="shared" si="93"/>
        <v>8210</v>
      </c>
      <c r="S665" s="7">
        <f t="shared" si="94"/>
        <v>254510</v>
      </c>
      <c r="T665" s="3" t="str">
        <f t="shared" si="95"/>
        <v>High Profit</v>
      </c>
      <c r="U665" s="3" t="str">
        <f t="shared" si="96"/>
        <v>Medium Discount</v>
      </c>
      <c r="V665" s="3" t="str">
        <f t="shared" si="97"/>
        <v>Priority C</v>
      </c>
      <c r="W665">
        <f t="shared" si="98"/>
        <v>111049.95</v>
      </c>
      <c r="X665" t="s">
        <v>23</v>
      </c>
      <c r="Y665" t="s">
        <v>23</v>
      </c>
      <c r="Z665" t="s">
        <v>23</v>
      </c>
      <c r="AA665" t="s">
        <v>23</v>
      </c>
      <c r="AB665" t="s">
        <v>23</v>
      </c>
      <c r="AC665" t="s">
        <v>23</v>
      </c>
      <c r="AD665" t="s">
        <v>23</v>
      </c>
      <c r="AE665" t="s">
        <v>23</v>
      </c>
      <c r="AF665" t="s">
        <v>23</v>
      </c>
      <c r="AG665" t="s">
        <v>23</v>
      </c>
      <c r="AH665" t="s">
        <v>23</v>
      </c>
      <c r="AI665" t="s">
        <v>23</v>
      </c>
      <c r="AJ665" t="s">
        <v>23</v>
      </c>
    </row>
    <row r="666" spans="1:36" x14ac:dyDescent="0.35">
      <c r="A666" s="2">
        <v>1664</v>
      </c>
      <c r="B666" s="4">
        <v>45157</v>
      </c>
      <c r="C666" s="1" t="s">
        <v>34</v>
      </c>
      <c r="D666" s="1" t="s">
        <v>42</v>
      </c>
      <c r="E666">
        <v>108037</v>
      </c>
      <c r="F666">
        <v>12</v>
      </c>
      <c r="G666" s="1" t="s">
        <v>39</v>
      </c>
      <c r="H666">
        <v>14611</v>
      </c>
      <c r="I666">
        <v>27201</v>
      </c>
      <c r="J666" s="1" t="s">
        <v>27</v>
      </c>
      <c r="K666" s="3">
        <v>7</v>
      </c>
      <c r="L666" s="1" t="s">
        <v>40</v>
      </c>
      <c r="M666" s="1" t="s">
        <v>29</v>
      </c>
      <c r="N666" s="3">
        <v>2024010123</v>
      </c>
      <c r="O666" s="3">
        <f t="shared" si="90"/>
        <v>1.23</v>
      </c>
      <c r="P666" s="6">
        <f t="shared" si="91"/>
        <v>132885.51</v>
      </c>
      <c r="Q666" s="3" t="str">
        <f t="shared" si="92"/>
        <v>Excellent</v>
      </c>
      <c r="R666" s="3">
        <f t="shared" si="93"/>
        <v>12590</v>
      </c>
      <c r="S666" s="7">
        <f t="shared" si="94"/>
        <v>151080</v>
      </c>
      <c r="T666" s="3" t="str">
        <f t="shared" si="95"/>
        <v>High Profit</v>
      </c>
      <c r="U666" s="3" t="str">
        <f t="shared" si="96"/>
        <v>Medium Discount</v>
      </c>
      <c r="V666" s="3" t="str">
        <f t="shared" si="97"/>
        <v>Priority D</v>
      </c>
      <c r="W666">
        <f t="shared" si="98"/>
        <v>16205.55</v>
      </c>
      <c r="X666" t="s">
        <v>23</v>
      </c>
      <c r="Y666" t="s">
        <v>23</v>
      </c>
      <c r="Z666" t="s">
        <v>23</v>
      </c>
      <c r="AA666" t="s">
        <v>23</v>
      </c>
      <c r="AB666" t="s">
        <v>23</v>
      </c>
      <c r="AC666" t="s">
        <v>23</v>
      </c>
      <c r="AD666" t="s">
        <v>23</v>
      </c>
      <c r="AE666" t="s">
        <v>23</v>
      </c>
      <c r="AF666" t="s">
        <v>23</v>
      </c>
      <c r="AG666" t="s">
        <v>23</v>
      </c>
      <c r="AH666" t="s">
        <v>23</v>
      </c>
      <c r="AI666" t="s">
        <v>23</v>
      </c>
      <c r="AJ666" t="s">
        <v>23</v>
      </c>
    </row>
    <row r="667" spans="1:36" x14ac:dyDescent="0.35">
      <c r="A667" s="2">
        <v>1665</v>
      </c>
      <c r="B667" s="4">
        <v>45289</v>
      </c>
      <c r="C667" s="1" t="s">
        <v>30</v>
      </c>
      <c r="D667" s="1" t="s">
        <v>43</v>
      </c>
      <c r="E667">
        <v>155552</v>
      </c>
      <c r="F667">
        <v>27</v>
      </c>
      <c r="G667" s="1" t="s">
        <v>35</v>
      </c>
      <c r="H667">
        <v>17236</v>
      </c>
      <c r="I667">
        <v>28670</v>
      </c>
      <c r="J667" s="1" t="s">
        <v>33</v>
      </c>
      <c r="K667" s="3">
        <v>10</v>
      </c>
      <c r="L667" s="1" t="s">
        <v>40</v>
      </c>
      <c r="M667" s="1" t="s">
        <v>37</v>
      </c>
      <c r="N667" s="3">
        <v>2024010123</v>
      </c>
      <c r="O667" s="3">
        <f t="shared" si="90"/>
        <v>1.23</v>
      </c>
      <c r="P667" s="6">
        <f t="shared" si="91"/>
        <v>191328.96</v>
      </c>
      <c r="Q667" s="3" t="str">
        <f t="shared" si="92"/>
        <v>Excellent</v>
      </c>
      <c r="R667" s="3">
        <f t="shared" si="93"/>
        <v>11434</v>
      </c>
      <c r="S667" s="7">
        <f t="shared" si="94"/>
        <v>308718</v>
      </c>
      <c r="T667" s="3" t="str">
        <f t="shared" si="95"/>
        <v>High Profit</v>
      </c>
      <c r="U667" s="3" t="str">
        <f t="shared" si="96"/>
        <v>Medium Discount</v>
      </c>
      <c r="V667" s="3" t="str">
        <f t="shared" si="97"/>
        <v>Priority C</v>
      </c>
      <c r="W667">
        <f t="shared" si="98"/>
        <v>15555.2</v>
      </c>
      <c r="X667" t="s">
        <v>23</v>
      </c>
      <c r="Y667" t="s">
        <v>23</v>
      </c>
      <c r="Z667" t="s">
        <v>23</v>
      </c>
      <c r="AA667" t="s">
        <v>23</v>
      </c>
      <c r="AB667" t="s">
        <v>23</v>
      </c>
      <c r="AC667" t="s">
        <v>23</v>
      </c>
      <c r="AD667" t="s">
        <v>23</v>
      </c>
      <c r="AE667" t="s">
        <v>23</v>
      </c>
      <c r="AF667" t="s">
        <v>23</v>
      </c>
      <c r="AG667" t="s">
        <v>23</v>
      </c>
      <c r="AH667" t="s">
        <v>23</v>
      </c>
      <c r="AI667" t="s">
        <v>23</v>
      </c>
      <c r="AJ667" t="s">
        <v>23</v>
      </c>
    </row>
    <row r="668" spans="1:36" x14ac:dyDescent="0.35">
      <c r="A668" s="2">
        <v>1666</v>
      </c>
      <c r="B668" s="4">
        <v>44984</v>
      </c>
      <c r="C668" s="1" t="s">
        <v>41</v>
      </c>
      <c r="D668" s="1" t="s">
        <v>43</v>
      </c>
      <c r="E668">
        <v>688071</v>
      </c>
      <c r="F668">
        <v>12</v>
      </c>
      <c r="G668" s="1" t="s">
        <v>39</v>
      </c>
      <c r="H668">
        <v>25610</v>
      </c>
      <c r="I668">
        <v>37832</v>
      </c>
      <c r="J668" s="1" t="s">
        <v>33</v>
      </c>
      <c r="K668" s="3">
        <v>25</v>
      </c>
      <c r="L668" s="1" t="s">
        <v>28</v>
      </c>
      <c r="M668" s="1" t="s">
        <v>29</v>
      </c>
      <c r="N668" s="3">
        <v>2024010123</v>
      </c>
      <c r="O668" s="3">
        <f t="shared" si="90"/>
        <v>1.23</v>
      </c>
      <c r="P668" s="6">
        <f t="shared" si="91"/>
        <v>846327.33</v>
      </c>
      <c r="Q668" s="3" t="str">
        <f t="shared" si="92"/>
        <v>Excellent</v>
      </c>
      <c r="R668" s="3">
        <f t="shared" si="93"/>
        <v>12222</v>
      </c>
      <c r="S668" s="7">
        <f t="shared" si="94"/>
        <v>146664</v>
      </c>
      <c r="T668" s="3" t="str">
        <f t="shared" si="95"/>
        <v>High Profit</v>
      </c>
      <c r="U668" s="3" t="str">
        <f t="shared" si="96"/>
        <v>High Discount</v>
      </c>
      <c r="V668" s="3" t="str">
        <f t="shared" si="97"/>
        <v>Priority D</v>
      </c>
      <c r="W668">
        <f t="shared" si="98"/>
        <v>68807.100000000006</v>
      </c>
      <c r="X668" t="s">
        <v>23</v>
      </c>
      <c r="Y668" t="s">
        <v>23</v>
      </c>
      <c r="Z668" t="s">
        <v>23</v>
      </c>
      <c r="AA668" t="s">
        <v>23</v>
      </c>
      <c r="AB668" t="s">
        <v>23</v>
      </c>
      <c r="AC668" t="s">
        <v>23</v>
      </c>
      <c r="AD668" t="s">
        <v>23</v>
      </c>
      <c r="AE668" t="s">
        <v>23</v>
      </c>
      <c r="AF668" t="s">
        <v>23</v>
      </c>
      <c r="AG668" t="s">
        <v>23</v>
      </c>
      <c r="AH668" t="s">
        <v>23</v>
      </c>
      <c r="AI668" t="s">
        <v>23</v>
      </c>
      <c r="AJ668" t="s">
        <v>23</v>
      </c>
    </row>
    <row r="669" spans="1:36" x14ac:dyDescent="0.35">
      <c r="A669" s="2">
        <v>1667</v>
      </c>
      <c r="B669" s="4">
        <v>45290</v>
      </c>
      <c r="C669" s="1" t="s">
        <v>30</v>
      </c>
      <c r="D669" s="1" t="s">
        <v>43</v>
      </c>
      <c r="E669">
        <v>171109</v>
      </c>
      <c r="F669">
        <v>23</v>
      </c>
      <c r="G669" s="1" t="s">
        <v>32</v>
      </c>
      <c r="H669">
        <v>27649</v>
      </c>
      <c r="I669">
        <v>37717</v>
      </c>
      <c r="J669" s="1" t="s">
        <v>27</v>
      </c>
      <c r="K669" s="3">
        <v>16</v>
      </c>
      <c r="L669" s="1" t="s">
        <v>36</v>
      </c>
      <c r="M669" s="1" t="s">
        <v>37</v>
      </c>
      <c r="N669" s="3">
        <v>2024010123</v>
      </c>
      <c r="O669" s="3">
        <f t="shared" si="90"/>
        <v>1.23</v>
      </c>
      <c r="P669" s="6">
        <f t="shared" si="91"/>
        <v>210464.07</v>
      </c>
      <c r="Q669" s="3" t="str">
        <f t="shared" si="92"/>
        <v>Excellent</v>
      </c>
      <c r="R669" s="3">
        <f t="shared" si="93"/>
        <v>10068</v>
      </c>
      <c r="S669" s="7">
        <f t="shared" si="94"/>
        <v>231564</v>
      </c>
      <c r="T669" s="3" t="str">
        <f t="shared" si="95"/>
        <v>High Profit</v>
      </c>
      <c r="U669" s="3" t="str">
        <f t="shared" si="96"/>
        <v>High Discount</v>
      </c>
      <c r="V669" s="3" t="str">
        <f t="shared" si="97"/>
        <v>Priority B</v>
      </c>
      <c r="W669">
        <f t="shared" si="98"/>
        <v>25666.35</v>
      </c>
      <c r="X669" t="s">
        <v>23</v>
      </c>
      <c r="Y669" t="s">
        <v>23</v>
      </c>
      <c r="Z669" t="s">
        <v>23</v>
      </c>
      <c r="AA669" t="s">
        <v>23</v>
      </c>
      <c r="AB669" t="s">
        <v>23</v>
      </c>
      <c r="AC669" t="s">
        <v>23</v>
      </c>
      <c r="AD669" t="s">
        <v>23</v>
      </c>
      <c r="AE669" t="s">
        <v>23</v>
      </c>
      <c r="AF669" t="s">
        <v>23</v>
      </c>
      <c r="AG669" t="s">
        <v>23</v>
      </c>
      <c r="AH669" t="s">
        <v>23</v>
      </c>
      <c r="AI669" t="s">
        <v>23</v>
      </c>
      <c r="AJ669" t="s">
        <v>23</v>
      </c>
    </row>
    <row r="670" spans="1:36" x14ac:dyDescent="0.35">
      <c r="A670" s="2">
        <v>1668</v>
      </c>
      <c r="B670" s="4">
        <v>45177</v>
      </c>
      <c r="C670" s="1" t="s">
        <v>30</v>
      </c>
      <c r="D670" s="1" t="s">
        <v>31</v>
      </c>
      <c r="E670">
        <v>765880</v>
      </c>
      <c r="F670">
        <v>36</v>
      </c>
      <c r="G670" s="1" t="s">
        <v>39</v>
      </c>
      <c r="H670">
        <v>22175</v>
      </c>
      <c r="I670">
        <v>29589</v>
      </c>
      <c r="J670" s="1" t="s">
        <v>27</v>
      </c>
      <c r="K670" s="3">
        <v>28</v>
      </c>
      <c r="L670" s="1" t="s">
        <v>40</v>
      </c>
      <c r="M670" s="1" t="s">
        <v>29</v>
      </c>
      <c r="N670" s="3">
        <v>2024010123</v>
      </c>
      <c r="O670" s="3">
        <f t="shared" si="90"/>
        <v>1.23</v>
      </c>
      <c r="P670" s="6">
        <f t="shared" si="91"/>
        <v>942032.4</v>
      </c>
      <c r="Q670" s="3" t="str">
        <f t="shared" si="92"/>
        <v>Excellent</v>
      </c>
      <c r="R670" s="3">
        <f t="shared" si="93"/>
        <v>7414</v>
      </c>
      <c r="S670" s="7">
        <f t="shared" si="94"/>
        <v>266904</v>
      </c>
      <c r="T670" s="3" t="str">
        <f t="shared" si="95"/>
        <v>High Profit</v>
      </c>
      <c r="U670" s="3" t="str">
        <f t="shared" si="96"/>
        <v>High Discount</v>
      </c>
      <c r="V670" s="3" t="str">
        <f t="shared" si="97"/>
        <v>Priority B</v>
      </c>
      <c r="W670">
        <f t="shared" si="98"/>
        <v>114882</v>
      </c>
      <c r="X670" t="s">
        <v>23</v>
      </c>
      <c r="Y670" t="s">
        <v>23</v>
      </c>
      <c r="Z670" t="s">
        <v>23</v>
      </c>
      <c r="AA670" t="s">
        <v>23</v>
      </c>
      <c r="AB670" t="s">
        <v>23</v>
      </c>
      <c r="AC670" t="s">
        <v>23</v>
      </c>
      <c r="AD670" t="s">
        <v>23</v>
      </c>
      <c r="AE670" t="s">
        <v>23</v>
      </c>
      <c r="AF670" t="s">
        <v>23</v>
      </c>
      <c r="AG670" t="s">
        <v>23</v>
      </c>
      <c r="AH670" t="s">
        <v>23</v>
      </c>
      <c r="AI670" t="s">
        <v>23</v>
      </c>
      <c r="AJ670" t="s">
        <v>23</v>
      </c>
    </row>
    <row r="671" spans="1:36" x14ac:dyDescent="0.35">
      <c r="A671" s="2">
        <v>1669</v>
      </c>
      <c r="B671" s="4">
        <v>45004</v>
      </c>
      <c r="C671" s="1" t="s">
        <v>34</v>
      </c>
      <c r="D671" s="1" t="s">
        <v>43</v>
      </c>
      <c r="E671">
        <v>282106</v>
      </c>
      <c r="F671">
        <v>12</v>
      </c>
      <c r="G671" s="1" t="s">
        <v>39</v>
      </c>
      <c r="H671">
        <v>29499</v>
      </c>
      <c r="I671">
        <v>41044</v>
      </c>
      <c r="J671" s="1" t="s">
        <v>33</v>
      </c>
      <c r="K671" s="3">
        <v>27</v>
      </c>
      <c r="L671" s="1" t="s">
        <v>40</v>
      </c>
      <c r="M671" s="1" t="s">
        <v>29</v>
      </c>
      <c r="N671" s="3">
        <v>2024010123</v>
      </c>
      <c r="O671" s="3">
        <f t="shared" si="90"/>
        <v>1.23</v>
      </c>
      <c r="P671" s="6">
        <f t="shared" si="91"/>
        <v>346990.38</v>
      </c>
      <c r="Q671" s="3" t="str">
        <f t="shared" si="92"/>
        <v>Excellent</v>
      </c>
      <c r="R671" s="3">
        <f t="shared" si="93"/>
        <v>11545</v>
      </c>
      <c r="S671" s="7">
        <f t="shared" si="94"/>
        <v>138540</v>
      </c>
      <c r="T671" s="3" t="str">
        <f t="shared" si="95"/>
        <v>High Profit</v>
      </c>
      <c r="U671" s="3" t="str">
        <f t="shared" si="96"/>
        <v>High Discount</v>
      </c>
      <c r="V671" s="3" t="str">
        <f t="shared" si="97"/>
        <v>Priority D</v>
      </c>
      <c r="W671">
        <f t="shared" si="98"/>
        <v>28210.600000000002</v>
      </c>
      <c r="X671" t="s">
        <v>23</v>
      </c>
      <c r="Y671" t="s">
        <v>23</v>
      </c>
      <c r="Z671" t="s">
        <v>23</v>
      </c>
      <c r="AA671" t="s">
        <v>23</v>
      </c>
      <c r="AB671" t="s">
        <v>23</v>
      </c>
      <c r="AC671" t="s">
        <v>23</v>
      </c>
      <c r="AD671" t="s">
        <v>23</v>
      </c>
      <c r="AE671" t="s">
        <v>23</v>
      </c>
      <c r="AF671" t="s">
        <v>23</v>
      </c>
      <c r="AG671" t="s">
        <v>23</v>
      </c>
      <c r="AH671" t="s">
        <v>23</v>
      </c>
      <c r="AI671" t="s">
        <v>23</v>
      </c>
      <c r="AJ671" t="s">
        <v>23</v>
      </c>
    </row>
    <row r="672" spans="1:36" x14ac:dyDescent="0.35">
      <c r="A672" s="2">
        <v>1670</v>
      </c>
      <c r="B672" s="4">
        <v>44985</v>
      </c>
      <c r="C672" s="1" t="s">
        <v>24</v>
      </c>
      <c r="D672" s="1" t="s">
        <v>42</v>
      </c>
      <c r="E672">
        <v>626339</v>
      </c>
      <c r="F672">
        <v>8</v>
      </c>
      <c r="G672" s="1" t="s">
        <v>26</v>
      </c>
      <c r="H672">
        <v>28656</v>
      </c>
      <c r="I672">
        <v>33725</v>
      </c>
      <c r="J672" s="1" t="s">
        <v>33</v>
      </c>
      <c r="K672" s="3">
        <v>0</v>
      </c>
      <c r="L672" s="1" t="s">
        <v>36</v>
      </c>
      <c r="M672" s="1" t="s">
        <v>37</v>
      </c>
      <c r="N672" s="3">
        <v>2024010123</v>
      </c>
      <c r="O672" s="3">
        <f t="shared" si="90"/>
        <v>1.23</v>
      </c>
      <c r="P672" s="6">
        <f t="shared" si="91"/>
        <v>770396.97</v>
      </c>
      <c r="Q672" s="3" t="str">
        <f t="shared" si="92"/>
        <v>Excellent</v>
      </c>
      <c r="R672" s="3">
        <f t="shared" si="93"/>
        <v>5069</v>
      </c>
      <c r="S672" s="7">
        <f t="shared" si="94"/>
        <v>40552</v>
      </c>
      <c r="T672" s="3" t="str">
        <f t="shared" si="95"/>
        <v>High Profit</v>
      </c>
      <c r="U672" s="3" t="str">
        <f t="shared" si="96"/>
        <v>No Discount</v>
      </c>
      <c r="V672" s="3" t="str">
        <f t="shared" si="97"/>
        <v>Priority C</v>
      </c>
      <c r="W672">
        <f t="shared" si="98"/>
        <v>62633.9</v>
      </c>
      <c r="X672" t="s">
        <v>23</v>
      </c>
      <c r="Y672" t="s">
        <v>23</v>
      </c>
      <c r="Z672" t="s">
        <v>23</v>
      </c>
      <c r="AA672" t="s">
        <v>23</v>
      </c>
      <c r="AB672" t="s">
        <v>23</v>
      </c>
      <c r="AC672" t="s">
        <v>23</v>
      </c>
      <c r="AD672" t="s">
        <v>23</v>
      </c>
      <c r="AE672" t="s">
        <v>23</v>
      </c>
      <c r="AF672" t="s">
        <v>23</v>
      </c>
      <c r="AG672" t="s">
        <v>23</v>
      </c>
      <c r="AH672" t="s">
        <v>23</v>
      </c>
      <c r="AI672" t="s">
        <v>23</v>
      </c>
      <c r="AJ672" t="s">
        <v>23</v>
      </c>
    </row>
    <row r="673" spans="1:36" x14ac:dyDescent="0.35">
      <c r="A673" s="2">
        <v>1671</v>
      </c>
      <c r="B673" s="4">
        <v>45284</v>
      </c>
      <c r="C673" s="1" t="s">
        <v>38</v>
      </c>
      <c r="D673" s="1" t="s">
        <v>43</v>
      </c>
      <c r="E673">
        <v>284821</v>
      </c>
      <c r="F673">
        <v>8</v>
      </c>
      <c r="G673" s="1" t="s">
        <v>32</v>
      </c>
      <c r="H673">
        <v>28414</v>
      </c>
      <c r="I673">
        <v>34672</v>
      </c>
      <c r="J673" s="1" t="s">
        <v>33</v>
      </c>
      <c r="K673" s="3">
        <v>3</v>
      </c>
      <c r="L673" s="1" t="s">
        <v>40</v>
      </c>
      <c r="M673" s="1" t="s">
        <v>37</v>
      </c>
      <c r="N673" s="3">
        <v>2024010123</v>
      </c>
      <c r="O673" s="3">
        <f t="shared" si="90"/>
        <v>1.23</v>
      </c>
      <c r="P673" s="6">
        <f t="shared" si="91"/>
        <v>350329.83</v>
      </c>
      <c r="Q673" s="3" t="str">
        <f t="shared" si="92"/>
        <v>Excellent</v>
      </c>
      <c r="R673" s="3">
        <f t="shared" si="93"/>
        <v>6258</v>
      </c>
      <c r="S673" s="7">
        <f t="shared" si="94"/>
        <v>50064</v>
      </c>
      <c r="T673" s="3" t="str">
        <f t="shared" si="95"/>
        <v>High Profit</v>
      </c>
      <c r="U673" s="3" t="str">
        <f t="shared" si="96"/>
        <v>Low Discount</v>
      </c>
      <c r="V673" s="3" t="str">
        <f t="shared" si="97"/>
        <v>Priority C</v>
      </c>
      <c r="W673">
        <f t="shared" si="98"/>
        <v>28482.100000000002</v>
      </c>
      <c r="X673" t="s">
        <v>23</v>
      </c>
      <c r="Y673" t="s">
        <v>23</v>
      </c>
      <c r="Z673" t="s">
        <v>23</v>
      </c>
      <c r="AA673" t="s">
        <v>23</v>
      </c>
      <c r="AB673" t="s">
        <v>23</v>
      </c>
      <c r="AC673" t="s">
        <v>23</v>
      </c>
      <c r="AD673" t="s">
        <v>23</v>
      </c>
      <c r="AE673" t="s">
        <v>23</v>
      </c>
      <c r="AF673" t="s">
        <v>23</v>
      </c>
      <c r="AG673" t="s">
        <v>23</v>
      </c>
      <c r="AH673" t="s">
        <v>23</v>
      </c>
      <c r="AI673" t="s">
        <v>23</v>
      </c>
      <c r="AJ673" t="s">
        <v>23</v>
      </c>
    </row>
    <row r="674" spans="1:36" x14ac:dyDescent="0.35">
      <c r="A674" s="2">
        <v>1672</v>
      </c>
      <c r="B674" s="4">
        <v>45218</v>
      </c>
      <c r="C674" s="1" t="s">
        <v>30</v>
      </c>
      <c r="D674" s="1" t="s">
        <v>31</v>
      </c>
      <c r="E674">
        <v>652371</v>
      </c>
      <c r="F674">
        <v>8</v>
      </c>
      <c r="G674" s="1" t="s">
        <v>39</v>
      </c>
      <c r="H674">
        <v>29076</v>
      </c>
      <c r="I674">
        <v>32581</v>
      </c>
      <c r="J674" s="1" t="s">
        <v>33</v>
      </c>
      <c r="K674" s="3">
        <v>2</v>
      </c>
      <c r="L674" s="1" t="s">
        <v>40</v>
      </c>
      <c r="M674" s="1" t="s">
        <v>37</v>
      </c>
      <c r="N674" s="3">
        <v>2024010123</v>
      </c>
      <c r="O674" s="3">
        <f t="shared" si="90"/>
        <v>1.23</v>
      </c>
      <c r="P674" s="6">
        <f t="shared" si="91"/>
        <v>802416.33</v>
      </c>
      <c r="Q674" s="3" t="str">
        <f t="shared" si="92"/>
        <v>Excellent</v>
      </c>
      <c r="R674" s="3">
        <f t="shared" si="93"/>
        <v>3505</v>
      </c>
      <c r="S674" s="7">
        <f t="shared" si="94"/>
        <v>28040</v>
      </c>
      <c r="T674" s="3" t="str">
        <f t="shared" si="95"/>
        <v>High Profit</v>
      </c>
      <c r="U674" s="3" t="str">
        <f t="shared" si="96"/>
        <v>Low Discount</v>
      </c>
      <c r="V674" s="3" t="str">
        <f t="shared" si="97"/>
        <v>Priority C</v>
      </c>
      <c r="W674">
        <f t="shared" si="98"/>
        <v>65237.100000000006</v>
      </c>
      <c r="X674" t="s">
        <v>23</v>
      </c>
      <c r="Y674" t="s">
        <v>23</v>
      </c>
      <c r="Z674" t="s">
        <v>23</v>
      </c>
      <c r="AA674" t="s">
        <v>23</v>
      </c>
      <c r="AB674" t="s">
        <v>23</v>
      </c>
      <c r="AC674" t="s">
        <v>23</v>
      </c>
      <c r="AD674" t="s">
        <v>23</v>
      </c>
      <c r="AE674" t="s">
        <v>23</v>
      </c>
      <c r="AF674" t="s">
        <v>23</v>
      </c>
      <c r="AG674" t="s">
        <v>23</v>
      </c>
      <c r="AH674" t="s">
        <v>23</v>
      </c>
      <c r="AI674" t="s">
        <v>23</v>
      </c>
      <c r="AJ674" t="s">
        <v>23</v>
      </c>
    </row>
    <row r="675" spans="1:36" x14ac:dyDescent="0.35">
      <c r="A675" s="2">
        <v>1673</v>
      </c>
      <c r="B675" s="4">
        <v>45010</v>
      </c>
      <c r="C675" s="1" t="s">
        <v>41</v>
      </c>
      <c r="D675" s="1" t="s">
        <v>42</v>
      </c>
      <c r="E675">
        <v>675024</v>
      </c>
      <c r="F675">
        <v>18</v>
      </c>
      <c r="G675" s="1" t="s">
        <v>39</v>
      </c>
      <c r="H675">
        <v>41278</v>
      </c>
      <c r="I675">
        <v>44840</v>
      </c>
      <c r="J675" s="1" t="s">
        <v>33</v>
      </c>
      <c r="K675" s="3">
        <v>13</v>
      </c>
      <c r="L675" s="1" t="s">
        <v>40</v>
      </c>
      <c r="M675" s="1" t="s">
        <v>29</v>
      </c>
      <c r="N675" s="3">
        <v>2024010123</v>
      </c>
      <c r="O675" s="3">
        <f t="shared" si="90"/>
        <v>1.23</v>
      </c>
      <c r="P675" s="6">
        <f t="shared" si="91"/>
        <v>830279.52</v>
      </c>
      <c r="Q675" s="3" t="str">
        <f t="shared" si="92"/>
        <v>Excellent</v>
      </c>
      <c r="R675" s="3">
        <f t="shared" si="93"/>
        <v>3562</v>
      </c>
      <c r="S675" s="7">
        <f t="shared" si="94"/>
        <v>64116</v>
      </c>
      <c r="T675" s="3" t="str">
        <f t="shared" si="95"/>
        <v>High Profit</v>
      </c>
      <c r="U675" s="3" t="str">
        <f t="shared" si="96"/>
        <v>Medium Discount</v>
      </c>
      <c r="V675" s="3" t="str">
        <f t="shared" si="97"/>
        <v>Priority C</v>
      </c>
      <c r="W675">
        <f t="shared" si="98"/>
        <v>67502.400000000009</v>
      </c>
      <c r="X675" t="s">
        <v>23</v>
      </c>
      <c r="Y675" t="s">
        <v>23</v>
      </c>
      <c r="Z675" t="s">
        <v>23</v>
      </c>
      <c r="AA675" t="s">
        <v>23</v>
      </c>
      <c r="AB675" t="s">
        <v>23</v>
      </c>
      <c r="AC675" t="s">
        <v>23</v>
      </c>
      <c r="AD675" t="s">
        <v>23</v>
      </c>
      <c r="AE675" t="s">
        <v>23</v>
      </c>
      <c r="AF675" t="s">
        <v>23</v>
      </c>
      <c r="AG675" t="s">
        <v>23</v>
      </c>
      <c r="AH675" t="s">
        <v>23</v>
      </c>
      <c r="AI675" t="s">
        <v>23</v>
      </c>
      <c r="AJ675" t="s">
        <v>23</v>
      </c>
    </row>
    <row r="676" spans="1:36" x14ac:dyDescent="0.35">
      <c r="A676" s="2">
        <v>1674</v>
      </c>
      <c r="B676" s="4">
        <v>45093</v>
      </c>
      <c r="C676" s="1" t="s">
        <v>41</v>
      </c>
      <c r="D676" s="1" t="s">
        <v>25</v>
      </c>
      <c r="E676">
        <v>929789</v>
      </c>
      <c r="F676">
        <v>18</v>
      </c>
      <c r="G676" s="1" t="s">
        <v>35</v>
      </c>
      <c r="H676">
        <v>31293</v>
      </c>
      <c r="I676">
        <v>36673</v>
      </c>
      <c r="J676" s="1" t="s">
        <v>33</v>
      </c>
      <c r="K676" s="3">
        <v>9</v>
      </c>
      <c r="L676" s="1" t="s">
        <v>40</v>
      </c>
      <c r="M676" s="1" t="s">
        <v>37</v>
      </c>
      <c r="N676" s="3">
        <v>2024010123</v>
      </c>
      <c r="O676" s="3">
        <f t="shared" si="90"/>
        <v>1.23</v>
      </c>
      <c r="P676" s="6">
        <f t="shared" si="91"/>
        <v>1143640.47</v>
      </c>
      <c r="Q676" s="3" t="str">
        <f t="shared" si="92"/>
        <v>Excellent</v>
      </c>
      <c r="R676" s="3">
        <f t="shared" si="93"/>
        <v>5380</v>
      </c>
      <c r="S676" s="7">
        <f t="shared" si="94"/>
        <v>96840</v>
      </c>
      <c r="T676" s="3" t="str">
        <f t="shared" si="95"/>
        <v>High Profit</v>
      </c>
      <c r="U676" s="3" t="str">
        <f t="shared" si="96"/>
        <v>Medium Discount</v>
      </c>
      <c r="V676" s="3" t="str">
        <f t="shared" si="97"/>
        <v>Priority C</v>
      </c>
      <c r="W676">
        <f t="shared" si="98"/>
        <v>92978.900000000009</v>
      </c>
      <c r="X676" t="s">
        <v>23</v>
      </c>
      <c r="Y676" t="s">
        <v>23</v>
      </c>
      <c r="Z676" t="s">
        <v>23</v>
      </c>
      <c r="AA676" t="s">
        <v>23</v>
      </c>
      <c r="AB676" t="s">
        <v>23</v>
      </c>
      <c r="AC676" t="s">
        <v>23</v>
      </c>
      <c r="AD676" t="s">
        <v>23</v>
      </c>
      <c r="AE676" t="s">
        <v>23</v>
      </c>
      <c r="AF676" t="s">
        <v>23</v>
      </c>
      <c r="AG676" t="s">
        <v>23</v>
      </c>
      <c r="AH676" t="s">
        <v>23</v>
      </c>
      <c r="AI676" t="s">
        <v>23</v>
      </c>
      <c r="AJ676" t="s">
        <v>23</v>
      </c>
    </row>
    <row r="677" spans="1:36" x14ac:dyDescent="0.35">
      <c r="A677" s="2">
        <v>1675</v>
      </c>
      <c r="B677" s="4">
        <v>45159</v>
      </c>
      <c r="C677" s="1" t="s">
        <v>34</v>
      </c>
      <c r="D677" s="1" t="s">
        <v>25</v>
      </c>
      <c r="E677">
        <v>451542</v>
      </c>
      <c r="F677">
        <v>12</v>
      </c>
      <c r="G677" s="1" t="s">
        <v>26</v>
      </c>
      <c r="H677">
        <v>10000</v>
      </c>
      <c r="I677">
        <v>20000</v>
      </c>
      <c r="J677" s="1" t="s">
        <v>27</v>
      </c>
      <c r="K677" s="3">
        <v>14</v>
      </c>
      <c r="L677" s="1" t="s">
        <v>40</v>
      </c>
      <c r="M677" s="1" t="s">
        <v>29</v>
      </c>
      <c r="N677" s="3">
        <v>2024010123</v>
      </c>
      <c r="O677" s="3">
        <f t="shared" si="90"/>
        <v>1.23</v>
      </c>
      <c r="P677" s="6">
        <f t="shared" si="91"/>
        <v>555396.66</v>
      </c>
      <c r="Q677" s="3" t="str">
        <f t="shared" si="92"/>
        <v>Excellent</v>
      </c>
      <c r="R677" s="3">
        <f t="shared" si="93"/>
        <v>10000</v>
      </c>
      <c r="S677" s="7">
        <f t="shared" si="94"/>
        <v>120000</v>
      </c>
      <c r="T677" s="3" t="str">
        <f t="shared" si="95"/>
        <v>High Profit</v>
      </c>
      <c r="U677" s="3" t="str">
        <f t="shared" si="96"/>
        <v>Medium Discount</v>
      </c>
      <c r="V677" s="3" t="str">
        <f t="shared" si="97"/>
        <v>Priority D</v>
      </c>
      <c r="W677">
        <f t="shared" si="98"/>
        <v>67731.3</v>
      </c>
      <c r="X677" t="s">
        <v>23</v>
      </c>
      <c r="Y677" t="s">
        <v>23</v>
      </c>
      <c r="Z677" t="s">
        <v>23</v>
      </c>
      <c r="AA677" t="s">
        <v>23</v>
      </c>
      <c r="AB677" t="s">
        <v>23</v>
      </c>
      <c r="AC677" t="s">
        <v>23</v>
      </c>
      <c r="AD677" t="s">
        <v>23</v>
      </c>
      <c r="AE677" t="s">
        <v>23</v>
      </c>
      <c r="AF677" t="s">
        <v>23</v>
      </c>
      <c r="AG677" t="s">
        <v>23</v>
      </c>
      <c r="AH677" t="s">
        <v>23</v>
      </c>
      <c r="AI677" t="s">
        <v>23</v>
      </c>
      <c r="AJ677" t="s">
        <v>23</v>
      </c>
    </row>
    <row r="678" spans="1:36" x14ac:dyDescent="0.35">
      <c r="A678" s="2">
        <v>1676</v>
      </c>
      <c r="B678" s="4">
        <v>45199</v>
      </c>
      <c r="C678" s="1" t="s">
        <v>41</v>
      </c>
      <c r="D678" s="1" t="s">
        <v>43</v>
      </c>
      <c r="E678">
        <v>782750</v>
      </c>
      <c r="F678">
        <v>18</v>
      </c>
      <c r="G678" s="1" t="s">
        <v>26</v>
      </c>
      <c r="H678">
        <v>19420</v>
      </c>
      <c r="I678">
        <v>23372</v>
      </c>
      <c r="J678" s="1" t="s">
        <v>27</v>
      </c>
      <c r="K678" s="3">
        <v>25</v>
      </c>
      <c r="L678" s="1" t="s">
        <v>40</v>
      </c>
      <c r="M678" s="1" t="s">
        <v>37</v>
      </c>
      <c r="N678" s="3">
        <v>2024010123</v>
      </c>
      <c r="O678" s="3">
        <f t="shared" si="90"/>
        <v>1.23</v>
      </c>
      <c r="P678" s="6">
        <f t="shared" si="91"/>
        <v>962782.5</v>
      </c>
      <c r="Q678" s="3" t="str">
        <f t="shared" si="92"/>
        <v>Excellent</v>
      </c>
      <c r="R678" s="3">
        <f t="shared" si="93"/>
        <v>3952</v>
      </c>
      <c r="S678" s="7">
        <f t="shared" si="94"/>
        <v>71136</v>
      </c>
      <c r="T678" s="3" t="str">
        <f t="shared" si="95"/>
        <v>High Profit</v>
      </c>
      <c r="U678" s="3" t="str">
        <f t="shared" si="96"/>
        <v>High Discount</v>
      </c>
      <c r="V678" s="3" t="str">
        <f t="shared" si="97"/>
        <v>Priority C</v>
      </c>
      <c r="W678">
        <f t="shared" si="98"/>
        <v>117412.5</v>
      </c>
      <c r="X678" t="s">
        <v>23</v>
      </c>
      <c r="Y678" t="s">
        <v>23</v>
      </c>
      <c r="Z678" t="s">
        <v>23</v>
      </c>
      <c r="AA678" t="s">
        <v>23</v>
      </c>
      <c r="AB678" t="s">
        <v>23</v>
      </c>
      <c r="AC678" t="s">
        <v>23</v>
      </c>
      <c r="AD678" t="s">
        <v>23</v>
      </c>
      <c r="AE678" t="s">
        <v>23</v>
      </c>
      <c r="AF678" t="s">
        <v>23</v>
      </c>
      <c r="AG678" t="s">
        <v>23</v>
      </c>
      <c r="AH678" t="s">
        <v>23</v>
      </c>
      <c r="AI678" t="s">
        <v>23</v>
      </c>
      <c r="AJ678" t="s">
        <v>23</v>
      </c>
    </row>
    <row r="679" spans="1:36" x14ac:dyDescent="0.35">
      <c r="A679" s="2">
        <v>1677</v>
      </c>
      <c r="B679" s="4">
        <v>45124</v>
      </c>
      <c r="C679" s="1" t="s">
        <v>34</v>
      </c>
      <c r="D679" s="1" t="s">
        <v>42</v>
      </c>
      <c r="E679">
        <v>387839</v>
      </c>
      <c r="F679">
        <v>18</v>
      </c>
      <c r="G679" s="1" t="s">
        <v>26</v>
      </c>
      <c r="H679">
        <v>26466</v>
      </c>
      <c r="I679">
        <v>33092</v>
      </c>
      <c r="J679" s="1" t="s">
        <v>33</v>
      </c>
      <c r="K679" s="3">
        <v>22</v>
      </c>
      <c r="L679" s="1" t="s">
        <v>28</v>
      </c>
      <c r="M679" s="1" t="s">
        <v>29</v>
      </c>
      <c r="N679" s="3">
        <v>2024010123</v>
      </c>
      <c r="O679" s="3">
        <f t="shared" si="90"/>
        <v>1.23</v>
      </c>
      <c r="P679" s="6">
        <f t="shared" si="91"/>
        <v>477041.97</v>
      </c>
      <c r="Q679" s="3" t="str">
        <f t="shared" si="92"/>
        <v>Excellent</v>
      </c>
      <c r="R679" s="3">
        <f t="shared" si="93"/>
        <v>6626</v>
      </c>
      <c r="S679" s="7">
        <f t="shared" si="94"/>
        <v>119268</v>
      </c>
      <c r="T679" s="3" t="str">
        <f t="shared" si="95"/>
        <v>High Profit</v>
      </c>
      <c r="U679" s="3" t="str">
        <f t="shared" si="96"/>
        <v>High Discount</v>
      </c>
      <c r="V679" s="3" t="str">
        <f t="shared" si="97"/>
        <v>Priority C</v>
      </c>
      <c r="W679">
        <f t="shared" si="98"/>
        <v>38783.9</v>
      </c>
      <c r="X679" t="s">
        <v>23</v>
      </c>
      <c r="Y679" t="s">
        <v>23</v>
      </c>
      <c r="Z679" t="s">
        <v>23</v>
      </c>
      <c r="AA679" t="s">
        <v>23</v>
      </c>
      <c r="AB679" t="s">
        <v>23</v>
      </c>
      <c r="AC679" t="s">
        <v>23</v>
      </c>
      <c r="AD679" t="s">
        <v>23</v>
      </c>
      <c r="AE679" t="s">
        <v>23</v>
      </c>
      <c r="AF679" t="s">
        <v>23</v>
      </c>
      <c r="AG679" t="s">
        <v>23</v>
      </c>
      <c r="AH679" t="s">
        <v>23</v>
      </c>
      <c r="AI679" t="s">
        <v>23</v>
      </c>
      <c r="AJ679" t="s">
        <v>23</v>
      </c>
    </row>
    <row r="680" spans="1:36" x14ac:dyDescent="0.35">
      <c r="A680" s="2">
        <v>1678</v>
      </c>
      <c r="B680" s="4">
        <v>45156</v>
      </c>
      <c r="C680" s="1" t="s">
        <v>38</v>
      </c>
      <c r="D680" s="1" t="s">
        <v>43</v>
      </c>
      <c r="E680">
        <v>419625</v>
      </c>
      <c r="F680">
        <v>18</v>
      </c>
      <c r="G680" s="1" t="s">
        <v>39</v>
      </c>
      <c r="H680">
        <v>19024</v>
      </c>
      <c r="I680">
        <v>24646</v>
      </c>
      <c r="J680" s="1" t="s">
        <v>27</v>
      </c>
      <c r="K680" s="3">
        <v>27</v>
      </c>
      <c r="L680" s="1" t="s">
        <v>40</v>
      </c>
      <c r="M680" s="1" t="s">
        <v>29</v>
      </c>
      <c r="N680" s="3">
        <v>2024010123</v>
      </c>
      <c r="O680" s="3">
        <f t="shared" si="90"/>
        <v>1.23</v>
      </c>
      <c r="P680" s="6">
        <f t="shared" si="91"/>
        <v>516138.75</v>
      </c>
      <c r="Q680" s="3" t="str">
        <f t="shared" si="92"/>
        <v>Excellent</v>
      </c>
      <c r="R680" s="3">
        <f t="shared" si="93"/>
        <v>5622</v>
      </c>
      <c r="S680" s="7">
        <f t="shared" si="94"/>
        <v>101196</v>
      </c>
      <c r="T680" s="3" t="str">
        <f t="shared" si="95"/>
        <v>High Profit</v>
      </c>
      <c r="U680" s="3" t="str">
        <f t="shared" si="96"/>
        <v>High Discount</v>
      </c>
      <c r="V680" s="3" t="str">
        <f t="shared" si="97"/>
        <v>Priority C</v>
      </c>
      <c r="W680">
        <f t="shared" si="98"/>
        <v>62943.75</v>
      </c>
      <c r="X680" t="s">
        <v>23</v>
      </c>
      <c r="Y680" t="s">
        <v>23</v>
      </c>
      <c r="Z680" t="s">
        <v>23</v>
      </c>
      <c r="AA680" t="s">
        <v>23</v>
      </c>
      <c r="AB680" t="s">
        <v>23</v>
      </c>
      <c r="AC680" t="s">
        <v>23</v>
      </c>
      <c r="AD680" t="s">
        <v>23</v>
      </c>
      <c r="AE680" t="s">
        <v>23</v>
      </c>
      <c r="AF680" t="s">
        <v>23</v>
      </c>
      <c r="AG680" t="s">
        <v>23</v>
      </c>
      <c r="AH680" t="s">
        <v>23</v>
      </c>
      <c r="AI680" t="s">
        <v>23</v>
      </c>
      <c r="AJ680" t="s">
        <v>23</v>
      </c>
    </row>
    <row r="681" spans="1:36" x14ac:dyDescent="0.35">
      <c r="A681" s="2">
        <v>1679</v>
      </c>
      <c r="B681" s="4">
        <v>45206</v>
      </c>
      <c r="C681" s="1" t="s">
        <v>30</v>
      </c>
      <c r="D681" s="1" t="s">
        <v>31</v>
      </c>
      <c r="E681">
        <v>927220</v>
      </c>
      <c r="F681">
        <v>15</v>
      </c>
      <c r="G681" s="1" t="s">
        <v>35</v>
      </c>
      <c r="H681">
        <v>17591</v>
      </c>
      <c r="I681">
        <v>21689</v>
      </c>
      <c r="J681" s="1" t="s">
        <v>27</v>
      </c>
      <c r="K681" s="3">
        <v>25</v>
      </c>
      <c r="L681" s="1" t="s">
        <v>36</v>
      </c>
      <c r="M681" s="1" t="s">
        <v>37</v>
      </c>
      <c r="N681" s="3">
        <v>2024010123</v>
      </c>
      <c r="O681" s="3">
        <f t="shared" si="90"/>
        <v>1.23</v>
      </c>
      <c r="P681" s="6">
        <f t="shared" si="91"/>
        <v>1140480.6000000001</v>
      </c>
      <c r="Q681" s="3" t="str">
        <f t="shared" si="92"/>
        <v>Excellent</v>
      </c>
      <c r="R681" s="3">
        <f t="shared" si="93"/>
        <v>4098</v>
      </c>
      <c r="S681" s="7">
        <f t="shared" si="94"/>
        <v>61470</v>
      </c>
      <c r="T681" s="3" t="str">
        <f t="shared" si="95"/>
        <v>High Profit</v>
      </c>
      <c r="U681" s="3" t="str">
        <f t="shared" si="96"/>
        <v>High Discount</v>
      </c>
      <c r="V681" s="3" t="str">
        <f t="shared" si="97"/>
        <v>Priority C</v>
      </c>
      <c r="W681">
        <f t="shared" si="98"/>
        <v>139083</v>
      </c>
      <c r="X681" t="s">
        <v>23</v>
      </c>
      <c r="Y681" t="s">
        <v>23</v>
      </c>
      <c r="Z681" t="s">
        <v>23</v>
      </c>
      <c r="AA681" t="s">
        <v>23</v>
      </c>
      <c r="AB681" t="s">
        <v>23</v>
      </c>
      <c r="AC681" t="s">
        <v>23</v>
      </c>
      <c r="AD681" t="s">
        <v>23</v>
      </c>
      <c r="AE681" t="s">
        <v>23</v>
      </c>
      <c r="AF681" t="s">
        <v>23</v>
      </c>
      <c r="AG681" t="s">
        <v>23</v>
      </c>
      <c r="AH681" t="s">
        <v>23</v>
      </c>
      <c r="AI681" t="s">
        <v>23</v>
      </c>
      <c r="AJ681" t="s">
        <v>23</v>
      </c>
    </row>
    <row r="682" spans="1:36" x14ac:dyDescent="0.35">
      <c r="A682" s="2">
        <v>1680</v>
      </c>
      <c r="B682" s="4">
        <v>44986</v>
      </c>
      <c r="C682" s="1" t="s">
        <v>34</v>
      </c>
      <c r="D682" s="1" t="s">
        <v>31</v>
      </c>
      <c r="E682">
        <v>713609</v>
      </c>
      <c r="F682">
        <v>10</v>
      </c>
      <c r="G682" s="1" t="s">
        <v>26</v>
      </c>
      <c r="H682">
        <v>53972</v>
      </c>
      <c r="I682">
        <v>56957</v>
      </c>
      <c r="J682" s="1" t="s">
        <v>27</v>
      </c>
      <c r="K682" s="3">
        <v>0</v>
      </c>
      <c r="L682" s="1" t="s">
        <v>40</v>
      </c>
      <c r="M682" s="1" t="s">
        <v>37</v>
      </c>
      <c r="N682" s="3">
        <v>2024010123</v>
      </c>
      <c r="O682" s="3">
        <f t="shared" si="90"/>
        <v>1.23</v>
      </c>
      <c r="P682" s="6">
        <f t="shared" si="91"/>
        <v>877739.07</v>
      </c>
      <c r="Q682" s="3" t="str">
        <f t="shared" si="92"/>
        <v>Excellent</v>
      </c>
      <c r="R682" s="3">
        <f t="shared" si="93"/>
        <v>2985</v>
      </c>
      <c r="S682" s="7">
        <f t="shared" si="94"/>
        <v>29850</v>
      </c>
      <c r="T682" s="3" t="str">
        <f t="shared" si="95"/>
        <v>High Profit</v>
      </c>
      <c r="U682" s="3" t="str">
        <f t="shared" si="96"/>
        <v>No Discount</v>
      </c>
      <c r="V682" s="3" t="str">
        <f t="shared" si="97"/>
        <v>Priority C</v>
      </c>
      <c r="W682">
        <f t="shared" si="98"/>
        <v>107041.34999999999</v>
      </c>
      <c r="X682" t="s">
        <v>23</v>
      </c>
      <c r="Y682" t="s">
        <v>23</v>
      </c>
      <c r="Z682" t="s">
        <v>23</v>
      </c>
      <c r="AA682" t="s">
        <v>23</v>
      </c>
      <c r="AB682" t="s">
        <v>23</v>
      </c>
      <c r="AC682" t="s">
        <v>23</v>
      </c>
      <c r="AD682" t="s">
        <v>23</v>
      </c>
      <c r="AE682" t="s">
        <v>23</v>
      </c>
      <c r="AF682" t="s">
        <v>23</v>
      </c>
      <c r="AG682" t="s">
        <v>23</v>
      </c>
      <c r="AH682" t="s">
        <v>23</v>
      </c>
      <c r="AI682" t="s">
        <v>23</v>
      </c>
      <c r="AJ682" t="s">
        <v>23</v>
      </c>
    </row>
    <row r="683" spans="1:36" x14ac:dyDescent="0.35">
      <c r="A683" s="2">
        <v>1681</v>
      </c>
      <c r="B683" s="4">
        <v>45157</v>
      </c>
      <c r="C683" s="1" t="s">
        <v>24</v>
      </c>
      <c r="D683" s="1" t="s">
        <v>42</v>
      </c>
      <c r="E683">
        <v>94544</v>
      </c>
      <c r="F683">
        <v>5</v>
      </c>
      <c r="G683" s="1" t="s">
        <v>39</v>
      </c>
      <c r="H683">
        <v>37719</v>
      </c>
      <c r="I683">
        <v>41531</v>
      </c>
      <c r="J683" s="1" t="s">
        <v>33</v>
      </c>
      <c r="K683" s="3">
        <v>1</v>
      </c>
      <c r="L683" s="1" t="s">
        <v>40</v>
      </c>
      <c r="M683" s="1" t="s">
        <v>37</v>
      </c>
      <c r="N683" s="3">
        <v>2024010123</v>
      </c>
      <c r="O683" s="3">
        <f t="shared" si="90"/>
        <v>1.23</v>
      </c>
      <c r="P683" s="6">
        <f t="shared" si="91"/>
        <v>116289.12</v>
      </c>
      <c r="Q683" s="3" t="str">
        <f t="shared" si="92"/>
        <v>Excellent</v>
      </c>
      <c r="R683" s="3">
        <f t="shared" si="93"/>
        <v>3812</v>
      </c>
      <c r="S683" s="7">
        <f t="shared" si="94"/>
        <v>19060</v>
      </c>
      <c r="T683" s="3" t="str">
        <f t="shared" si="95"/>
        <v>High Profit</v>
      </c>
      <c r="U683" s="3" t="str">
        <f t="shared" si="96"/>
        <v>Low Discount</v>
      </c>
      <c r="V683" s="3" t="str">
        <f t="shared" si="97"/>
        <v>Priority C</v>
      </c>
      <c r="W683">
        <f t="shared" si="98"/>
        <v>9454.4</v>
      </c>
      <c r="X683" t="s">
        <v>23</v>
      </c>
      <c r="Y683" t="s">
        <v>23</v>
      </c>
      <c r="Z683" t="s">
        <v>23</v>
      </c>
      <c r="AA683" t="s">
        <v>23</v>
      </c>
      <c r="AB683" t="s">
        <v>23</v>
      </c>
      <c r="AC683" t="s">
        <v>23</v>
      </c>
      <c r="AD683" t="s">
        <v>23</v>
      </c>
      <c r="AE683" t="s">
        <v>23</v>
      </c>
      <c r="AF683" t="s">
        <v>23</v>
      </c>
      <c r="AG683" t="s">
        <v>23</v>
      </c>
      <c r="AH683" t="s">
        <v>23</v>
      </c>
      <c r="AI683" t="s">
        <v>23</v>
      </c>
      <c r="AJ683" t="s">
        <v>23</v>
      </c>
    </row>
    <row r="684" spans="1:36" x14ac:dyDescent="0.35">
      <c r="A684" s="2">
        <v>1682</v>
      </c>
      <c r="B684" s="4">
        <v>45040</v>
      </c>
      <c r="C684" s="1" t="s">
        <v>24</v>
      </c>
      <c r="D684" s="1" t="s">
        <v>31</v>
      </c>
      <c r="E684">
        <v>962379</v>
      </c>
      <c r="F684">
        <v>12</v>
      </c>
      <c r="G684" s="1" t="s">
        <v>35</v>
      </c>
      <c r="H684">
        <v>51123</v>
      </c>
      <c r="I684">
        <v>53890</v>
      </c>
      <c r="J684" s="1" t="s">
        <v>27</v>
      </c>
      <c r="K684" s="3">
        <v>3</v>
      </c>
      <c r="L684" s="1" t="s">
        <v>28</v>
      </c>
      <c r="M684" s="1" t="s">
        <v>29</v>
      </c>
      <c r="N684" s="3">
        <v>2024010123</v>
      </c>
      <c r="O684" s="3">
        <f t="shared" si="90"/>
        <v>1.23</v>
      </c>
      <c r="P684" s="6">
        <f t="shared" si="91"/>
        <v>1183726.17</v>
      </c>
      <c r="Q684" s="3" t="str">
        <f t="shared" si="92"/>
        <v>Excellent</v>
      </c>
      <c r="R684" s="3">
        <f t="shared" si="93"/>
        <v>2767</v>
      </c>
      <c r="S684" s="7">
        <f t="shared" si="94"/>
        <v>33204</v>
      </c>
      <c r="T684" s="3" t="str">
        <f t="shared" si="95"/>
        <v>High Profit</v>
      </c>
      <c r="U684" s="3" t="str">
        <f t="shared" si="96"/>
        <v>Low Discount</v>
      </c>
      <c r="V684" s="3" t="str">
        <f t="shared" si="97"/>
        <v>Priority D</v>
      </c>
      <c r="W684">
        <f t="shared" si="98"/>
        <v>144356.85</v>
      </c>
      <c r="X684" t="s">
        <v>23</v>
      </c>
      <c r="Y684" t="s">
        <v>23</v>
      </c>
      <c r="Z684" t="s">
        <v>23</v>
      </c>
      <c r="AA684" t="s">
        <v>23</v>
      </c>
      <c r="AB684" t="s">
        <v>23</v>
      </c>
      <c r="AC684" t="s">
        <v>23</v>
      </c>
      <c r="AD684" t="s">
        <v>23</v>
      </c>
      <c r="AE684" t="s">
        <v>23</v>
      </c>
      <c r="AF684" t="s">
        <v>23</v>
      </c>
      <c r="AG684" t="s">
        <v>23</v>
      </c>
      <c r="AH684" t="s">
        <v>23</v>
      </c>
      <c r="AI684" t="s">
        <v>23</v>
      </c>
      <c r="AJ684" t="s">
        <v>23</v>
      </c>
    </row>
    <row r="685" spans="1:36" x14ac:dyDescent="0.35">
      <c r="A685" s="2">
        <v>1683</v>
      </c>
      <c r="B685" s="4">
        <v>44982</v>
      </c>
      <c r="C685" s="1" t="s">
        <v>30</v>
      </c>
      <c r="D685" s="1" t="s">
        <v>31</v>
      </c>
      <c r="E685">
        <v>497314</v>
      </c>
      <c r="F685">
        <v>12</v>
      </c>
      <c r="G685" s="1" t="s">
        <v>35</v>
      </c>
      <c r="H685">
        <v>23290</v>
      </c>
      <c r="I685">
        <v>27194</v>
      </c>
      <c r="J685" s="1" t="s">
        <v>27</v>
      </c>
      <c r="K685" s="3">
        <v>8</v>
      </c>
      <c r="L685" s="1" t="s">
        <v>28</v>
      </c>
      <c r="M685" s="1" t="s">
        <v>29</v>
      </c>
      <c r="N685" s="3">
        <v>2024010123</v>
      </c>
      <c r="O685" s="3">
        <f t="shared" si="90"/>
        <v>1.23</v>
      </c>
      <c r="P685" s="6">
        <f t="shared" si="91"/>
        <v>611696.22</v>
      </c>
      <c r="Q685" s="3" t="str">
        <f t="shared" si="92"/>
        <v>Excellent</v>
      </c>
      <c r="R685" s="3">
        <f t="shared" si="93"/>
        <v>3904</v>
      </c>
      <c r="S685" s="7">
        <f t="shared" si="94"/>
        <v>46848</v>
      </c>
      <c r="T685" s="3" t="str">
        <f t="shared" si="95"/>
        <v>High Profit</v>
      </c>
      <c r="U685" s="3" t="str">
        <f t="shared" si="96"/>
        <v>Medium Discount</v>
      </c>
      <c r="V685" s="3" t="str">
        <f t="shared" si="97"/>
        <v>Priority D</v>
      </c>
      <c r="W685">
        <f t="shared" si="98"/>
        <v>74597.099999999991</v>
      </c>
      <c r="X685" t="s">
        <v>23</v>
      </c>
      <c r="Y685" t="s">
        <v>23</v>
      </c>
      <c r="Z685" t="s">
        <v>23</v>
      </c>
      <c r="AA685" t="s">
        <v>23</v>
      </c>
      <c r="AB685" t="s">
        <v>23</v>
      </c>
      <c r="AC685" t="s">
        <v>23</v>
      </c>
      <c r="AD685" t="s">
        <v>23</v>
      </c>
      <c r="AE685" t="s">
        <v>23</v>
      </c>
      <c r="AF685" t="s">
        <v>23</v>
      </c>
      <c r="AG685" t="s">
        <v>23</v>
      </c>
      <c r="AH685" t="s">
        <v>23</v>
      </c>
      <c r="AI685" t="s">
        <v>23</v>
      </c>
      <c r="AJ685" t="s">
        <v>23</v>
      </c>
    </row>
    <row r="686" spans="1:36" x14ac:dyDescent="0.35">
      <c r="A686" s="2">
        <v>1684</v>
      </c>
      <c r="B686" s="4">
        <v>45112</v>
      </c>
      <c r="C686" s="1" t="s">
        <v>34</v>
      </c>
      <c r="D686" s="1" t="s">
        <v>25</v>
      </c>
      <c r="E686">
        <v>539163</v>
      </c>
      <c r="F686">
        <v>12</v>
      </c>
      <c r="G686" s="1" t="s">
        <v>35</v>
      </c>
      <c r="H686">
        <v>57101</v>
      </c>
      <c r="I686">
        <v>60519</v>
      </c>
      <c r="J686" s="1" t="s">
        <v>33</v>
      </c>
      <c r="K686" s="3">
        <v>5</v>
      </c>
      <c r="L686" s="1" t="s">
        <v>36</v>
      </c>
      <c r="M686" s="1" t="s">
        <v>29</v>
      </c>
      <c r="N686" s="3">
        <v>2024010123</v>
      </c>
      <c r="O686" s="3">
        <f t="shared" si="90"/>
        <v>1.23</v>
      </c>
      <c r="P686" s="6">
        <f t="shared" si="91"/>
        <v>663170.49</v>
      </c>
      <c r="Q686" s="3" t="str">
        <f t="shared" si="92"/>
        <v>Excellent</v>
      </c>
      <c r="R686" s="3">
        <f t="shared" si="93"/>
        <v>3418</v>
      </c>
      <c r="S686" s="7">
        <f t="shared" si="94"/>
        <v>41016</v>
      </c>
      <c r="T686" s="3" t="str">
        <f t="shared" si="95"/>
        <v>High Profit</v>
      </c>
      <c r="U686" s="3" t="str">
        <f t="shared" si="96"/>
        <v>Medium Discount</v>
      </c>
      <c r="V686" s="3" t="str">
        <f t="shared" si="97"/>
        <v>Priority D</v>
      </c>
      <c r="W686">
        <f t="shared" si="98"/>
        <v>53916.3</v>
      </c>
      <c r="X686" t="s">
        <v>23</v>
      </c>
      <c r="Y686" t="s">
        <v>23</v>
      </c>
      <c r="Z686" t="s">
        <v>23</v>
      </c>
      <c r="AA686" t="s">
        <v>23</v>
      </c>
      <c r="AB686" t="s">
        <v>23</v>
      </c>
      <c r="AC686" t="s">
        <v>23</v>
      </c>
      <c r="AD686" t="s">
        <v>23</v>
      </c>
      <c r="AE686" t="s">
        <v>23</v>
      </c>
      <c r="AF686" t="s">
        <v>23</v>
      </c>
      <c r="AG686" t="s">
        <v>23</v>
      </c>
      <c r="AH686" t="s">
        <v>23</v>
      </c>
      <c r="AI686" t="s">
        <v>23</v>
      </c>
      <c r="AJ686" t="s">
        <v>23</v>
      </c>
    </row>
    <row r="687" spans="1:36" x14ac:dyDescent="0.35">
      <c r="A687" s="2">
        <v>1685</v>
      </c>
      <c r="B687" s="4">
        <v>45229</v>
      </c>
      <c r="C687" s="1" t="s">
        <v>34</v>
      </c>
      <c r="D687" s="1" t="s">
        <v>42</v>
      </c>
      <c r="E687">
        <v>939726</v>
      </c>
      <c r="F687">
        <v>12</v>
      </c>
      <c r="G687" s="1" t="s">
        <v>39</v>
      </c>
      <c r="H687">
        <v>46680</v>
      </c>
      <c r="I687">
        <v>51308</v>
      </c>
      <c r="J687" s="1" t="s">
        <v>27</v>
      </c>
      <c r="K687" s="3">
        <v>6</v>
      </c>
      <c r="L687" s="1" t="s">
        <v>40</v>
      </c>
      <c r="M687" s="1" t="s">
        <v>29</v>
      </c>
      <c r="N687" s="3">
        <v>2024010123</v>
      </c>
      <c r="O687" s="3">
        <f t="shared" si="90"/>
        <v>1.23</v>
      </c>
      <c r="P687" s="6">
        <f t="shared" si="91"/>
        <v>1155862.98</v>
      </c>
      <c r="Q687" s="3" t="str">
        <f t="shared" si="92"/>
        <v>Excellent</v>
      </c>
      <c r="R687" s="3">
        <f t="shared" si="93"/>
        <v>4628</v>
      </c>
      <c r="S687" s="7">
        <f t="shared" si="94"/>
        <v>55536</v>
      </c>
      <c r="T687" s="3" t="str">
        <f t="shared" si="95"/>
        <v>High Profit</v>
      </c>
      <c r="U687" s="3" t="str">
        <f t="shared" si="96"/>
        <v>Medium Discount</v>
      </c>
      <c r="V687" s="3" t="str">
        <f t="shared" si="97"/>
        <v>Priority D</v>
      </c>
      <c r="W687">
        <f t="shared" si="98"/>
        <v>140958.9</v>
      </c>
      <c r="X687" t="s">
        <v>23</v>
      </c>
      <c r="Y687" t="s">
        <v>23</v>
      </c>
      <c r="Z687" t="s">
        <v>23</v>
      </c>
      <c r="AA687" t="s">
        <v>23</v>
      </c>
      <c r="AB687" t="s">
        <v>23</v>
      </c>
      <c r="AC687" t="s">
        <v>23</v>
      </c>
      <c r="AD687" t="s">
        <v>23</v>
      </c>
      <c r="AE687" t="s">
        <v>23</v>
      </c>
      <c r="AF687" t="s">
        <v>23</v>
      </c>
      <c r="AG687" t="s">
        <v>23</v>
      </c>
      <c r="AH687" t="s">
        <v>23</v>
      </c>
      <c r="AI687" t="s">
        <v>23</v>
      </c>
      <c r="AJ687" t="s">
        <v>23</v>
      </c>
    </row>
    <row r="688" spans="1:36" x14ac:dyDescent="0.35">
      <c r="A688" s="2">
        <v>1686</v>
      </c>
      <c r="B688" s="4">
        <v>45104</v>
      </c>
      <c r="C688" s="1" t="s">
        <v>38</v>
      </c>
      <c r="D688" s="1" t="s">
        <v>43</v>
      </c>
      <c r="E688">
        <v>748113</v>
      </c>
      <c r="F688">
        <v>12</v>
      </c>
      <c r="G688" s="1" t="s">
        <v>32</v>
      </c>
      <c r="H688">
        <v>37593</v>
      </c>
      <c r="I688">
        <v>40803</v>
      </c>
      <c r="J688" s="1" t="s">
        <v>33</v>
      </c>
      <c r="K688" s="3">
        <v>16</v>
      </c>
      <c r="L688" s="1" t="s">
        <v>40</v>
      </c>
      <c r="M688" s="1" t="s">
        <v>29</v>
      </c>
      <c r="N688" s="3">
        <v>2024010123</v>
      </c>
      <c r="O688" s="3">
        <f t="shared" si="90"/>
        <v>1.23</v>
      </c>
      <c r="P688" s="6">
        <f t="shared" si="91"/>
        <v>920178.99</v>
      </c>
      <c r="Q688" s="3" t="str">
        <f t="shared" si="92"/>
        <v>Excellent</v>
      </c>
      <c r="R688" s="3">
        <f t="shared" si="93"/>
        <v>3210</v>
      </c>
      <c r="S688" s="7">
        <f t="shared" si="94"/>
        <v>38520</v>
      </c>
      <c r="T688" s="3" t="str">
        <f t="shared" si="95"/>
        <v>High Profit</v>
      </c>
      <c r="U688" s="3" t="str">
        <f t="shared" si="96"/>
        <v>High Discount</v>
      </c>
      <c r="V688" s="3" t="str">
        <f t="shared" si="97"/>
        <v>Priority D</v>
      </c>
      <c r="W688">
        <f t="shared" si="98"/>
        <v>74811.3</v>
      </c>
      <c r="X688" t="s">
        <v>23</v>
      </c>
      <c r="Y688" t="s">
        <v>23</v>
      </c>
      <c r="Z688" t="s">
        <v>23</v>
      </c>
      <c r="AA688" t="s">
        <v>23</v>
      </c>
      <c r="AB688" t="s">
        <v>23</v>
      </c>
      <c r="AC688" t="s">
        <v>23</v>
      </c>
      <c r="AD688" t="s">
        <v>23</v>
      </c>
      <c r="AE688" t="s">
        <v>23</v>
      </c>
      <c r="AF688" t="s">
        <v>23</v>
      </c>
      <c r="AG688" t="s">
        <v>23</v>
      </c>
      <c r="AH688" t="s">
        <v>23</v>
      </c>
      <c r="AI688" t="s">
        <v>23</v>
      </c>
      <c r="AJ688" t="s">
        <v>23</v>
      </c>
    </row>
    <row r="689" spans="1:36" x14ac:dyDescent="0.35">
      <c r="A689" s="2">
        <v>1687</v>
      </c>
      <c r="B689" s="4">
        <v>44960</v>
      </c>
      <c r="C689" s="1" t="s">
        <v>24</v>
      </c>
      <c r="D689" s="1" t="s">
        <v>43</v>
      </c>
      <c r="E689">
        <v>23556</v>
      </c>
      <c r="F689">
        <v>12</v>
      </c>
      <c r="G689" s="1" t="s">
        <v>35</v>
      </c>
      <c r="H689">
        <v>26761</v>
      </c>
      <c r="I689">
        <v>30364</v>
      </c>
      <c r="J689" s="1" t="s">
        <v>27</v>
      </c>
      <c r="K689" s="3">
        <v>25</v>
      </c>
      <c r="L689" s="1" t="s">
        <v>40</v>
      </c>
      <c r="M689" s="1" t="s">
        <v>37</v>
      </c>
      <c r="N689" s="3">
        <v>2024010123</v>
      </c>
      <c r="O689" s="3">
        <f t="shared" si="90"/>
        <v>1.23</v>
      </c>
      <c r="P689" s="6">
        <f t="shared" si="91"/>
        <v>28973.88</v>
      </c>
      <c r="Q689" s="3" t="str">
        <f t="shared" si="92"/>
        <v>Excellent</v>
      </c>
      <c r="R689" s="3">
        <f t="shared" si="93"/>
        <v>3603</v>
      </c>
      <c r="S689" s="7">
        <f t="shared" si="94"/>
        <v>43236</v>
      </c>
      <c r="T689" s="3" t="str">
        <f t="shared" si="95"/>
        <v>High Profit</v>
      </c>
      <c r="U689" s="3" t="str">
        <f t="shared" si="96"/>
        <v>High Discount</v>
      </c>
      <c r="V689" s="3" t="str">
        <f t="shared" si="97"/>
        <v>Priority C</v>
      </c>
      <c r="W689">
        <f t="shared" si="98"/>
        <v>3533.4</v>
      </c>
      <c r="X689" t="s">
        <v>23</v>
      </c>
      <c r="Y689" t="s">
        <v>23</v>
      </c>
      <c r="Z689" t="s">
        <v>23</v>
      </c>
      <c r="AA689" t="s">
        <v>23</v>
      </c>
      <c r="AB689" t="s">
        <v>23</v>
      </c>
      <c r="AC689" t="s">
        <v>23</v>
      </c>
      <c r="AD689" t="s">
        <v>23</v>
      </c>
      <c r="AE689" t="s">
        <v>23</v>
      </c>
      <c r="AF689" t="s">
        <v>23</v>
      </c>
      <c r="AG689" t="s">
        <v>23</v>
      </c>
      <c r="AH689" t="s">
        <v>23</v>
      </c>
      <c r="AI689" t="s">
        <v>23</v>
      </c>
      <c r="AJ689" t="s">
        <v>23</v>
      </c>
    </row>
    <row r="690" spans="1:36" x14ac:dyDescent="0.35">
      <c r="A690" s="2">
        <v>1688</v>
      </c>
      <c r="B690" s="4">
        <v>45168</v>
      </c>
      <c r="C690" s="1" t="s">
        <v>41</v>
      </c>
      <c r="D690" s="1" t="s">
        <v>42</v>
      </c>
      <c r="E690">
        <v>595731</v>
      </c>
      <c r="F690">
        <v>12</v>
      </c>
      <c r="G690" s="1" t="s">
        <v>26</v>
      </c>
      <c r="H690">
        <v>30511</v>
      </c>
      <c r="I690">
        <v>33574</v>
      </c>
      <c r="J690" s="1" t="s">
        <v>33</v>
      </c>
      <c r="K690" s="3">
        <v>20</v>
      </c>
      <c r="L690" s="1" t="s">
        <v>28</v>
      </c>
      <c r="M690" s="1" t="s">
        <v>37</v>
      </c>
      <c r="N690" s="3">
        <v>2024010123</v>
      </c>
      <c r="O690" s="3">
        <f t="shared" si="90"/>
        <v>1.23</v>
      </c>
      <c r="P690" s="6">
        <f t="shared" si="91"/>
        <v>732749.13</v>
      </c>
      <c r="Q690" s="3" t="str">
        <f t="shared" si="92"/>
        <v>Excellent</v>
      </c>
      <c r="R690" s="3">
        <f t="shared" si="93"/>
        <v>3063</v>
      </c>
      <c r="S690" s="7">
        <f t="shared" si="94"/>
        <v>36756</v>
      </c>
      <c r="T690" s="3" t="str">
        <f t="shared" si="95"/>
        <v>High Profit</v>
      </c>
      <c r="U690" s="3" t="str">
        <f t="shared" si="96"/>
        <v>High Discount</v>
      </c>
      <c r="V690" s="3" t="str">
        <f t="shared" si="97"/>
        <v>Priority C</v>
      </c>
      <c r="W690">
        <f t="shared" si="98"/>
        <v>59573.100000000006</v>
      </c>
      <c r="X690" t="s">
        <v>23</v>
      </c>
      <c r="Y690" t="s">
        <v>23</v>
      </c>
      <c r="Z690" t="s">
        <v>23</v>
      </c>
      <c r="AA690" t="s">
        <v>23</v>
      </c>
      <c r="AB690" t="s">
        <v>23</v>
      </c>
      <c r="AC690" t="s">
        <v>23</v>
      </c>
      <c r="AD690" t="s">
        <v>23</v>
      </c>
      <c r="AE690" t="s">
        <v>23</v>
      </c>
      <c r="AF690" t="s">
        <v>23</v>
      </c>
      <c r="AG690" t="s">
        <v>23</v>
      </c>
      <c r="AH690" t="s">
        <v>23</v>
      </c>
      <c r="AI690" t="s">
        <v>23</v>
      </c>
      <c r="AJ690" t="s">
        <v>23</v>
      </c>
    </row>
    <row r="691" spans="1:36" x14ac:dyDescent="0.35">
      <c r="A691" s="2">
        <v>1689</v>
      </c>
      <c r="B691" s="4">
        <v>45222</v>
      </c>
      <c r="C691" s="1" t="s">
        <v>41</v>
      </c>
      <c r="D691" s="1" t="s">
        <v>43</v>
      </c>
      <c r="E691">
        <v>512344</v>
      </c>
      <c r="F691">
        <v>4</v>
      </c>
      <c r="G691" s="1" t="s">
        <v>39</v>
      </c>
      <c r="H691">
        <v>26577</v>
      </c>
      <c r="I691">
        <v>30654</v>
      </c>
      <c r="J691" s="1" t="s">
        <v>27</v>
      </c>
      <c r="K691" s="3">
        <v>24</v>
      </c>
      <c r="L691" s="1" t="s">
        <v>28</v>
      </c>
      <c r="M691" s="1" t="s">
        <v>37</v>
      </c>
      <c r="N691" s="3">
        <v>2024010123</v>
      </c>
      <c r="O691" s="3">
        <f t="shared" si="90"/>
        <v>1.23</v>
      </c>
      <c r="P691" s="6">
        <f t="shared" si="91"/>
        <v>630183.12</v>
      </c>
      <c r="Q691" s="3" t="str">
        <f t="shared" si="92"/>
        <v>Excellent</v>
      </c>
      <c r="R691" s="3">
        <f t="shared" si="93"/>
        <v>4077</v>
      </c>
      <c r="S691" s="7">
        <f t="shared" si="94"/>
        <v>16308</v>
      </c>
      <c r="T691" s="3" t="str">
        <f t="shared" si="95"/>
        <v>High Profit</v>
      </c>
      <c r="U691" s="3" t="str">
        <f t="shared" si="96"/>
        <v>High Discount</v>
      </c>
      <c r="V691" s="3" t="str">
        <f t="shared" si="97"/>
        <v>Priority C</v>
      </c>
      <c r="W691">
        <f t="shared" si="98"/>
        <v>76851.599999999991</v>
      </c>
      <c r="X691" t="s">
        <v>23</v>
      </c>
      <c r="Y691" t="s">
        <v>23</v>
      </c>
      <c r="Z691" t="s">
        <v>23</v>
      </c>
      <c r="AA691" t="s">
        <v>23</v>
      </c>
      <c r="AB691" t="s">
        <v>23</v>
      </c>
      <c r="AC691" t="s">
        <v>23</v>
      </c>
      <c r="AD691" t="s">
        <v>23</v>
      </c>
      <c r="AE691" t="s">
        <v>23</v>
      </c>
      <c r="AF691" t="s">
        <v>23</v>
      </c>
      <c r="AG691" t="s">
        <v>23</v>
      </c>
      <c r="AH691" t="s">
        <v>23</v>
      </c>
      <c r="AI691" t="s">
        <v>23</v>
      </c>
      <c r="AJ691" t="s">
        <v>23</v>
      </c>
    </row>
    <row r="692" spans="1:36" x14ac:dyDescent="0.35">
      <c r="A692" s="2">
        <v>1690</v>
      </c>
      <c r="B692" s="4">
        <v>45131</v>
      </c>
      <c r="C692" s="1" t="s">
        <v>41</v>
      </c>
      <c r="D692" s="1" t="s">
        <v>43</v>
      </c>
      <c r="E692">
        <v>835839</v>
      </c>
      <c r="F692">
        <v>29</v>
      </c>
      <c r="G692" s="1" t="s">
        <v>35</v>
      </c>
      <c r="H692">
        <v>20086</v>
      </c>
      <c r="I692">
        <v>28936</v>
      </c>
      <c r="J692" s="1" t="s">
        <v>27</v>
      </c>
      <c r="K692" s="3">
        <v>0</v>
      </c>
      <c r="L692" s="1" t="s">
        <v>28</v>
      </c>
      <c r="M692" s="1" t="s">
        <v>37</v>
      </c>
      <c r="N692" s="3">
        <v>2024010123</v>
      </c>
      <c r="O692" s="3">
        <f t="shared" si="90"/>
        <v>1.23</v>
      </c>
      <c r="P692" s="6">
        <f t="shared" si="91"/>
        <v>1028081.97</v>
      </c>
      <c r="Q692" s="3" t="str">
        <f t="shared" si="92"/>
        <v>Excellent</v>
      </c>
      <c r="R692" s="3">
        <f t="shared" si="93"/>
        <v>8850</v>
      </c>
      <c r="S692" s="7">
        <f t="shared" si="94"/>
        <v>256650</v>
      </c>
      <c r="T692" s="3" t="str">
        <f t="shared" si="95"/>
        <v>High Profit</v>
      </c>
      <c r="U692" s="3" t="str">
        <f t="shared" si="96"/>
        <v>No Discount</v>
      </c>
      <c r="V692" s="3" t="str">
        <f t="shared" si="97"/>
        <v>Priority C</v>
      </c>
      <c r="W692">
        <f t="shared" si="98"/>
        <v>125375.84999999999</v>
      </c>
      <c r="X692" t="s">
        <v>23</v>
      </c>
      <c r="Y692" t="s">
        <v>23</v>
      </c>
      <c r="Z692" t="s">
        <v>23</v>
      </c>
      <c r="AA692" t="s">
        <v>23</v>
      </c>
      <c r="AB692" t="s">
        <v>23</v>
      </c>
      <c r="AC692" t="s">
        <v>23</v>
      </c>
      <c r="AD692" t="s">
        <v>23</v>
      </c>
      <c r="AE692" t="s">
        <v>23</v>
      </c>
      <c r="AF692" t="s">
        <v>23</v>
      </c>
      <c r="AG692" t="s">
        <v>23</v>
      </c>
      <c r="AH692" t="s">
        <v>23</v>
      </c>
      <c r="AI692" t="s">
        <v>23</v>
      </c>
      <c r="AJ692" t="s">
        <v>23</v>
      </c>
    </row>
    <row r="693" spans="1:36" x14ac:dyDescent="0.35">
      <c r="A693" s="2">
        <v>1691</v>
      </c>
      <c r="B693" s="4">
        <v>44948</v>
      </c>
      <c r="C693" s="1" t="s">
        <v>41</v>
      </c>
      <c r="D693" s="1" t="s">
        <v>25</v>
      </c>
      <c r="E693">
        <v>882005</v>
      </c>
      <c r="F693">
        <v>13</v>
      </c>
      <c r="G693" s="1" t="s">
        <v>26</v>
      </c>
      <c r="H693">
        <v>28781</v>
      </c>
      <c r="I693">
        <v>39072</v>
      </c>
      <c r="J693" s="1" t="s">
        <v>27</v>
      </c>
      <c r="K693" s="3">
        <v>2</v>
      </c>
      <c r="L693" s="1" t="s">
        <v>28</v>
      </c>
      <c r="M693" s="1" t="s">
        <v>29</v>
      </c>
      <c r="N693" s="3">
        <v>2024010123</v>
      </c>
      <c r="O693" s="3">
        <f t="shared" si="90"/>
        <v>1.23</v>
      </c>
      <c r="P693" s="6">
        <f t="shared" si="91"/>
        <v>1084866.1499999999</v>
      </c>
      <c r="Q693" s="3" t="str">
        <f t="shared" si="92"/>
        <v>Excellent</v>
      </c>
      <c r="R693" s="3">
        <f t="shared" si="93"/>
        <v>10291</v>
      </c>
      <c r="S693" s="7">
        <f t="shared" si="94"/>
        <v>133783</v>
      </c>
      <c r="T693" s="3" t="str">
        <f t="shared" si="95"/>
        <v>High Profit</v>
      </c>
      <c r="U693" s="3" t="str">
        <f t="shared" si="96"/>
        <v>Low Discount</v>
      </c>
      <c r="V693" s="3" t="str">
        <f t="shared" si="97"/>
        <v>Priority D</v>
      </c>
      <c r="W693">
        <f t="shared" si="98"/>
        <v>132300.75</v>
      </c>
      <c r="X693" t="s">
        <v>23</v>
      </c>
      <c r="Y693" t="s">
        <v>23</v>
      </c>
      <c r="Z693" t="s">
        <v>23</v>
      </c>
      <c r="AA693" t="s">
        <v>23</v>
      </c>
      <c r="AB693" t="s">
        <v>23</v>
      </c>
      <c r="AC693" t="s">
        <v>23</v>
      </c>
      <c r="AD693" t="s">
        <v>23</v>
      </c>
      <c r="AE693" t="s">
        <v>23</v>
      </c>
      <c r="AF693" t="s">
        <v>23</v>
      </c>
      <c r="AG693" t="s">
        <v>23</v>
      </c>
      <c r="AH693" t="s">
        <v>23</v>
      </c>
      <c r="AI693" t="s">
        <v>23</v>
      </c>
      <c r="AJ693" t="s">
        <v>23</v>
      </c>
    </row>
    <row r="694" spans="1:36" x14ac:dyDescent="0.35">
      <c r="A694" s="2">
        <v>1692</v>
      </c>
      <c r="B694" s="4">
        <v>45165</v>
      </c>
      <c r="C694" s="1" t="s">
        <v>30</v>
      </c>
      <c r="D694" s="1" t="s">
        <v>31</v>
      </c>
      <c r="E694">
        <v>393583</v>
      </c>
      <c r="F694">
        <v>12</v>
      </c>
      <c r="G694" s="1" t="s">
        <v>35</v>
      </c>
      <c r="H694">
        <v>20574</v>
      </c>
      <c r="I694">
        <v>31025</v>
      </c>
      <c r="J694" s="1" t="s">
        <v>27</v>
      </c>
      <c r="K694" s="3">
        <v>3</v>
      </c>
      <c r="L694" s="1" t="s">
        <v>28</v>
      </c>
      <c r="M694" s="1" t="s">
        <v>29</v>
      </c>
      <c r="N694" s="3">
        <v>2024010123</v>
      </c>
      <c r="O694" s="3">
        <f t="shared" si="90"/>
        <v>1.23</v>
      </c>
      <c r="P694" s="6">
        <f t="shared" si="91"/>
        <v>484107.08999999997</v>
      </c>
      <c r="Q694" s="3" t="str">
        <f t="shared" si="92"/>
        <v>Excellent</v>
      </c>
      <c r="R694" s="3">
        <f t="shared" si="93"/>
        <v>10451</v>
      </c>
      <c r="S694" s="7">
        <f t="shared" si="94"/>
        <v>125412</v>
      </c>
      <c r="T694" s="3" t="str">
        <f t="shared" si="95"/>
        <v>High Profit</v>
      </c>
      <c r="U694" s="3" t="str">
        <f t="shared" si="96"/>
        <v>Low Discount</v>
      </c>
      <c r="V694" s="3" t="str">
        <f t="shared" si="97"/>
        <v>Priority D</v>
      </c>
      <c r="W694">
        <f t="shared" si="98"/>
        <v>59037.45</v>
      </c>
      <c r="X694" t="s">
        <v>23</v>
      </c>
      <c r="Y694" t="s">
        <v>23</v>
      </c>
      <c r="Z694" t="s">
        <v>23</v>
      </c>
      <c r="AA694" t="s">
        <v>23</v>
      </c>
      <c r="AB694" t="s">
        <v>23</v>
      </c>
      <c r="AC694" t="s">
        <v>23</v>
      </c>
      <c r="AD694" t="s">
        <v>23</v>
      </c>
      <c r="AE694" t="s">
        <v>23</v>
      </c>
      <c r="AF694" t="s">
        <v>23</v>
      </c>
      <c r="AG694" t="s">
        <v>23</v>
      </c>
      <c r="AH694" t="s">
        <v>23</v>
      </c>
      <c r="AI694" t="s">
        <v>23</v>
      </c>
      <c r="AJ694" t="s">
        <v>23</v>
      </c>
    </row>
    <row r="695" spans="1:36" x14ac:dyDescent="0.35">
      <c r="A695" s="2">
        <v>1693</v>
      </c>
      <c r="B695" s="4">
        <v>45243</v>
      </c>
      <c r="C695" s="1" t="s">
        <v>24</v>
      </c>
      <c r="D695" s="1" t="s">
        <v>25</v>
      </c>
      <c r="E695">
        <v>838516</v>
      </c>
      <c r="F695">
        <v>45</v>
      </c>
      <c r="G695" s="1" t="s">
        <v>39</v>
      </c>
      <c r="H695">
        <v>27908</v>
      </c>
      <c r="I695">
        <v>41303</v>
      </c>
      <c r="J695" s="1" t="s">
        <v>33</v>
      </c>
      <c r="K695" s="3">
        <v>9</v>
      </c>
      <c r="L695" s="1" t="s">
        <v>28</v>
      </c>
      <c r="M695" s="1" t="s">
        <v>29</v>
      </c>
      <c r="N695" s="3">
        <v>2024010123</v>
      </c>
      <c r="O695" s="3">
        <f t="shared" si="90"/>
        <v>1.23</v>
      </c>
      <c r="P695" s="6">
        <f t="shared" si="91"/>
        <v>1031374.6799999999</v>
      </c>
      <c r="Q695" s="3" t="str">
        <f t="shared" si="92"/>
        <v>Excellent</v>
      </c>
      <c r="R695" s="3">
        <f t="shared" si="93"/>
        <v>13395</v>
      </c>
      <c r="S695" s="7">
        <f t="shared" si="94"/>
        <v>602775</v>
      </c>
      <c r="T695" s="3" t="str">
        <f t="shared" si="95"/>
        <v>High Profit</v>
      </c>
      <c r="U695" s="3" t="str">
        <f t="shared" si="96"/>
        <v>Medium Discount</v>
      </c>
      <c r="V695" s="3" t="str">
        <f t="shared" si="97"/>
        <v>Priority B</v>
      </c>
      <c r="W695">
        <f t="shared" si="98"/>
        <v>83851.600000000006</v>
      </c>
      <c r="X695" t="s">
        <v>23</v>
      </c>
      <c r="Y695" t="s">
        <v>23</v>
      </c>
      <c r="Z695" t="s">
        <v>23</v>
      </c>
      <c r="AA695" t="s">
        <v>23</v>
      </c>
      <c r="AB695" t="s">
        <v>23</v>
      </c>
      <c r="AC695" t="s">
        <v>23</v>
      </c>
      <c r="AD695" t="s">
        <v>23</v>
      </c>
      <c r="AE695" t="s">
        <v>23</v>
      </c>
      <c r="AF695" t="s">
        <v>23</v>
      </c>
      <c r="AG695" t="s">
        <v>23</v>
      </c>
      <c r="AH695" t="s">
        <v>23</v>
      </c>
      <c r="AI695" t="s">
        <v>23</v>
      </c>
      <c r="AJ695" t="s">
        <v>23</v>
      </c>
    </row>
    <row r="696" spans="1:36" x14ac:dyDescent="0.35">
      <c r="A696" s="2">
        <v>1694</v>
      </c>
      <c r="B696" s="4">
        <v>45205</v>
      </c>
      <c r="C696" s="1" t="s">
        <v>34</v>
      </c>
      <c r="D696" s="1" t="s">
        <v>42</v>
      </c>
      <c r="E696">
        <v>524425</v>
      </c>
      <c r="F696">
        <v>40</v>
      </c>
      <c r="G696" s="1" t="s">
        <v>32</v>
      </c>
      <c r="H696">
        <v>13039</v>
      </c>
      <c r="I696">
        <v>25358</v>
      </c>
      <c r="J696" s="1" t="s">
        <v>33</v>
      </c>
      <c r="K696" s="3">
        <v>7</v>
      </c>
      <c r="L696" s="1" t="s">
        <v>40</v>
      </c>
      <c r="M696" s="1" t="s">
        <v>29</v>
      </c>
      <c r="N696" s="3">
        <v>2024010123</v>
      </c>
      <c r="O696" s="3">
        <f t="shared" si="90"/>
        <v>1.23</v>
      </c>
      <c r="P696" s="6">
        <f t="shared" si="91"/>
        <v>645042.75</v>
      </c>
      <c r="Q696" s="3" t="str">
        <f t="shared" si="92"/>
        <v>Excellent</v>
      </c>
      <c r="R696" s="3">
        <f t="shared" si="93"/>
        <v>12319</v>
      </c>
      <c r="S696" s="7">
        <f t="shared" si="94"/>
        <v>492760</v>
      </c>
      <c r="T696" s="3" t="str">
        <f t="shared" si="95"/>
        <v>High Profit</v>
      </c>
      <c r="U696" s="3" t="str">
        <f t="shared" si="96"/>
        <v>Medium Discount</v>
      </c>
      <c r="V696" s="3" t="str">
        <f t="shared" si="97"/>
        <v>Priority B</v>
      </c>
      <c r="W696">
        <f t="shared" si="98"/>
        <v>52442.5</v>
      </c>
      <c r="X696" t="s">
        <v>23</v>
      </c>
      <c r="Y696" t="s">
        <v>23</v>
      </c>
      <c r="Z696" t="s">
        <v>23</v>
      </c>
      <c r="AA696" t="s">
        <v>23</v>
      </c>
      <c r="AB696" t="s">
        <v>23</v>
      </c>
      <c r="AC696" t="s">
        <v>23</v>
      </c>
      <c r="AD696" t="s">
        <v>23</v>
      </c>
      <c r="AE696" t="s">
        <v>23</v>
      </c>
      <c r="AF696" t="s">
        <v>23</v>
      </c>
      <c r="AG696" t="s">
        <v>23</v>
      </c>
      <c r="AH696" t="s">
        <v>23</v>
      </c>
      <c r="AI696" t="s">
        <v>23</v>
      </c>
      <c r="AJ696" t="s">
        <v>23</v>
      </c>
    </row>
    <row r="697" spans="1:36" x14ac:dyDescent="0.35">
      <c r="A697" s="2">
        <v>1695</v>
      </c>
      <c r="B697" s="4">
        <v>45126</v>
      </c>
      <c r="C697" s="1" t="s">
        <v>41</v>
      </c>
      <c r="D697" s="1" t="s">
        <v>31</v>
      </c>
      <c r="E697">
        <v>659321</v>
      </c>
      <c r="F697">
        <v>12</v>
      </c>
      <c r="G697" s="1" t="s">
        <v>35</v>
      </c>
      <c r="H697">
        <v>13958</v>
      </c>
      <c r="I697">
        <v>27579</v>
      </c>
      <c r="J697" s="1" t="s">
        <v>27</v>
      </c>
      <c r="K697" s="3">
        <v>13</v>
      </c>
      <c r="L697" s="1" t="s">
        <v>36</v>
      </c>
      <c r="M697" s="1" t="s">
        <v>29</v>
      </c>
      <c r="N697" s="3">
        <v>2024010123</v>
      </c>
      <c r="O697" s="3">
        <f t="shared" si="90"/>
        <v>1.23</v>
      </c>
      <c r="P697" s="6">
        <f t="shared" si="91"/>
        <v>810964.83</v>
      </c>
      <c r="Q697" s="3" t="str">
        <f t="shared" si="92"/>
        <v>Excellent</v>
      </c>
      <c r="R697" s="3">
        <f t="shared" si="93"/>
        <v>13621</v>
      </c>
      <c r="S697" s="7">
        <f t="shared" si="94"/>
        <v>163452</v>
      </c>
      <c r="T697" s="3" t="str">
        <f t="shared" si="95"/>
        <v>High Profit</v>
      </c>
      <c r="U697" s="3" t="str">
        <f t="shared" si="96"/>
        <v>Medium Discount</v>
      </c>
      <c r="V697" s="3" t="str">
        <f t="shared" si="97"/>
        <v>Priority D</v>
      </c>
      <c r="W697">
        <f t="shared" si="98"/>
        <v>98898.15</v>
      </c>
      <c r="X697" t="s">
        <v>23</v>
      </c>
      <c r="Y697" t="s">
        <v>23</v>
      </c>
      <c r="Z697" t="s">
        <v>23</v>
      </c>
      <c r="AA697" t="s">
        <v>23</v>
      </c>
      <c r="AB697" t="s">
        <v>23</v>
      </c>
      <c r="AC697" t="s">
        <v>23</v>
      </c>
      <c r="AD697" t="s">
        <v>23</v>
      </c>
      <c r="AE697" t="s">
        <v>23</v>
      </c>
      <c r="AF697" t="s">
        <v>23</v>
      </c>
      <c r="AG697" t="s">
        <v>23</v>
      </c>
      <c r="AH697" t="s">
        <v>23</v>
      </c>
      <c r="AI697" t="s">
        <v>23</v>
      </c>
      <c r="AJ697" t="s">
        <v>23</v>
      </c>
    </row>
    <row r="698" spans="1:36" x14ac:dyDescent="0.35">
      <c r="A698" s="2">
        <v>1696</v>
      </c>
      <c r="B698" s="4">
        <v>45014</v>
      </c>
      <c r="C698" s="1" t="s">
        <v>30</v>
      </c>
      <c r="D698" s="1" t="s">
        <v>42</v>
      </c>
      <c r="E698">
        <v>827487</v>
      </c>
      <c r="F698">
        <v>12</v>
      </c>
      <c r="G698" s="1" t="s">
        <v>39</v>
      </c>
      <c r="H698">
        <v>11752</v>
      </c>
      <c r="I698">
        <v>22067</v>
      </c>
      <c r="J698" s="1" t="s">
        <v>33</v>
      </c>
      <c r="K698" s="3">
        <v>22</v>
      </c>
      <c r="L698" s="1" t="s">
        <v>36</v>
      </c>
      <c r="M698" s="1" t="s">
        <v>37</v>
      </c>
      <c r="N698" s="3">
        <v>2024010123</v>
      </c>
      <c r="O698" s="3">
        <f t="shared" si="90"/>
        <v>1.23</v>
      </c>
      <c r="P698" s="6">
        <f t="shared" si="91"/>
        <v>1017809.01</v>
      </c>
      <c r="Q698" s="3" t="str">
        <f t="shared" si="92"/>
        <v>Excellent</v>
      </c>
      <c r="R698" s="3">
        <f t="shared" si="93"/>
        <v>10315</v>
      </c>
      <c r="S698" s="7">
        <f t="shared" si="94"/>
        <v>123780</v>
      </c>
      <c r="T698" s="3" t="str">
        <f t="shared" si="95"/>
        <v>High Profit</v>
      </c>
      <c r="U698" s="3" t="str">
        <f t="shared" si="96"/>
        <v>High Discount</v>
      </c>
      <c r="V698" s="3" t="str">
        <f t="shared" si="97"/>
        <v>Priority C</v>
      </c>
      <c r="W698">
        <f t="shared" si="98"/>
        <v>82748.700000000012</v>
      </c>
      <c r="X698" t="s">
        <v>23</v>
      </c>
      <c r="Y698" t="s">
        <v>23</v>
      </c>
      <c r="Z698" t="s">
        <v>23</v>
      </c>
      <c r="AA698" t="s">
        <v>23</v>
      </c>
      <c r="AB698" t="s">
        <v>23</v>
      </c>
      <c r="AC698" t="s">
        <v>23</v>
      </c>
      <c r="AD698" t="s">
        <v>23</v>
      </c>
      <c r="AE698" t="s">
        <v>23</v>
      </c>
      <c r="AF698" t="s">
        <v>23</v>
      </c>
      <c r="AG698" t="s">
        <v>23</v>
      </c>
      <c r="AH698" t="s">
        <v>23</v>
      </c>
      <c r="AI698" t="s">
        <v>23</v>
      </c>
      <c r="AJ698" t="s">
        <v>23</v>
      </c>
    </row>
    <row r="699" spans="1:36" x14ac:dyDescent="0.35">
      <c r="A699" s="2">
        <v>1697</v>
      </c>
      <c r="B699" s="4">
        <v>45108</v>
      </c>
      <c r="C699" s="1" t="s">
        <v>24</v>
      </c>
      <c r="D699" s="1" t="s">
        <v>43</v>
      </c>
      <c r="E699">
        <v>210719</v>
      </c>
      <c r="F699">
        <v>50</v>
      </c>
      <c r="G699" s="1" t="s">
        <v>32</v>
      </c>
      <c r="H699">
        <v>24044</v>
      </c>
      <c r="I699">
        <v>31575</v>
      </c>
      <c r="J699" s="1" t="s">
        <v>27</v>
      </c>
      <c r="K699" s="3">
        <v>15</v>
      </c>
      <c r="L699" s="1" t="s">
        <v>36</v>
      </c>
      <c r="M699" s="1" t="s">
        <v>29</v>
      </c>
      <c r="N699" s="3">
        <v>2024010123</v>
      </c>
      <c r="O699" s="3">
        <f t="shared" si="90"/>
        <v>1.23</v>
      </c>
      <c r="P699" s="6">
        <f t="shared" si="91"/>
        <v>259184.37</v>
      </c>
      <c r="Q699" s="3" t="str">
        <f t="shared" si="92"/>
        <v>Excellent</v>
      </c>
      <c r="R699" s="3">
        <f t="shared" si="93"/>
        <v>7531</v>
      </c>
      <c r="S699" s="7">
        <f t="shared" si="94"/>
        <v>376550</v>
      </c>
      <c r="T699" s="3" t="str">
        <f t="shared" si="95"/>
        <v>High Profit</v>
      </c>
      <c r="U699" s="3" t="str">
        <f t="shared" si="96"/>
        <v>High Discount</v>
      </c>
      <c r="V699" s="3" t="str">
        <f t="shared" si="97"/>
        <v>Priority B</v>
      </c>
      <c r="W699">
        <f t="shared" si="98"/>
        <v>31607.85</v>
      </c>
      <c r="X699" t="s">
        <v>23</v>
      </c>
      <c r="Y699" t="s">
        <v>23</v>
      </c>
      <c r="Z699" t="s">
        <v>23</v>
      </c>
      <c r="AA699" t="s">
        <v>23</v>
      </c>
      <c r="AB699" t="s">
        <v>23</v>
      </c>
      <c r="AC699" t="s">
        <v>23</v>
      </c>
      <c r="AD699" t="s">
        <v>23</v>
      </c>
      <c r="AE699" t="s">
        <v>23</v>
      </c>
      <c r="AF699" t="s">
        <v>23</v>
      </c>
      <c r="AG699" t="s">
        <v>23</v>
      </c>
      <c r="AH699" t="s">
        <v>23</v>
      </c>
      <c r="AI699" t="s">
        <v>23</v>
      </c>
      <c r="AJ699" t="s">
        <v>23</v>
      </c>
    </row>
    <row r="700" spans="1:36" x14ac:dyDescent="0.35">
      <c r="A700" s="2">
        <v>1698</v>
      </c>
      <c r="B700" s="4">
        <v>45093</v>
      </c>
      <c r="C700" s="1" t="s">
        <v>38</v>
      </c>
      <c r="D700" s="1" t="s">
        <v>43</v>
      </c>
      <c r="E700">
        <v>723752</v>
      </c>
      <c r="F700">
        <v>35</v>
      </c>
      <c r="G700" s="1" t="s">
        <v>39</v>
      </c>
      <c r="H700">
        <v>20540</v>
      </c>
      <c r="I700">
        <v>30903</v>
      </c>
      <c r="J700" s="1" t="s">
        <v>27</v>
      </c>
      <c r="K700" s="3">
        <v>18</v>
      </c>
      <c r="L700" s="1" t="s">
        <v>28</v>
      </c>
      <c r="M700" s="1" t="s">
        <v>37</v>
      </c>
      <c r="N700" s="3">
        <v>2024010123</v>
      </c>
      <c r="O700" s="3">
        <f t="shared" si="90"/>
        <v>1.23</v>
      </c>
      <c r="P700" s="6">
        <f t="shared" si="91"/>
        <v>890214.96</v>
      </c>
      <c r="Q700" s="3" t="str">
        <f t="shared" si="92"/>
        <v>Excellent</v>
      </c>
      <c r="R700" s="3">
        <f t="shared" si="93"/>
        <v>10363</v>
      </c>
      <c r="S700" s="7">
        <f t="shared" si="94"/>
        <v>362705</v>
      </c>
      <c r="T700" s="3" t="str">
        <f t="shared" si="95"/>
        <v>High Profit</v>
      </c>
      <c r="U700" s="3" t="str">
        <f t="shared" si="96"/>
        <v>High Discount</v>
      </c>
      <c r="V700" s="3" t="str">
        <f t="shared" si="97"/>
        <v>Priority A</v>
      </c>
      <c r="W700">
        <f t="shared" si="98"/>
        <v>108562.8</v>
      </c>
      <c r="X700" t="s">
        <v>23</v>
      </c>
      <c r="Y700" t="s">
        <v>23</v>
      </c>
      <c r="Z700" t="s">
        <v>23</v>
      </c>
      <c r="AA700" t="s">
        <v>23</v>
      </c>
      <c r="AB700" t="s">
        <v>23</v>
      </c>
      <c r="AC700" t="s">
        <v>23</v>
      </c>
      <c r="AD700" t="s">
        <v>23</v>
      </c>
      <c r="AE700" t="s">
        <v>23</v>
      </c>
      <c r="AF700" t="s">
        <v>23</v>
      </c>
      <c r="AG700" t="s">
        <v>23</v>
      </c>
      <c r="AH700" t="s">
        <v>23</v>
      </c>
      <c r="AI700" t="s">
        <v>23</v>
      </c>
      <c r="AJ700" t="s">
        <v>23</v>
      </c>
    </row>
    <row r="701" spans="1:36" x14ac:dyDescent="0.35">
      <c r="A701" s="2">
        <v>1699</v>
      </c>
      <c r="B701" s="4">
        <v>45201</v>
      </c>
      <c r="C701" s="1" t="s">
        <v>34</v>
      </c>
      <c r="D701" s="1" t="s">
        <v>31</v>
      </c>
      <c r="E701">
        <v>241783</v>
      </c>
      <c r="F701">
        <v>12</v>
      </c>
      <c r="G701" s="1" t="s">
        <v>32</v>
      </c>
      <c r="H701">
        <v>28043</v>
      </c>
      <c r="I701">
        <v>34600</v>
      </c>
      <c r="J701" s="1" t="s">
        <v>27</v>
      </c>
      <c r="K701" s="3">
        <v>16</v>
      </c>
      <c r="L701" s="1" t="s">
        <v>36</v>
      </c>
      <c r="M701" s="1" t="s">
        <v>37</v>
      </c>
      <c r="N701" s="3">
        <v>2024010123</v>
      </c>
      <c r="O701" s="3">
        <f t="shared" si="90"/>
        <v>1.23</v>
      </c>
      <c r="P701" s="6">
        <f t="shared" si="91"/>
        <v>297393.08999999997</v>
      </c>
      <c r="Q701" s="3" t="str">
        <f t="shared" si="92"/>
        <v>Excellent</v>
      </c>
      <c r="R701" s="3">
        <f t="shared" si="93"/>
        <v>6557</v>
      </c>
      <c r="S701" s="7">
        <f t="shared" si="94"/>
        <v>78684</v>
      </c>
      <c r="T701" s="3" t="str">
        <f t="shared" si="95"/>
        <v>High Profit</v>
      </c>
      <c r="U701" s="3" t="str">
        <f t="shared" si="96"/>
        <v>High Discount</v>
      </c>
      <c r="V701" s="3" t="str">
        <f t="shared" si="97"/>
        <v>Priority C</v>
      </c>
      <c r="W701">
        <f t="shared" si="98"/>
        <v>36267.449999999997</v>
      </c>
      <c r="X701" t="s">
        <v>23</v>
      </c>
      <c r="Y701" t="s">
        <v>23</v>
      </c>
      <c r="Z701" t="s">
        <v>23</v>
      </c>
      <c r="AA701" t="s">
        <v>23</v>
      </c>
      <c r="AB701" t="s">
        <v>23</v>
      </c>
      <c r="AC701" t="s">
        <v>23</v>
      </c>
      <c r="AD701" t="s">
        <v>23</v>
      </c>
      <c r="AE701" t="s">
        <v>23</v>
      </c>
      <c r="AF701" t="s">
        <v>23</v>
      </c>
      <c r="AG701" t="s">
        <v>23</v>
      </c>
      <c r="AH701" t="s">
        <v>23</v>
      </c>
      <c r="AI701" t="s">
        <v>23</v>
      </c>
      <c r="AJ701" t="s">
        <v>23</v>
      </c>
    </row>
    <row r="702" spans="1:36" x14ac:dyDescent="0.35">
      <c r="A702" s="2">
        <v>1700</v>
      </c>
      <c r="B702" s="4">
        <v>44973</v>
      </c>
      <c r="C702" s="1" t="s">
        <v>24</v>
      </c>
      <c r="D702" s="1" t="s">
        <v>31</v>
      </c>
      <c r="E702">
        <v>899674</v>
      </c>
      <c r="F702">
        <v>12</v>
      </c>
      <c r="G702" s="1" t="s">
        <v>39</v>
      </c>
      <c r="H702">
        <v>12000</v>
      </c>
      <c r="I702">
        <v>23000</v>
      </c>
      <c r="J702" s="1" t="s">
        <v>27</v>
      </c>
      <c r="K702" s="3">
        <v>0</v>
      </c>
      <c r="L702" s="1" t="s">
        <v>36</v>
      </c>
      <c r="M702" s="1" t="s">
        <v>37</v>
      </c>
      <c r="N702" s="3">
        <v>2024010123</v>
      </c>
      <c r="O702" s="3">
        <f t="shared" si="90"/>
        <v>1.23</v>
      </c>
      <c r="P702" s="6">
        <f t="shared" si="91"/>
        <v>1106599.02</v>
      </c>
      <c r="Q702" s="3" t="str">
        <f t="shared" si="92"/>
        <v>Excellent</v>
      </c>
      <c r="R702" s="3">
        <f t="shared" si="93"/>
        <v>11000</v>
      </c>
      <c r="S702" s="7">
        <f t="shared" si="94"/>
        <v>132000</v>
      </c>
      <c r="T702" s="3" t="str">
        <f t="shared" si="95"/>
        <v>High Profit</v>
      </c>
      <c r="U702" s="3" t="str">
        <f t="shared" si="96"/>
        <v>No Discount</v>
      </c>
      <c r="V702" s="3" t="str">
        <f t="shared" si="97"/>
        <v>Priority C</v>
      </c>
      <c r="W702">
        <f t="shared" si="98"/>
        <v>134951.1</v>
      </c>
      <c r="X702" t="s">
        <v>23</v>
      </c>
      <c r="Y702" t="s">
        <v>23</v>
      </c>
      <c r="Z702" t="s">
        <v>23</v>
      </c>
      <c r="AA702" t="s">
        <v>23</v>
      </c>
      <c r="AB702" t="s">
        <v>23</v>
      </c>
      <c r="AC702" t="s">
        <v>23</v>
      </c>
      <c r="AD702" t="s">
        <v>23</v>
      </c>
      <c r="AE702" t="s">
        <v>23</v>
      </c>
      <c r="AF702" t="s">
        <v>23</v>
      </c>
      <c r="AG702" t="s">
        <v>23</v>
      </c>
      <c r="AH702" t="s">
        <v>23</v>
      </c>
      <c r="AI702" t="s">
        <v>23</v>
      </c>
      <c r="AJ702" t="s">
        <v>23</v>
      </c>
    </row>
    <row r="703" spans="1:36" x14ac:dyDescent="0.35">
      <c r="A703" s="2">
        <v>1701</v>
      </c>
      <c r="B703" s="4">
        <v>45051</v>
      </c>
      <c r="C703" s="1" t="s">
        <v>24</v>
      </c>
      <c r="D703" s="1" t="s">
        <v>42</v>
      </c>
      <c r="E703">
        <v>683190</v>
      </c>
      <c r="F703">
        <v>8</v>
      </c>
      <c r="G703" s="1" t="s">
        <v>35</v>
      </c>
      <c r="H703">
        <v>18438</v>
      </c>
      <c r="I703">
        <v>23221</v>
      </c>
      <c r="J703" s="1" t="s">
        <v>27</v>
      </c>
      <c r="K703" s="3">
        <v>2</v>
      </c>
      <c r="L703" s="1" t="s">
        <v>28</v>
      </c>
      <c r="M703" s="1" t="s">
        <v>29</v>
      </c>
      <c r="N703" s="3">
        <v>2024010123</v>
      </c>
      <c r="O703" s="3">
        <f t="shared" si="90"/>
        <v>1.23</v>
      </c>
      <c r="P703" s="6">
        <f t="shared" si="91"/>
        <v>840323.7</v>
      </c>
      <c r="Q703" s="3" t="str">
        <f t="shared" si="92"/>
        <v>Excellent</v>
      </c>
      <c r="R703" s="3">
        <f t="shared" si="93"/>
        <v>4783</v>
      </c>
      <c r="S703" s="7">
        <f t="shared" si="94"/>
        <v>38264</v>
      </c>
      <c r="T703" s="3" t="str">
        <f t="shared" si="95"/>
        <v>High Profit</v>
      </c>
      <c r="U703" s="3" t="str">
        <f t="shared" si="96"/>
        <v>Low Discount</v>
      </c>
      <c r="V703" s="3" t="str">
        <f t="shared" si="97"/>
        <v>Priority D</v>
      </c>
      <c r="W703">
        <f t="shared" si="98"/>
        <v>102478.5</v>
      </c>
      <c r="X703" t="s">
        <v>23</v>
      </c>
      <c r="Y703" t="s">
        <v>23</v>
      </c>
      <c r="Z703" t="s">
        <v>23</v>
      </c>
      <c r="AA703" t="s">
        <v>23</v>
      </c>
      <c r="AB703" t="s">
        <v>23</v>
      </c>
      <c r="AC703" t="s">
        <v>23</v>
      </c>
      <c r="AD703" t="s">
        <v>23</v>
      </c>
      <c r="AE703" t="s">
        <v>23</v>
      </c>
      <c r="AF703" t="s">
        <v>23</v>
      </c>
      <c r="AG703" t="s">
        <v>23</v>
      </c>
      <c r="AH703" t="s">
        <v>23</v>
      </c>
      <c r="AI703" t="s">
        <v>23</v>
      </c>
      <c r="AJ703" t="s">
        <v>23</v>
      </c>
    </row>
    <row r="704" spans="1:36" x14ac:dyDescent="0.35">
      <c r="A704" s="2">
        <v>1702</v>
      </c>
      <c r="B704" s="4">
        <v>45220</v>
      </c>
      <c r="C704" s="1" t="s">
        <v>38</v>
      </c>
      <c r="D704" s="1" t="s">
        <v>42</v>
      </c>
      <c r="E704">
        <v>459322</v>
      </c>
      <c r="F704">
        <v>10</v>
      </c>
      <c r="G704" s="1" t="s">
        <v>35</v>
      </c>
      <c r="H704">
        <v>43712</v>
      </c>
      <c r="I704">
        <v>49583</v>
      </c>
      <c r="J704" s="1" t="s">
        <v>27</v>
      </c>
      <c r="K704" s="3">
        <v>2</v>
      </c>
      <c r="L704" s="1" t="s">
        <v>40</v>
      </c>
      <c r="M704" s="1" t="s">
        <v>37</v>
      </c>
      <c r="N704" s="3">
        <v>2024010123</v>
      </c>
      <c r="O704" s="3">
        <f t="shared" si="90"/>
        <v>1.23</v>
      </c>
      <c r="P704" s="6">
        <f t="shared" si="91"/>
        <v>564966.05999999994</v>
      </c>
      <c r="Q704" s="3" t="str">
        <f t="shared" si="92"/>
        <v>Excellent</v>
      </c>
      <c r="R704" s="3">
        <f t="shared" si="93"/>
        <v>5871</v>
      </c>
      <c r="S704" s="7">
        <f t="shared" si="94"/>
        <v>58710</v>
      </c>
      <c r="T704" s="3" t="str">
        <f t="shared" si="95"/>
        <v>High Profit</v>
      </c>
      <c r="U704" s="3" t="str">
        <f t="shared" si="96"/>
        <v>Low Discount</v>
      </c>
      <c r="V704" s="3" t="str">
        <f t="shared" si="97"/>
        <v>Priority C</v>
      </c>
      <c r="W704">
        <f t="shared" si="98"/>
        <v>68898.3</v>
      </c>
      <c r="X704" t="s">
        <v>23</v>
      </c>
      <c r="Y704" t="s">
        <v>23</v>
      </c>
      <c r="Z704" t="s">
        <v>23</v>
      </c>
      <c r="AA704" t="s">
        <v>23</v>
      </c>
      <c r="AB704" t="s">
        <v>23</v>
      </c>
      <c r="AC704" t="s">
        <v>23</v>
      </c>
      <c r="AD704" t="s">
        <v>23</v>
      </c>
      <c r="AE704" t="s">
        <v>23</v>
      </c>
      <c r="AF704" t="s">
        <v>23</v>
      </c>
      <c r="AG704" t="s">
        <v>23</v>
      </c>
      <c r="AH704" t="s">
        <v>23</v>
      </c>
      <c r="AI704" t="s">
        <v>23</v>
      </c>
      <c r="AJ704" t="s">
        <v>23</v>
      </c>
    </row>
    <row r="705" spans="1:36" x14ac:dyDescent="0.35">
      <c r="A705" s="2">
        <v>1703</v>
      </c>
      <c r="B705" s="4">
        <v>45008</v>
      </c>
      <c r="C705" s="1" t="s">
        <v>24</v>
      </c>
      <c r="D705" s="1" t="s">
        <v>42</v>
      </c>
      <c r="E705">
        <v>890234</v>
      </c>
      <c r="F705">
        <v>18</v>
      </c>
      <c r="G705" s="1" t="s">
        <v>32</v>
      </c>
      <c r="H705">
        <v>35650</v>
      </c>
      <c r="I705">
        <v>41598</v>
      </c>
      <c r="J705" s="1" t="s">
        <v>27</v>
      </c>
      <c r="K705" s="3">
        <v>9</v>
      </c>
      <c r="L705" s="1" t="s">
        <v>40</v>
      </c>
      <c r="M705" s="1" t="s">
        <v>37</v>
      </c>
      <c r="N705" s="3">
        <v>2024010123</v>
      </c>
      <c r="O705" s="3">
        <f t="shared" si="90"/>
        <v>1.23</v>
      </c>
      <c r="P705" s="6">
        <f t="shared" si="91"/>
        <v>1094987.82</v>
      </c>
      <c r="Q705" s="3" t="str">
        <f t="shared" si="92"/>
        <v>Excellent</v>
      </c>
      <c r="R705" s="3">
        <f t="shared" si="93"/>
        <v>5948</v>
      </c>
      <c r="S705" s="7">
        <f t="shared" si="94"/>
        <v>107064</v>
      </c>
      <c r="T705" s="3" t="str">
        <f t="shared" si="95"/>
        <v>High Profit</v>
      </c>
      <c r="U705" s="3" t="str">
        <f t="shared" si="96"/>
        <v>Medium Discount</v>
      </c>
      <c r="V705" s="3" t="str">
        <f t="shared" si="97"/>
        <v>Priority C</v>
      </c>
      <c r="W705">
        <f t="shared" si="98"/>
        <v>133535.1</v>
      </c>
      <c r="X705" t="s">
        <v>23</v>
      </c>
      <c r="Y705" t="s">
        <v>23</v>
      </c>
      <c r="Z705" t="s">
        <v>23</v>
      </c>
      <c r="AA705" t="s">
        <v>23</v>
      </c>
      <c r="AB705" t="s">
        <v>23</v>
      </c>
      <c r="AC705" t="s">
        <v>23</v>
      </c>
      <c r="AD705" t="s">
        <v>23</v>
      </c>
      <c r="AE705" t="s">
        <v>23</v>
      </c>
      <c r="AF705" t="s">
        <v>23</v>
      </c>
      <c r="AG705" t="s">
        <v>23</v>
      </c>
      <c r="AH705" t="s">
        <v>23</v>
      </c>
      <c r="AI705" t="s">
        <v>23</v>
      </c>
      <c r="AJ705" t="s">
        <v>23</v>
      </c>
    </row>
    <row r="706" spans="1:36" x14ac:dyDescent="0.35">
      <c r="A706" s="2">
        <v>1704</v>
      </c>
      <c r="B706" s="4">
        <v>45248</v>
      </c>
      <c r="C706" s="1" t="s">
        <v>30</v>
      </c>
      <c r="D706" s="1" t="s">
        <v>31</v>
      </c>
      <c r="E706">
        <v>624738</v>
      </c>
      <c r="F706">
        <v>18</v>
      </c>
      <c r="G706" s="1" t="s">
        <v>26</v>
      </c>
      <c r="H706">
        <v>32549</v>
      </c>
      <c r="I706">
        <v>36644</v>
      </c>
      <c r="J706" s="1" t="s">
        <v>33</v>
      </c>
      <c r="K706" s="3">
        <v>9</v>
      </c>
      <c r="L706" s="1" t="s">
        <v>36</v>
      </c>
      <c r="M706" s="1" t="s">
        <v>37</v>
      </c>
      <c r="N706" s="3">
        <v>2024010123</v>
      </c>
      <c r="O706" s="3">
        <f t="shared" si="90"/>
        <v>1.23</v>
      </c>
      <c r="P706" s="6">
        <f t="shared" si="91"/>
        <v>768427.74</v>
      </c>
      <c r="Q706" s="3" t="str">
        <f t="shared" si="92"/>
        <v>Excellent</v>
      </c>
      <c r="R706" s="3">
        <f t="shared" si="93"/>
        <v>4095</v>
      </c>
      <c r="S706" s="7">
        <f t="shared" si="94"/>
        <v>73710</v>
      </c>
      <c r="T706" s="3" t="str">
        <f t="shared" si="95"/>
        <v>High Profit</v>
      </c>
      <c r="U706" s="3" t="str">
        <f t="shared" si="96"/>
        <v>Medium Discount</v>
      </c>
      <c r="V706" s="3" t="str">
        <f t="shared" si="97"/>
        <v>Priority C</v>
      </c>
      <c r="W706">
        <f t="shared" si="98"/>
        <v>62473.8</v>
      </c>
      <c r="X706" t="s">
        <v>23</v>
      </c>
      <c r="Y706" t="s">
        <v>23</v>
      </c>
      <c r="Z706" t="s">
        <v>23</v>
      </c>
      <c r="AA706" t="s">
        <v>23</v>
      </c>
      <c r="AB706" t="s">
        <v>23</v>
      </c>
      <c r="AC706" t="s">
        <v>23</v>
      </c>
      <c r="AD706" t="s">
        <v>23</v>
      </c>
      <c r="AE706" t="s">
        <v>23</v>
      </c>
      <c r="AF706" t="s">
        <v>23</v>
      </c>
      <c r="AG706" t="s">
        <v>23</v>
      </c>
      <c r="AH706" t="s">
        <v>23</v>
      </c>
      <c r="AI706" t="s">
        <v>23</v>
      </c>
      <c r="AJ706" t="s">
        <v>23</v>
      </c>
    </row>
    <row r="707" spans="1:36" x14ac:dyDescent="0.35">
      <c r="A707" s="2">
        <v>1705</v>
      </c>
      <c r="B707" s="4">
        <v>45002</v>
      </c>
      <c r="C707" s="1" t="s">
        <v>24</v>
      </c>
      <c r="D707" s="1" t="s">
        <v>25</v>
      </c>
      <c r="E707">
        <v>972377</v>
      </c>
      <c r="F707">
        <v>8</v>
      </c>
      <c r="G707" s="1" t="s">
        <v>35</v>
      </c>
      <c r="H707">
        <v>38565</v>
      </c>
      <c r="I707">
        <v>46182</v>
      </c>
      <c r="J707" s="1" t="s">
        <v>33</v>
      </c>
      <c r="K707" s="3">
        <v>13</v>
      </c>
      <c r="L707" s="1" t="s">
        <v>28</v>
      </c>
      <c r="M707" s="1" t="s">
        <v>37</v>
      </c>
      <c r="N707" s="3">
        <v>2024010123</v>
      </c>
      <c r="O707" s="3">
        <f t="shared" ref="O707:O770" si="99">VALUE(RIGHT($N$2,3))/100</f>
        <v>1.23</v>
      </c>
      <c r="P707" s="6">
        <f t="shared" ref="P707:P770" si="100">E707*$O707</f>
        <v>1196023.71</v>
      </c>
      <c r="Q707" s="3" t="str">
        <f t="shared" ref="Q707:Q770" si="101">IF(P707&gt;=5000,"Excellent",
   IF(P707&gt;=3000,"Good",
      IF(P707&gt;=1500,"Average","Below Average")))</f>
        <v>Excellent</v>
      </c>
      <c r="R707" s="3">
        <f t="shared" ref="R707:R770" si="102">I707-H707</f>
        <v>7617</v>
      </c>
      <c r="S707" s="7">
        <f t="shared" ref="S707:S770" si="103">R707*F707</f>
        <v>60936</v>
      </c>
      <c r="T707" s="3" t="str">
        <f t="shared" ref="T707:T770" si="104">IF(S707&gt;=1000,"High Profit",
   IF(S707&gt;=500,"Medium Profit","Low Profit"))</f>
        <v>High Profit</v>
      </c>
      <c r="U707" s="3" t="str">
        <f t="shared" ref="U707:U770" si="105">_xlfn.LET(
  _xlpm.d0, K707,
  _xlpm.d, IF(_xlpm.d0&gt;=1, _xlpm.d0/100, _xlpm.d0),
  IF(_xlpm.d&gt;=0.15, "High Discount",
     IF(_xlpm.d&gt;=0.05, "Medium Discount",
        IF(_xlpm.d&gt;0, "Low Discount", "No Discount")))
)</f>
        <v>Medium Discount</v>
      </c>
      <c r="V707" s="3" t="str">
        <f t="shared" ref="V707:V770" si="106">IF(AND(G707="Electronics",F707&gt;=30,M707="Online"),"Priority A",
   IF(AND(OR(G707="Furniture",G707="Electronics"),F707&gt;=20),"Priority B",
      IF(OR(M707="Online",F707&gt;=15),"Priority C","Priority D")))</f>
        <v>Priority C</v>
      </c>
      <c r="W707">
        <f t="shared" ref="W707:W770" si="107">IF(AND(Q707="Excellent",J707="Returning",T707="High Profit"),E707*0.15,
   IF(AND(Q707="Excellent",J707="New"),E707*0.1,
      IF(AND(OR(Q707="Good",Q707="Excellent"),L707="Cash"),E707*0.08,
         IF(AND(Q707="Good",T707="High Profit"),E707*0.06,
            IF(Q707="Average",E707*0.03,
               IF(Q707="Below Average",E707*0.01,0))))))</f>
        <v>97237.700000000012</v>
      </c>
      <c r="X707" t="s">
        <v>23</v>
      </c>
      <c r="Y707" t="s">
        <v>23</v>
      </c>
      <c r="Z707" t="s">
        <v>23</v>
      </c>
      <c r="AA707" t="s">
        <v>23</v>
      </c>
      <c r="AB707" t="s">
        <v>23</v>
      </c>
      <c r="AC707" t="s">
        <v>23</v>
      </c>
      <c r="AD707" t="s">
        <v>23</v>
      </c>
      <c r="AE707" t="s">
        <v>23</v>
      </c>
      <c r="AF707" t="s">
        <v>23</v>
      </c>
      <c r="AG707" t="s">
        <v>23</v>
      </c>
      <c r="AH707" t="s">
        <v>23</v>
      </c>
      <c r="AI707" t="s">
        <v>23</v>
      </c>
      <c r="AJ707" t="s">
        <v>23</v>
      </c>
    </row>
    <row r="708" spans="1:36" x14ac:dyDescent="0.35">
      <c r="A708" s="2">
        <v>1706</v>
      </c>
      <c r="B708" s="4">
        <v>45065</v>
      </c>
      <c r="C708" s="1" t="s">
        <v>41</v>
      </c>
      <c r="D708" s="1" t="s">
        <v>31</v>
      </c>
      <c r="E708">
        <v>995959</v>
      </c>
      <c r="F708">
        <v>18</v>
      </c>
      <c r="G708" s="1" t="s">
        <v>35</v>
      </c>
      <c r="H708">
        <v>36862</v>
      </c>
      <c r="I708">
        <v>43811</v>
      </c>
      <c r="J708" s="1" t="s">
        <v>27</v>
      </c>
      <c r="K708" s="3">
        <v>17</v>
      </c>
      <c r="L708" s="1" t="s">
        <v>36</v>
      </c>
      <c r="M708" s="1" t="s">
        <v>29</v>
      </c>
      <c r="N708" s="3">
        <v>2024010123</v>
      </c>
      <c r="O708" s="3">
        <f t="shared" si="99"/>
        <v>1.23</v>
      </c>
      <c r="P708" s="6">
        <f t="shared" si="100"/>
        <v>1225029.57</v>
      </c>
      <c r="Q708" s="3" t="str">
        <f t="shared" si="101"/>
        <v>Excellent</v>
      </c>
      <c r="R708" s="3">
        <f t="shared" si="102"/>
        <v>6949</v>
      </c>
      <c r="S708" s="7">
        <f t="shared" si="103"/>
        <v>125082</v>
      </c>
      <c r="T708" s="3" t="str">
        <f t="shared" si="104"/>
        <v>High Profit</v>
      </c>
      <c r="U708" s="3" t="str">
        <f t="shared" si="105"/>
        <v>High Discount</v>
      </c>
      <c r="V708" s="3" t="str">
        <f t="shared" si="106"/>
        <v>Priority C</v>
      </c>
      <c r="W708">
        <f t="shared" si="107"/>
        <v>149393.85</v>
      </c>
      <c r="X708" t="s">
        <v>23</v>
      </c>
      <c r="Y708" t="s">
        <v>23</v>
      </c>
      <c r="Z708" t="s">
        <v>23</v>
      </c>
      <c r="AA708" t="s">
        <v>23</v>
      </c>
      <c r="AB708" t="s">
        <v>23</v>
      </c>
      <c r="AC708" t="s">
        <v>23</v>
      </c>
      <c r="AD708" t="s">
        <v>23</v>
      </c>
      <c r="AE708" t="s">
        <v>23</v>
      </c>
      <c r="AF708" t="s">
        <v>23</v>
      </c>
      <c r="AG708" t="s">
        <v>23</v>
      </c>
      <c r="AH708" t="s">
        <v>23</v>
      </c>
      <c r="AI708" t="s">
        <v>23</v>
      </c>
      <c r="AJ708" t="s">
        <v>23</v>
      </c>
    </row>
    <row r="709" spans="1:36" x14ac:dyDescent="0.35">
      <c r="A709" s="2">
        <v>1707</v>
      </c>
      <c r="B709" s="4">
        <v>45200</v>
      </c>
      <c r="C709" s="1" t="s">
        <v>24</v>
      </c>
      <c r="D709" s="1" t="s">
        <v>43</v>
      </c>
      <c r="E709">
        <v>366188</v>
      </c>
      <c r="F709">
        <v>15</v>
      </c>
      <c r="G709" s="1" t="s">
        <v>35</v>
      </c>
      <c r="H709">
        <v>34924</v>
      </c>
      <c r="I709">
        <v>39208</v>
      </c>
      <c r="J709" s="1" t="s">
        <v>33</v>
      </c>
      <c r="K709" s="3">
        <v>19</v>
      </c>
      <c r="L709" s="1" t="s">
        <v>36</v>
      </c>
      <c r="M709" s="1" t="s">
        <v>37</v>
      </c>
      <c r="N709" s="3">
        <v>2024010123</v>
      </c>
      <c r="O709" s="3">
        <f t="shared" si="99"/>
        <v>1.23</v>
      </c>
      <c r="P709" s="6">
        <f t="shared" si="100"/>
        <v>450411.24</v>
      </c>
      <c r="Q709" s="3" t="str">
        <f t="shared" si="101"/>
        <v>Excellent</v>
      </c>
      <c r="R709" s="3">
        <f t="shared" si="102"/>
        <v>4284</v>
      </c>
      <c r="S709" s="7">
        <f t="shared" si="103"/>
        <v>64260</v>
      </c>
      <c r="T709" s="3" t="str">
        <f t="shared" si="104"/>
        <v>High Profit</v>
      </c>
      <c r="U709" s="3" t="str">
        <f t="shared" si="105"/>
        <v>High Discount</v>
      </c>
      <c r="V709" s="3" t="str">
        <f t="shared" si="106"/>
        <v>Priority C</v>
      </c>
      <c r="W709">
        <f t="shared" si="107"/>
        <v>36618.800000000003</v>
      </c>
      <c r="X709" t="s">
        <v>23</v>
      </c>
      <c r="Y709" t="s">
        <v>23</v>
      </c>
      <c r="Z709" t="s">
        <v>23</v>
      </c>
      <c r="AA709" t="s">
        <v>23</v>
      </c>
      <c r="AB709" t="s">
        <v>23</v>
      </c>
      <c r="AC709" t="s">
        <v>23</v>
      </c>
      <c r="AD709" t="s">
        <v>23</v>
      </c>
      <c r="AE709" t="s">
        <v>23</v>
      </c>
      <c r="AF709" t="s">
        <v>23</v>
      </c>
      <c r="AG709" t="s">
        <v>23</v>
      </c>
      <c r="AH709" t="s">
        <v>23</v>
      </c>
      <c r="AI709" t="s">
        <v>23</v>
      </c>
      <c r="AJ709" t="s">
        <v>23</v>
      </c>
    </row>
    <row r="710" spans="1:36" x14ac:dyDescent="0.35">
      <c r="A710" s="2">
        <v>1708</v>
      </c>
      <c r="B710" s="4">
        <v>45203</v>
      </c>
      <c r="C710" s="1" t="s">
        <v>30</v>
      </c>
      <c r="D710" s="1" t="s">
        <v>43</v>
      </c>
      <c r="E710">
        <v>502277</v>
      </c>
      <c r="F710">
        <v>18</v>
      </c>
      <c r="G710" s="1" t="s">
        <v>26</v>
      </c>
      <c r="H710">
        <v>31090</v>
      </c>
      <c r="I710">
        <v>37251</v>
      </c>
      <c r="J710" s="1" t="s">
        <v>27</v>
      </c>
      <c r="K710" s="3">
        <v>23</v>
      </c>
      <c r="L710" s="1" t="s">
        <v>36</v>
      </c>
      <c r="M710" s="1" t="s">
        <v>29</v>
      </c>
      <c r="N710" s="3">
        <v>2024010123</v>
      </c>
      <c r="O710" s="3">
        <f t="shared" si="99"/>
        <v>1.23</v>
      </c>
      <c r="P710" s="6">
        <f t="shared" si="100"/>
        <v>617800.71</v>
      </c>
      <c r="Q710" s="3" t="str">
        <f t="shared" si="101"/>
        <v>Excellent</v>
      </c>
      <c r="R710" s="3">
        <f t="shared" si="102"/>
        <v>6161</v>
      </c>
      <c r="S710" s="7">
        <f t="shared" si="103"/>
        <v>110898</v>
      </c>
      <c r="T710" s="3" t="str">
        <f t="shared" si="104"/>
        <v>High Profit</v>
      </c>
      <c r="U710" s="3" t="str">
        <f t="shared" si="105"/>
        <v>High Discount</v>
      </c>
      <c r="V710" s="3" t="str">
        <f t="shared" si="106"/>
        <v>Priority C</v>
      </c>
      <c r="W710">
        <f t="shared" si="107"/>
        <v>75341.55</v>
      </c>
      <c r="X710" t="s">
        <v>23</v>
      </c>
      <c r="Y710" t="s">
        <v>23</v>
      </c>
      <c r="Z710" t="s">
        <v>23</v>
      </c>
      <c r="AA710" t="s">
        <v>23</v>
      </c>
      <c r="AB710" t="s">
        <v>23</v>
      </c>
      <c r="AC710" t="s">
        <v>23</v>
      </c>
      <c r="AD710" t="s">
        <v>23</v>
      </c>
      <c r="AE710" t="s">
        <v>23</v>
      </c>
      <c r="AF710" t="s">
        <v>23</v>
      </c>
      <c r="AG710" t="s">
        <v>23</v>
      </c>
      <c r="AH710" t="s">
        <v>23</v>
      </c>
      <c r="AI710" t="s">
        <v>23</v>
      </c>
      <c r="AJ710" t="s">
        <v>23</v>
      </c>
    </row>
    <row r="711" spans="1:36" x14ac:dyDescent="0.35">
      <c r="A711" s="2">
        <v>1709</v>
      </c>
      <c r="B711" s="4">
        <v>45048</v>
      </c>
      <c r="C711" s="1" t="s">
        <v>24</v>
      </c>
      <c r="D711" s="1" t="s">
        <v>43</v>
      </c>
      <c r="E711">
        <v>789859</v>
      </c>
      <c r="F711">
        <v>18</v>
      </c>
      <c r="G711" s="1" t="s">
        <v>39</v>
      </c>
      <c r="H711">
        <v>24156</v>
      </c>
      <c r="I711">
        <v>31098</v>
      </c>
      <c r="J711" s="1" t="s">
        <v>27</v>
      </c>
      <c r="K711" s="3">
        <v>23</v>
      </c>
      <c r="L711" s="1" t="s">
        <v>28</v>
      </c>
      <c r="M711" s="1" t="s">
        <v>29</v>
      </c>
      <c r="N711" s="3">
        <v>2024010123</v>
      </c>
      <c r="O711" s="3">
        <f t="shared" si="99"/>
        <v>1.23</v>
      </c>
      <c r="P711" s="6">
        <f t="shared" si="100"/>
        <v>971526.57</v>
      </c>
      <c r="Q711" s="3" t="str">
        <f t="shared" si="101"/>
        <v>Excellent</v>
      </c>
      <c r="R711" s="3">
        <f t="shared" si="102"/>
        <v>6942</v>
      </c>
      <c r="S711" s="7">
        <f t="shared" si="103"/>
        <v>124956</v>
      </c>
      <c r="T711" s="3" t="str">
        <f t="shared" si="104"/>
        <v>High Profit</v>
      </c>
      <c r="U711" s="3" t="str">
        <f t="shared" si="105"/>
        <v>High Discount</v>
      </c>
      <c r="V711" s="3" t="str">
        <f t="shared" si="106"/>
        <v>Priority C</v>
      </c>
      <c r="W711">
        <f t="shared" si="107"/>
        <v>118478.84999999999</v>
      </c>
      <c r="X711" t="s">
        <v>23</v>
      </c>
      <c r="Y711" t="s">
        <v>23</v>
      </c>
      <c r="Z711" t="s">
        <v>23</v>
      </c>
      <c r="AA711" t="s">
        <v>23</v>
      </c>
      <c r="AB711" t="s">
        <v>23</v>
      </c>
      <c r="AC711" t="s">
        <v>23</v>
      </c>
      <c r="AD711" t="s">
        <v>23</v>
      </c>
      <c r="AE711" t="s">
        <v>23</v>
      </c>
      <c r="AF711" t="s">
        <v>23</v>
      </c>
      <c r="AG711" t="s">
        <v>23</v>
      </c>
      <c r="AH711" t="s">
        <v>23</v>
      </c>
      <c r="AI711" t="s">
        <v>23</v>
      </c>
      <c r="AJ711" t="s">
        <v>23</v>
      </c>
    </row>
    <row r="712" spans="1:36" x14ac:dyDescent="0.35">
      <c r="A712" s="2">
        <v>1710</v>
      </c>
      <c r="B712" s="4">
        <v>45147</v>
      </c>
      <c r="C712" s="1" t="s">
        <v>38</v>
      </c>
      <c r="D712" s="1" t="s">
        <v>31</v>
      </c>
      <c r="E712">
        <v>452944</v>
      </c>
      <c r="F712">
        <v>12</v>
      </c>
      <c r="G712" s="1" t="s">
        <v>39</v>
      </c>
      <c r="H712">
        <v>45452</v>
      </c>
      <c r="I712">
        <v>47479</v>
      </c>
      <c r="J712" s="1" t="s">
        <v>27</v>
      </c>
      <c r="K712" s="3">
        <v>0</v>
      </c>
      <c r="L712" s="1" t="s">
        <v>28</v>
      </c>
      <c r="M712" s="1" t="s">
        <v>29</v>
      </c>
      <c r="N712" s="3">
        <v>2024010123</v>
      </c>
      <c r="O712" s="3">
        <f t="shared" si="99"/>
        <v>1.23</v>
      </c>
      <c r="P712" s="6">
        <f t="shared" si="100"/>
        <v>557121.12</v>
      </c>
      <c r="Q712" s="3" t="str">
        <f t="shared" si="101"/>
        <v>Excellent</v>
      </c>
      <c r="R712" s="3">
        <f t="shared" si="102"/>
        <v>2027</v>
      </c>
      <c r="S712" s="7">
        <f t="shared" si="103"/>
        <v>24324</v>
      </c>
      <c r="T712" s="3" t="str">
        <f t="shared" si="104"/>
        <v>High Profit</v>
      </c>
      <c r="U712" s="3" t="str">
        <f t="shared" si="105"/>
        <v>No Discount</v>
      </c>
      <c r="V712" s="3" t="str">
        <f t="shared" si="106"/>
        <v>Priority D</v>
      </c>
      <c r="W712">
        <f t="shared" si="107"/>
        <v>67941.599999999991</v>
      </c>
      <c r="X712" t="s">
        <v>23</v>
      </c>
      <c r="Y712" t="s">
        <v>23</v>
      </c>
      <c r="Z712" t="s">
        <v>23</v>
      </c>
      <c r="AA712" t="s">
        <v>23</v>
      </c>
      <c r="AB712" t="s">
        <v>23</v>
      </c>
      <c r="AC712" t="s">
        <v>23</v>
      </c>
      <c r="AD712" t="s">
        <v>23</v>
      </c>
      <c r="AE712" t="s">
        <v>23</v>
      </c>
      <c r="AF712" t="s">
        <v>23</v>
      </c>
      <c r="AG712" t="s">
        <v>23</v>
      </c>
      <c r="AH712" t="s">
        <v>23</v>
      </c>
      <c r="AI712" t="s">
        <v>23</v>
      </c>
      <c r="AJ712" t="s">
        <v>23</v>
      </c>
    </row>
    <row r="713" spans="1:36" x14ac:dyDescent="0.35">
      <c r="A713" s="2">
        <v>1711</v>
      </c>
      <c r="B713" s="4">
        <v>45101</v>
      </c>
      <c r="C713" s="1" t="s">
        <v>38</v>
      </c>
      <c r="D713" s="1" t="s">
        <v>25</v>
      </c>
      <c r="E713">
        <v>880301</v>
      </c>
      <c r="F713">
        <v>12</v>
      </c>
      <c r="G713" s="1" t="s">
        <v>26</v>
      </c>
      <c r="H713">
        <v>34476</v>
      </c>
      <c r="I713">
        <v>38602</v>
      </c>
      <c r="J713" s="1" t="s">
        <v>33</v>
      </c>
      <c r="K713" s="3">
        <v>3</v>
      </c>
      <c r="L713" s="1" t="s">
        <v>40</v>
      </c>
      <c r="M713" s="1" t="s">
        <v>29</v>
      </c>
      <c r="N713" s="3">
        <v>2024010123</v>
      </c>
      <c r="O713" s="3">
        <f t="shared" si="99"/>
        <v>1.23</v>
      </c>
      <c r="P713" s="6">
        <f t="shared" si="100"/>
        <v>1082770.23</v>
      </c>
      <c r="Q713" s="3" t="str">
        <f t="shared" si="101"/>
        <v>Excellent</v>
      </c>
      <c r="R713" s="3">
        <f t="shared" si="102"/>
        <v>4126</v>
      </c>
      <c r="S713" s="7">
        <f t="shared" si="103"/>
        <v>49512</v>
      </c>
      <c r="T713" s="3" t="str">
        <f t="shared" si="104"/>
        <v>High Profit</v>
      </c>
      <c r="U713" s="3" t="str">
        <f t="shared" si="105"/>
        <v>Low Discount</v>
      </c>
      <c r="V713" s="3" t="str">
        <f t="shared" si="106"/>
        <v>Priority D</v>
      </c>
      <c r="W713">
        <f t="shared" si="107"/>
        <v>88030.1</v>
      </c>
      <c r="X713" t="s">
        <v>23</v>
      </c>
      <c r="Y713" t="s">
        <v>23</v>
      </c>
      <c r="Z713" t="s">
        <v>23</v>
      </c>
      <c r="AA713" t="s">
        <v>23</v>
      </c>
      <c r="AB713" t="s">
        <v>23</v>
      </c>
      <c r="AC713" t="s">
        <v>23</v>
      </c>
      <c r="AD713" t="s">
        <v>23</v>
      </c>
      <c r="AE713" t="s">
        <v>23</v>
      </c>
      <c r="AF713" t="s">
        <v>23</v>
      </c>
      <c r="AG713" t="s">
        <v>23</v>
      </c>
      <c r="AH713" t="s">
        <v>23</v>
      </c>
      <c r="AI713" t="s">
        <v>23</v>
      </c>
      <c r="AJ713" t="s">
        <v>23</v>
      </c>
    </row>
    <row r="714" spans="1:36" x14ac:dyDescent="0.35">
      <c r="A714" s="2">
        <v>1712</v>
      </c>
      <c r="B714" s="4">
        <v>45122</v>
      </c>
      <c r="C714" s="1" t="s">
        <v>24</v>
      </c>
      <c r="D714" s="1" t="s">
        <v>25</v>
      </c>
      <c r="E714">
        <v>80757</v>
      </c>
      <c r="F714">
        <v>12</v>
      </c>
      <c r="G714" s="1" t="s">
        <v>35</v>
      </c>
      <c r="H714">
        <v>28926</v>
      </c>
      <c r="I714">
        <v>31898</v>
      </c>
      <c r="J714" s="1" t="s">
        <v>33</v>
      </c>
      <c r="K714" s="3">
        <v>2</v>
      </c>
      <c r="L714" s="1" t="s">
        <v>36</v>
      </c>
      <c r="M714" s="1" t="s">
        <v>37</v>
      </c>
      <c r="N714" s="3">
        <v>2024010123</v>
      </c>
      <c r="O714" s="3">
        <f t="shared" si="99"/>
        <v>1.23</v>
      </c>
      <c r="P714" s="6">
        <f t="shared" si="100"/>
        <v>99331.11</v>
      </c>
      <c r="Q714" s="3" t="str">
        <f t="shared" si="101"/>
        <v>Excellent</v>
      </c>
      <c r="R714" s="3">
        <f t="shared" si="102"/>
        <v>2972</v>
      </c>
      <c r="S714" s="7">
        <f t="shared" si="103"/>
        <v>35664</v>
      </c>
      <c r="T714" s="3" t="str">
        <f t="shared" si="104"/>
        <v>High Profit</v>
      </c>
      <c r="U714" s="3" t="str">
        <f t="shared" si="105"/>
        <v>Low Discount</v>
      </c>
      <c r="V714" s="3" t="str">
        <f t="shared" si="106"/>
        <v>Priority C</v>
      </c>
      <c r="W714">
        <f t="shared" si="107"/>
        <v>8075.7000000000007</v>
      </c>
      <c r="X714" t="s">
        <v>23</v>
      </c>
      <c r="Y714" t="s">
        <v>23</v>
      </c>
      <c r="Z714" t="s">
        <v>23</v>
      </c>
      <c r="AA714" t="s">
        <v>23</v>
      </c>
      <c r="AB714" t="s">
        <v>23</v>
      </c>
      <c r="AC714" t="s">
        <v>23</v>
      </c>
      <c r="AD714" t="s">
        <v>23</v>
      </c>
      <c r="AE714" t="s">
        <v>23</v>
      </c>
      <c r="AF714" t="s">
        <v>23</v>
      </c>
      <c r="AG714" t="s">
        <v>23</v>
      </c>
      <c r="AH714" t="s">
        <v>23</v>
      </c>
      <c r="AI714" t="s">
        <v>23</v>
      </c>
      <c r="AJ714" t="s">
        <v>23</v>
      </c>
    </row>
    <row r="715" spans="1:36" x14ac:dyDescent="0.35">
      <c r="A715" s="2">
        <v>1713</v>
      </c>
      <c r="B715" s="4">
        <v>45047</v>
      </c>
      <c r="C715" s="1" t="s">
        <v>34</v>
      </c>
      <c r="D715" s="1" t="s">
        <v>42</v>
      </c>
      <c r="E715">
        <v>490875</v>
      </c>
      <c r="F715">
        <v>12</v>
      </c>
      <c r="G715" s="1" t="s">
        <v>39</v>
      </c>
      <c r="H715">
        <v>30062</v>
      </c>
      <c r="I715">
        <v>34348</v>
      </c>
      <c r="J715" s="1" t="s">
        <v>33</v>
      </c>
      <c r="K715" s="3">
        <v>10</v>
      </c>
      <c r="L715" s="1" t="s">
        <v>28</v>
      </c>
      <c r="M715" s="1" t="s">
        <v>37</v>
      </c>
      <c r="N715" s="3">
        <v>2024010123</v>
      </c>
      <c r="O715" s="3">
        <f t="shared" si="99"/>
        <v>1.23</v>
      </c>
      <c r="P715" s="6">
        <f t="shared" si="100"/>
        <v>603776.25</v>
      </c>
      <c r="Q715" s="3" t="str">
        <f t="shared" si="101"/>
        <v>Excellent</v>
      </c>
      <c r="R715" s="3">
        <f t="shared" si="102"/>
        <v>4286</v>
      </c>
      <c r="S715" s="7">
        <f t="shared" si="103"/>
        <v>51432</v>
      </c>
      <c r="T715" s="3" t="str">
        <f t="shared" si="104"/>
        <v>High Profit</v>
      </c>
      <c r="U715" s="3" t="str">
        <f t="shared" si="105"/>
        <v>Medium Discount</v>
      </c>
      <c r="V715" s="3" t="str">
        <f t="shared" si="106"/>
        <v>Priority C</v>
      </c>
      <c r="W715">
        <f t="shared" si="107"/>
        <v>49087.5</v>
      </c>
      <c r="X715" t="s">
        <v>23</v>
      </c>
      <c r="Y715" t="s">
        <v>23</v>
      </c>
      <c r="Z715" t="s">
        <v>23</v>
      </c>
      <c r="AA715" t="s">
        <v>23</v>
      </c>
      <c r="AB715" t="s">
        <v>23</v>
      </c>
      <c r="AC715" t="s">
        <v>23</v>
      </c>
      <c r="AD715" t="s">
        <v>23</v>
      </c>
      <c r="AE715" t="s">
        <v>23</v>
      </c>
      <c r="AF715" t="s">
        <v>23</v>
      </c>
      <c r="AG715" t="s">
        <v>23</v>
      </c>
      <c r="AH715" t="s">
        <v>23</v>
      </c>
      <c r="AI715" t="s">
        <v>23</v>
      </c>
      <c r="AJ715" t="s">
        <v>23</v>
      </c>
    </row>
    <row r="716" spans="1:36" x14ac:dyDescent="0.35">
      <c r="A716" s="2">
        <v>1714</v>
      </c>
      <c r="B716" s="4">
        <v>45162</v>
      </c>
      <c r="C716" s="1" t="s">
        <v>34</v>
      </c>
      <c r="D716" s="1" t="s">
        <v>43</v>
      </c>
      <c r="E716">
        <v>226028</v>
      </c>
      <c r="F716">
        <v>12</v>
      </c>
      <c r="G716" s="1" t="s">
        <v>26</v>
      </c>
      <c r="H716">
        <v>38981</v>
      </c>
      <c r="I716">
        <v>41774</v>
      </c>
      <c r="J716" s="1" t="s">
        <v>33</v>
      </c>
      <c r="K716" s="3">
        <v>12</v>
      </c>
      <c r="L716" s="1" t="s">
        <v>28</v>
      </c>
      <c r="M716" s="1" t="s">
        <v>37</v>
      </c>
      <c r="N716" s="3">
        <v>2024010123</v>
      </c>
      <c r="O716" s="3">
        <f t="shared" si="99"/>
        <v>1.23</v>
      </c>
      <c r="P716" s="6">
        <f t="shared" si="100"/>
        <v>278014.44</v>
      </c>
      <c r="Q716" s="3" t="str">
        <f t="shared" si="101"/>
        <v>Excellent</v>
      </c>
      <c r="R716" s="3">
        <f t="shared" si="102"/>
        <v>2793</v>
      </c>
      <c r="S716" s="7">
        <f t="shared" si="103"/>
        <v>33516</v>
      </c>
      <c r="T716" s="3" t="str">
        <f t="shared" si="104"/>
        <v>High Profit</v>
      </c>
      <c r="U716" s="3" t="str">
        <f t="shared" si="105"/>
        <v>Medium Discount</v>
      </c>
      <c r="V716" s="3" t="str">
        <f t="shared" si="106"/>
        <v>Priority C</v>
      </c>
      <c r="W716">
        <f t="shared" si="107"/>
        <v>22602.800000000003</v>
      </c>
      <c r="X716" t="s">
        <v>23</v>
      </c>
      <c r="Y716" t="s">
        <v>23</v>
      </c>
      <c r="Z716" t="s">
        <v>23</v>
      </c>
      <c r="AA716" t="s">
        <v>23</v>
      </c>
      <c r="AB716" t="s">
        <v>23</v>
      </c>
      <c r="AC716" t="s">
        <v>23</v>
      </c>
      <c r="AD716" t="s">
        <v>23</v>
      </c>
      <c r="AE716" t="s">
        <v>23</v>
      </c>
      <c r="AF716" t="s">
        <v>23</v>
      </c>
      <c r="AG716" t="s">
        <v>23</v>
      </c>
      <c r="AH716" t="s">
        <v>23</v>
      </c>
      <c r="AI716" t="s">
        <v>23</v>
      </c>
      <c r="AJ716" t="s">
        <v>23</v>
      </c>
    </row>
    <row r="717" spans="1:36" x14ac:dyDescent="0.35">
      <c r="A717" s="2">
        <v>1715</v>
      </c>
      <c r="B717" s="4">
        <v>45085</v>
      </c>
      <c r="C717" s="1" t="s">
        <v>41</v>
      </c>
      <c r="D717" s="1" t="s">
        <v>25</v>
      </c>
      <c r="E717">
        <v>305083</v>
      </c>
      <c r="F717">
        <v>12</v>
      </c>
      <c r="G717" s="1" t="s">
        <v>35</v>
      </c>
      <c r="H717">
        <v>40840</v>
      </c>
      <c r="I717">
        <v>45291</v>
      </c>
      <c r="J717" s="1" t="s">
        <v>27</v>
      </c>
      <c r="K717" s="3">
        <v>12</v>
      </c>
      <c r="L717" s="1" t="s">
        <v>28</v>
      </c>
      <c r="M717" s="1" t="s">
        <v>29</v>
      </c>
      <c r="N717" s="3">
        <v>2024010123</v>
      </c>
      <c r="O717" s="3">
        <f t="shared" si="99"/>
        <v>1.23</v>
      </c>
      <c r="P717" s="6">
        <f t="shared" si="100"/>
        <v>375252.08999999997</v>
      </c>
      <c r="Q717" s="3" t="str">
        <f t="shared" si="101"/>
        <v>Excellent</v>
      </c>
      <c r="R717" s="3">
        <f t="shared" si="102"/>
        <v>4451</v>
      </c>
      <c r="S717" s="7">
        <f t="shared" si="103"/>
        <v>53412</v>
      </c>
      <c r="T717" s="3" t="str">
        <f t="shared" si="104"/>
        <v>High Profit</v>
      </c>
      <c r="U717" s="3" t="str">
        <f t="shared" si="105"/>
        <v>Medium Discount</v>
      </c>
      <c r="V717" s="3" t="str">
        <f t="shared" si="106"/>
        <v>Priority D</v>
      </c>
      <c r="W717">
        <f t="shared" si="107"/>
        <v>45762.45</v>
      </c>
      <c r="X717" t="s">
        <v>23</v>
      </c>
      <c r="Y717" t="s">
        <v>23</v>
      </c>
      <c r="Z717" t="s">
        <v>23</v>
      </c>
      <c r="AA717" t="s">
        <v>23</v>
      </c>
      <c r="AB717" t="s">
        <v>23</v>
      </c>
      <c r="AC717" t="s">
        <v>23</v>
      </c>
      <c r="AD717" t="s">
        <v>23</v>
      </c>
      <c r="AE717" t="s">
        <v>23</v>
      </c>
      <c r="AF717" t="s">
        <v>23</v>
      </c>
      <c r="AG717" t="s">
        <v>23</v>
      </c>
      <c r="AH717" t="s">
        <v>23</v>
      </c>
      <c r="AI717" t="s">
        <v>23</v>
      </c>
      <c r="AJ717" t="s">
        <v>23</v>
      </c>
    </row>
    <row r="718" spans="1:36" x14ac:dyDescent="0.35">
      <c r="A718" s="2">
        <v>1716</v>
      </c>
      <c r="B718" s="4">
        <v>45285</v>
      </c>
      <c r="C718" s="1" t="s">
        <v>30</v>
      </c>
      <c r="D718" s="1" t="s">
        <v>31</v>
      </c>
      <c r="E718">
        <v>466997</v>
      </c>
      <c r="F718">
        <v>12</v>
      </c>
      <c r="G718" s="1" t="s">
        <v>35</v>
      </c>
      <c r="H718">
        <v>27743</v>
      </c>
      <c r="I718">
        <v>29916</v>
      </c>
      <c r="J718" s="1" t="s">
        <v>27</v>
      </c>
      <c r="K718" s="3">
        <v>21</v>
      </c>
      <c r="L718" s="1" t="s">
        <v>36</v>
      </c>
      <c r="M718" s="1" t="s">
        <v>37</v>
      </c>
      <c r="N718" s="3">
        <v>2024010123</v>
      </c>
      <c r="O718" s="3">
        <f t="shared" si="99"/>
        <v>1.23</v>
      </c>
      <c r="P718" s="6">
        <f t="shared" si="100"/>
        <v>574406.30999999994</v>
      </c>
      <c r="Q718" s="3" t="str">
        <f t="shared" si="101"/>
        <v>Excellent</v>
      </c>
      <c r="R718" s="3">
        <f t="shared" si="102"/>
        <v>2173</v>
      </c>
      <c r="S718" s="7">
        <f t="shared" si="103"/>
        <v>26076</v>
      </c>
      <c r="T718" s="3" t="str">
        <f t="shared" si="104"/>
        <v>High Profit</v>
      </c>
      <c r="U718" s="3" t="str">
        <f t="shared" si="105"/>
        <v>High Discount</v>
      </c>
      <c r="V718" s="3" t="str">
        <f t="shared" si="106"/>
        <v>Priority C</v>
      </c>
      <c r="W718">
        <f t="shared" si="107"/>
        <v>70049.55</v>
      </c>
      <c r="X718" t="s">
        <v>23</v>
      </c>
      <c r="Y718" t="s">
        <v>23</v>
      </c>
      <c r="Z718" t="s">
        <v>23</v>
      </c>
      <c r="AA718" t="s">
        <v>23</v>
      </c>
      <c r="AB718" t="s">
        <v>23</v>
      </c>
      <c r="AC718" t="s">
        <v>23</v>
      </c>
      <c r="AD718" t="s">
        <v>23</v>
      </c>
      <c r="AE718" t="s">
        <v>23</v>
      </c>
      <c r="AF718" t="s">
        <v>23</v>
      </c>
      <c r="AG718" t="s">
        <v>23</v>
      </c>
      <c r="AH718" t="s">
        <v>23</v>
      </c>
      <c r="AI718" t="s">
        <v>23</v>
      </c>
      <c r="AJ718" t="s">
        <v>23</v>
      </c>
    </row>
    <row r="719" spans="1:36" x14ac:dyDescent="0.35">
      <c r="A719" s="2">
        <v>1717</v>
      </c>
      <c r="B719" s="4">
        <v>45132</v>
      </c>
      <c r="C719" s="1" t="s">
        <v>24</v>
      </c>
      <c r="D719" s="1" t="s">
        <v>25</v>
      </c>
      <c r="E719">
        <v>539062</v>
      </c>
      <c r="F719">
        <v>12</v>
      </c>
      <c r="G719" s="1" t="s">
        <v>39</v>
      </c>
      <c r="H719">
        <v>44455</v>
      </c>
      <c r="I719">
        <v>47400</v>
      </c>
      <c r="J719" s="1" t="s">
        <v>33</v>
      </c>
      <c r="K719" s="3">
        <v>23</v>
      </c>
      <c r="L719" s="1" t="s">
        <v>28</v>
      </c>
      <c r="M719" s="1" t="s">
        <v>29</v>
      </c>
      <c r="N719" s="3">
        <v>2024010123</v>
      </c>
      <c r="O719" s="3">
        <f t="shared" si="99"/>
        <v>1.23</v>
      </c>
      <c r="P719" s="6">
        <f t="shared" si="100"/>
        <v>663046.26</v>
      </c>
      <c r="Q719" s="3" t="str">
        <f t="shared" si="101"/>
        <v>Excellent</v>
      </c>
      <c r="R719" s="3">
        <f t="shared" si="102"/>
        <v>2945</v>
      </c>
      <c r="S719" s="7">
        <f t="shared" si="103"/>
        <v>35340</v>
      </c>
      <c r="T719" s="3" t="str">
        <f t="shared" si="104"/>
        <v>High Profit</v>
      </c>
      <c r="U719" s="3" t="str">
        <f t="shared" si="105"/>
        <v>High Discount</v>
      </c>
      <c r="V719" s="3" t="str">
        <f t="shared" si="106"/>
        <v>Priority D</v>
      </c>
      <c r="W719">
        <f t="shared" si="107"/>
        <v>53906.200000000004</v>
      </c>
      <c r="X719" t="s">
        <v>23</v>
      </c>
      <c r="Y719" t="s">
        <v>23</v>
      </c>
      <c r="Z719" t="s">
        <v>23</v>
      </c>
      <c r="AA719" t="s">
        <v>23</v>
      </c>
      <c r="AB719" t="s">
        <v>23</v>
      </c>
      <c r="AC719" t="s">
        <v>23</v>
      </c>
      <c r="AD719" t="s">
        <v>23</v>
      </c>
      <c r="AE719" t="s">
        <v>23</v>
      </c>
      <c r="AF719" t="s">
        <v>23</v>
      </c>
      <c r="AG719" t="s">
        <v>23</v>
      </c>
      <c r="AH719" t="s">
        <v>23</v>
      </c>
      <c r="AI719" t="s">
        <v>23</v>
      </c>
      <c r="AJ719" t="s">
        <v>23</v>
      </c>
    </row>
    <row r="720" spans="1:36" x14ac:dyDescent="0.35">
      <c r="A720" s="2">
        <v>1718</v>
      </c>
      <c r="B720" s="4">
        <v>45182</v>
      </c>
      <c r="C720" s="1" t="s">
        <v>24</v>
      </c>
      <c r="D720" s="1" t="s">
        <v>43</v>
      </c>
      <c r="E720">
        <v>170479</v>
      </c>
      <c r="F720">
        <v>12</v>
      </c>
      <c r="G720" s="1" t="s">
        <v>39</v>
      </c>
      <c r="H720">
        <v>53422</v>
      </c>
      <c r="I720">
        <v>56374</v>
      </c>
      <c r="J720" s="1" t="s">
        <v>33</v>
      </c>
      <c r="K720" s="3">
        <v>21</v>
      </c>
      <c r="L720" s="1" t="s">
        <v>40</v>
      </c>
      <c r="M720" s="1" t="s">
        <v>29</v>
      </c>
      <c r="N720" s="3">
        <v>2024010123</v>
      </c>
      <c r="O720" s="3">
        <f t="shared" si="99"/>
        <v>1.23</v>
      </c>
      <c r="P720" s="6">
        <f t="shared" si="100"/>
        <v>209689.16999999998</v>
      </c>
      <c r="Q720" s="3" t="str">
        <f t="shared" si="101"/>
        <v>Excellent</v>
      </c>
      <c r="R720" s="3">
        <f t="shared" si="102"/>
        <v>2952</v>
      </c>
      <c r="S720" s="7">
        <f t="shared" si="103"/>
        <v>35424</v>
      </c>
      <c r="T720" s="3" t="str">
        <f t="shared" si="104"/>
        <v>High Profit</v>
      </c>
      <c r="U720" s="3" t="str">
        <f t="shared" si="105"/>
        <v>High Discount</v>
      </c>
      <c r="V720" s="3" t="str">
        <f t="shared" si="106"/>
        <v>Priority D</v>
      </c>
      <c r="W720">
        <f t="shared" si="107"/>
        <v>17047.900000000001</v>
      </c>
      <c r="X720" t="s">
        <v>23</v>
      </c>
      <c r="Y720" t="s">
        <v>23</v>
      </c>
      <c r="Z720" t="s">
        <v>23</v>
      </c>
      <c r="AA720" t="s">
        <v>23</v>
      </c>
      <c r="AB720" t="s">
        <v>23</v>
      </c>
      <c r="AC720" t="s">
        <v>23</v>
      </c>
      <c r="AD720" t="s">
        <v>23</v>
      </c>
      <c r="AE720" t="s">
        <v>23</v>
      </c>
      <c r="AF720" t="s">
        <v>23</v>
      </c>
      <c r="AG720" t="s">
        <v>23</v>
      </c>
      <c r="AH720" t="s">
        <v>23</v>
      </c>
      <c r="AI720" t="s">
        <v>23</v>
      </c>
      <c r="AJ720" t="s">
        <v>23</v>
      </c>
    </row>
    <row r="721" spans="1:36" x14ac:dyDescent="0.35">
      <c r="A721" s="2">
        <v>1719</v>
      </c>
      <c r="B721" s="4">
        <v>45023</v>
      </c>
      <c r="C721" s="1" t="s">
        <v>41</v>
      </c>
      <c r="D721" s="1" t="s">
        <v>43</v>
      </c>
      <c r="E721">
        <v>714064</v>
      </c>
      <c r="F721">
        <v>8</v>
      </c>
      <c r="G721" s="1" t="s">
        <v>35</v>
      </c>
      <c r="H721">
        <v>47530</v>
      </c>
      <c r="I721">
        <v>52041</v>
      </c>
      <c r="J721" s="1" t="s">
        <v>27</v>
      </c>
      <c r="K721" s="3">
        <v>22</v>
      </c>
      <c r="L721" s="1" t="s">
        <v>40</v>
      </c>
      <c r="M721" s="1" t="s">
        <v>37</v>
      </c>
      <c r="N721" s="3">
        <v>2024010123</v>
      </c>
      <c r="O721" s="3">
        <f t="shared" si="99"/>
        <v>1.23</v>
      </c>
      <c r="P721" s="6">
        <f t="shared" si="100"/>
        <v>878298.72</v>
      </c>
      <c r="Q721" s="3" t="str">
        <f t="shared" si="101"/>
        <v>Excellent</v>
      </c>
      <c r="R721" s="3">
        <f t="shared" si="102"/>
        <v>4511</v>
      </c>
      <c r="S721" s="7">
        <f t="shared" si="103"/>
        <v>36088</v>
      </c>
      <c r="T721" s="3" t="str">
        <f t="shared" si="104"/>
        <v>High Profit</v>
      </c>
      <c r="U721" s="3" t="str">
        <f t="shared" si="105"/>
        <v>High Discount</v>
      </c>
      <c r="V721" s="3" t="str">
        <f t="shared" si="106"/>
        <v>Priority C</v>
      </c>
      <c r="W721">
        <f t="shared" si="107"/>
        <v>107109.59999999999</v>
      </c>
      <c r="X721" t="s">
        <v>23</v>
      </c>
      <c r="Y721" t="s">
        <v>23</v>
      </c>
      <c r="Z721" t="s">
        <v>23</v>
      </c>
      <c r="AA721" t="s">
        <v>23</v>
      </c>
      <c r="AB721" t="s">
        <v>23</v>
      </c>
      <c r="AC721" t="s">
        <v>23</v>
      </c>
      <c r="AD721" t="s">
        <v>23</v>
      </c>
      <c r="AE721" t="s">
        <v>23</v>
      </c>
      <c r="AF721" t="s">
        <v>23</v>
      </c>
      <c r="AG721" t="s">
        <v>23</v>
      </c>
      <c r="AH721" t="s">
        <v>23</v>
      </c>
      <c r="AI721" t="s">
        <v>23</v>
      </c>
      <c r="AJ721" t="s">
        <v>23</v>
      </c>
    </row>
    <row r="722" spans="1:36" x14ac:dyDescent="0.35">
      <c r="A722" s="2">
        <v>1720</v>
      </c>
      <c r="B722" s="4">
        <v>45125</v>
      </c>
      <c r="C722" s="1" t="s">
        <v>24</v>
      </c>
      <c r="D722" s="1" t="s">
        <v>31</v>
      </c>
      <c r="E722">
        <v>627485</v>
      </c>
      <c r="F722">
        <v>35</v>
      </c>
      <c r="G722" s="1" t="s">
        <v>32</v>
      </c>
      <c r="H722">
        <v>27078</v>
      </c>
      <c r="I722">
        <v>39359</v>
      </c>
      <c r="J722" s="1" t="s">
        <v>33</v>
      </c>
      <c r="K722" s="3">
        <v>0</v>
      </c>
      <c r="L722" s="1" t="s">
        <v>28</v>
      </c>
      <c r="M722" s="1" t="s">
        <v>37</v>
      </c>
      <c r="N722" s="3">
        <v>2024010123</v>
      </c>
      <c r="O722" s="3">
        <f t="shared" si="99"/>
        <v>1.23</v>
      </c>
      <c r="P722" s="6">
        <f t="shared" si="100"/>
        <v>771806.55</v>
      </c>
      <c r="Q722" s="3" t="str">
        <f t="shared" si="101"/>
        <v>Excellent</v>
      </c>
      <c r="R722" s="3">
        <f t="shared" si="102"/>
        <v>12281</v>
      </c>
      <c r="S722" s="7">
        <f t="shared" si="103"/>
        <v>429835</v>
      </c>
      <c r="T722" s="3" t="str">
        <f t="shared" si="104"/>
        <v>High Profit</v>
      </c>
      <c r="U722" s="3" t="str">
        <f t="shared" si="105"/>
        <v>No Discount</v>
      </c>
      <c r="V722" s="3" t="str">
        <f t="shared" si="106"/>
        <v>Priority B</v>
      </c>
      <c r="W722">
        <f t="shared" si="107"/>
        <v>62748.5</v>
      </c>
      <c r="X722" t="s">
        <v>23</v>
      </c>
      <c r="Y722" t="s">
        <v>23</v>
      </c>
      <c r="Z722" t="s">
        <v>23</v>
      </c>
      <c r="AA722" t="s">
        <v>23</v>
      </c>
      <c r="AB722" t="s">
        <v>23</v>
      </c>
      <c r="AC722" t="s">
        <v>23</v>
      </c>
      <c r="AD722" t="s">
        <v>23</v>
      </c>
      <c r="AE722" t="s">
        <v>23</v>
      </c>
      <c r="AF722" t="s">
        <v>23</v>
      </c>
      <c r="AG722" t="s">
        <v>23</v>
      </c>
      <c r="AH722" t="s">
        <v>23</v>
      </c>
      <c r="AI722" t="s">
        <v>23</v>
      </c>
      <c r="AJ722" t="s">
        <v>23</v>
      </c>
    </row>
    <row r="723" spans="1:36" x14ac:dyDescent="0.35">
      <c r="A723" s="2">
        <v>1721</v>
      </c>
      <c r="B723" s="4">
        <v>45138</v>
      </c>
      <c r="C723" s="1" t="s">
        <v>41</v>
      </c>
      <c r="D723" s="1" t="s">
        <v>43</v>
      </c>
      <c r="E723">
        <v>368227</v>
      </c>
      <c r="F723">
        <v>45</v>
      </c>
      <c r="G723" s="1" t="s">
        <v>39</v>
      </c>
      <c r="H723">
        <v>16254</v>
      </c>
      <c r="I723">
        <v>25076</v>
      </c>
      <c r="J723" s="1" t="s">
        <v>33</v>
      </c>
      <c r="K723" s="3">
        <v>2</v>
      </c>
      <c r="L723" s="1" t="s">
        <v>28</v>
      </c>
      <c r="M723" s="1" t="s">
        <v>29</v>
      </c>
      <c r="N723" s="3">
        <v>2024010123</v>
      </c>
      <c r="O723" s="3">
        <f t="shared" si="99"/>
        <v>1.23</v>
      </c>
      <c r="P723" s="6">
        <f t="shared" si="100"/>
        <v>452919.21</v>
      </c>
      <c r="Q723" s="3" t="str">
        <f t="shared" si="101"/>
        <v>Excellent</v>
      </c>
      <c r="R723" s="3">
        <f t="shared" si="102"/>
        <v>8822</v>
      </c>
      <c r="S723" s="7">
        <f t="shared" si="103"/>
        <v>396990</v>
      </c>
      <c r="T723" s="3" t="str">
        <f t="shared" si="104"/>
        <v>High Profit</v>
      </c>
      <c r="U723" s="3" t="str">
        <f t="shared" si="105"/>
        <v>Low Discount</v>
      </c>
      <c r="V723" s="3" t="str">
        <f t="shared" si="106"/>
        <v>Priority B</v>
      </c>
      <c r="W723">
        <f t="shared" si="107"/>
        <v>36822.700000000004</v>
      </c>
      <c r="X723" t="s">
        <v>23</v>
      </c>
      <c r="Y723" t="s">
        <v>23</v>
      </c>
      <c r="Z723" t="s">
        <v>23</v>
      </c>
      <c r="AA723" t="s">
        <v>23</v>
      </c>
      <c r="AB723" t="s">
        <v>23</v>
      </c>
      <c r="AC723" t="s">
        <v>23</v>
      </c>
      <c r="AD723" t="s">
        <v>23</v>
      </c>
      <c r="AE723" t="s">
        <v>23</v>
      </c>
      <c r="AF723" t="s">
        <v>23</v>
      </c>
      <c r="AG723" t="s">
        <v>23</v>
      </c>
      <c r="AH723" t="s">
        <v>23</v>
      </c>
      <c r="AI723" t="s">
        <v>23</v>
      </c>
      <c r="AJ723" t="s">
        <v>23</v>
      </c>
    </row>
    <row r="724" spans="1:36" x14ac:dyDescent="0.35">
      <c r="A724" s="2">
        <v>1722</v>
      </c>
      <c r="B724" s="4">
        <v>45151</v>
      </c>
      <c r="C724" s="1" t="s">
        <v>34</v>
      </c>
      <c r="D724" s="1" t="s">
        <v>42</v>
      </c>
      <c r="E724">
        <v>587881</v>
      </c>
      <c r="F724">
        <v>18</v>
      </c>
      <c r="G724" s="1" t="s">
        <v>26</v>
      </c>
      <c r="H724">
        <v>29674</v>
      </c>
      <c r="I724">
        <v>43305</v>
      </c>
      <c r="J724" s="1" t="s">
        <v>33</v>
      </c>
      <c r="K724" s="3">
        <v>3</v>
      </c>
      <c r="L724" s="1" t="s">
        <v>40</v>
      </c>
      <c r="M724" s="1" t="s">
        <v>37</v>
      </c>
      <c r="N724" s="3">
        <v>2024010123</v>
      </c>
      <c r="O724" s="3">
        <f t="shared" si="99"/>
        <v>1.23</v>
      </c>
      <c r="P724" s="6">
        <f t="shared" si="100"/>
        <v>723093.63</v>
      </c>
      <c r="Q724" s="3" t="str">
        <f t="shared" si="101"/>
        <v>Excellent</v>
      </c>
      <c r="R724" s="3">
        <f t="shared" si="102"/>
        <v>13631</v>
      </c>
      <c r="S724" s="7">
        <f t="shared" si="103"/>
        <v>245358</v>
      </c>
      <c r="T724" s="3" t="str">
        <f t="shared" si="104"/>
        <v>High Profit</v>
      </c>
      <c r="U724" s="3" t="str">
        <f t="shared" si="105"/>
        <v>Low Discount</v>
      </c>
      <c r="V724" s="3" t="str">
        <f t="shared" si="106"/>
        <v>Priority C</v>
      </c>
      <c r="W724">
        <f t="shared" si="107"/>
        <v>58788.100000000006</v>
      </c>
      <c r="X724" t="s">
        <v>23</v>
      </c>
      <c r="Y724" t="s">
        <v>23</v>
      </c>
      <c r="Z724" t="s">
        <v>23</v>
      </c>
      <c r="AA724" t="s">
        <v>23</v>
      </c>
      <c r="AB724" t="s">
        <v>23</v>
      </c>
      <c r="AC724" t="s">
        <v>23</v>
      </c>
      <c r="AD724" t="s">
        <v>23</v>
      </c>
      <c r="AE724" t="s">
        <v>23</v>
      </c>
      <c r="AF724" t="s">
        <v>23</v>
      </c>
      <c r="AG724" t="s">
        <v>23</v>
      </c>
      <c r="AH724" t="s">
        <v>23</v>
      </c>
      <c r="AI724" t="s">
        <v>23</v>
      </c>
      <c r="AJ724" t="s">
        <v>23</v>
      </c>
    </row>
    <row r="725" spans="1:36" x14ac:dyDescent="0.35">
      <c r="A725" s="2">
        <v>1723</v>
      </c>
      <c r="B725" s="4">
        <v>45189</v>
      </c>
      <c r="C725" s="1" t="s">
        <v>38</v>
      </c>
      <c r="D725" s="1" t="s">
        <v>43</v>
      </c>
      <c r="E725">
        <v>773845</v>
      </c>
      <c r="F725">
        <v>19</v>
      </c>
      <c r="G725" s="1" t="s">
        <v>26</v>
      </c>
      <c r="H725">
        <v>16958</v>
      </c>
      <c r="I725">
        <v>24269</v>
      </c>
      <c r="J725" s="1" t="s">
        <v>33</v>
      </c>
      <c r="K725" s="3">
        <v>7</v>
      </c>
      <c r="L725" s="1" t="s">
        <v>40</v>
      </c>
      <c r="M725" s="1" t="s">
        <v>37</v>
      </c>
      <c r="N725" s="3">
        <v>2024010123</v>
      </c>
      <c r="O725" s="3">
        <f t="shared" si="99"/>
        <v>1.23</v>
      </c>
      <c r="P725" s="6">
        <f t="shared" si="100"/>
        <v>951829.35</v>
      </c>
      <c r="Q725" s="3" t="str">
        <f t="shared" si="101"/>
        <v>Excellent</v>
      </c>
      <c r="R725" s="3">
        <f t="shared" si="102"/>
        <v>7311</v>
      </c>
      <c r="S725" s="7">
        <f t="shared" si="103"/>
        <v>138909</v>
      </c>
      <c r="T725" s="3" t="str">
        <f t="shared" si="104"/>
        <v>High Profit</v>
      </c>
      <c r="U725" s="3" t="str">
        <f t="shared" si="105"/>
        <v>Medium Discount</v>
      </c>
      <c r="V725" s="3" t="str">
        <f t="shared" si="106"/>
        <v>Priority C</v>
      </c>
      <c r="W725">
        <f t="shared" si="107"/>
        <v>77384.5</v>
      </c>
      <c r="X725" t="s">
        <v>23</v>
      </c>
      <c r="Y725" t="s">
        <v>23</v>
      </c>
      <c r="Z725" t="s">
        <v>23</v>
      </c>
      <c r="AA725" t="s">
        <v>23</v>
      </c>
      <c r="AB725" t="s">
        <v>23</v>
      </c>
      <c r="AC725" t="s">
        <v>23</v>
      </c>
      <c r="AD725" t="s">
        <v>23</v>
      </c>
      <c r="AE725" t="s">
        <v>23</v>
      </c>
      <c r="AF725" t="s">
        <v>23</v>
      </c>
      <c r="AG725" t="s">
        <v>23</v>
      </c>
      <c r="AH725" t="s">
        <v>23</v>
      </c>
      <c r="AI725" t="s">
        <v>23</v>
      </c>
      <c r="AJ725" t="s">
        <v>23</v>
      </c>
    </row>
    <row r="726" spans="1:36" x14ac:dyDescent="0.35">
      <c r="A726" s="2">
        <v>1724</v>
      </c>
      <c r="B726" s="4">
        <v>44986</v>
      </c>
      <c r="C726" s="1" t="s">
        <v>30</v>
      </c>
      <c r="D726" s="1" t="s">
        <v>25</v>
      </c>
      <c r="E726">
        <v>580003</v>
      </c>
      <c r="F726">
        <v>20</v>
      </c>
      <c r="G726" s="1" t="s">
        <v>32</v>
      </c>
      <c r="H726">
        <v>29182</v>
      </c>
      <c r="I726">
        <v>39568</v>
      </c>
      <c r="J726" s="1" t="s">
        <v>27</v>
      </c>
      <c r="K726" s="3">
        <v>6</v>
      </c>
      <c r="L726" s="1" t="s">
        <v>40</v>
      </c>
      <c r="M726" s="1" t="s">
        <v>37</v>
      </c>
      <c r="N726" s="3">
        <v>2024010123</v>
      </c>
      <c r="O726" s="3">
        <f t="shared" si="99"/>
        <v>1.23</v>
      </c>
      <c r="P726" s="6">
        <f t="shared" si="100"/>
        <v>713403.69</v>
      </c>
      <c r="Q726" s="3" t="str">
        <f t="shared" si="101"/>
        <v>Excellent</v>
      </c>
      <c r="R726" s="3">
        <f t="shared" si="102"/>
        <v>10386</v>
      </c>
      <c r="S726" s="7">
        <f t="shared" si="103"/>
        <v>207720</v>
      </c>
      <c r="T726" s="3" t="str">
        <f t="shared" si="104"/>
        <v>High Profit</v>
      </c>
      <c r="U726" s="3" t="str">
        <f t="shared" si="105"/>
        <v>Medium Discount</v>
      </c>
      <c r="V726" s="3" t="str">
        <f t="shared" si="106"/>
        <v>Priority B</v>
      </c>
      <c r="W726">
        <f t="shared" si="107"/>
        <v>87000.45</v>
      </c>
      <c r="X726" t="s">
        <v>23</v>
      </c>
      <c r="Y726" t="s">
        <v>23</v>
      </c>
      <c r="Z726" t="s">
        <v>23</v>
      </c>
      <c r="AA726" t="s">
        <v>23</v>
      </c>
      <c r="AB726" t="s">
        <v>23</v>
      </c>
      <c r="AC726" t="s">
        <v>23</v>
      </c>
      <c r="AD726" t="s">
        <v>23</v>
      </c>
      <c r="AE726" t="s">
        <v>23</v>
      </c>
      <c r="AF726" t="s">
        <v>23</v>
      </c>
      <c r="AG726" t="s">
        <v>23</v>
      </c>
      <c r="AH726" t="s">
        <v>23</v>
      </c>
      <c r="AI726" t="s">
        <v>23</v>
      </c>
      <c r="AJ726" t="s">
        <v>23</v>
      </c>
    </row>
    <row r="727" spans="1:36" x14ac:dyDescent="0.35">
      <c r="A727" s="2">
        <v>1725</v>
      </c>
      <c r="B727" s="4">
        <v>44984</v>
      </c>
      <c r="C727" s="1" t="s">
        <v>24</v>
      </c>
      <c r="D727" s="1" t="s">
        <v>31</v>
      </c>
      <c r="E727">
        <v>783542</v>
      </c>
      <c r="F727">
        <v>12</v>
      </c>
      <c r="G727" s="1" t="s">
        <v>32</v>
      </c>
      <c r="H727">
        <v>22027</v>
      </c>
      <c r="I727">
        <v>33481</v>
      </c>
      <c r="J727" s="1" t="s">
        <v>33</v>
      </c>
      <c r="K727" s="3">
        <v>10</v>
      </c>
      <c r="L727" s="1" t="s">
        <v>28</v>
      </c>
      <c r="M727" s="1" t="s">
        <v>37</v>
      </c>
      <c r="N727" s="3">
        <v>2024010123</v>
      </c>
      <c r="O727" s="3">
        <f t="shared" si="99"/>
        <v>1.23</v>
      </c>
      <c r="P727" s="6">
        <f t="shared" si="100"/>
        <v>963756.66</v>
      </c>
      <c r="Q727" s="3" t="str">
        <f t="shared" si="101"/>
        <v>Excellent</v>
      </c>
      <c r="R727" s="3">
        <f t="shared" si="102"/>
        <v>11454</v>
      </c>
      <c r="S727" s="7">
        <f t="shared" si="103"/>
        <v>137448</v>
      </c>
      <c r="T727" s="3" t="str">
        <f t="shared" si="104"/>
        <v>High Profit</v>
      </c>
      <c r="U727" s="3" t="str">
        <f t="shared" si="105"/>
        <v>Medium Discount</v>
      </c>
      <c r="V727" s="3" t="str">
        <f t="shared" si="106"/>
        <v>Priority C</v>
      </c>
      <c r="W727">
        <f t="shared" si="107"/>
        <v>78354.2</v>
      </c>
      <c r="X727" t="s">
        <v>23</v>
      </c>
      <c r="Y727" t="s">
        <v>23</v>
      </c>
      <c r="Z727" t="s">
        <v>23</v>
      </c>
      <c r="AA727" t="s">
        <v>23</v>
      </c>
      <c r="AB727" t="s">
        <v>23</v>
      </c>
      <c r="AC727" t="s">
        <v>23</v>
      </c>
      <c r="AD727" t="s">
        <v>23</v>
      </c>
      <c r="AE727" t="s">
        <v>23</v>
      </c>
      <c r="AF727" t="s">
        <v>23</v>
      </c>
      <c r="AG727" t="s">
        <v>23</v>
      </c>
      <c r="AH727" t="s">
        <v>23</v>
      </c>
      <c r="AI727" t="s">
        <v>23</v>
      </c>
      <c r="AJ727" t="s">
        <v>23</v>
      </c>
    </row>
    <row r="728" spans="1:36" x14ac:dyDescent="0.35">
      <c r="A728" s="2">
        <v>1726</v>
      </c>
      <c r="B728" s="4">
        <v>45286</v>
      </c>
      <c r="C728" s="1" t="s">
        <v>34</v>
      </c>
      <c r="D728" s="1" t="s">
        <v>42</v>
      </c>
      <c r="E728">
        <v>637115</v>
      </c>
      <c r="F728">
        <v>40</v>
      </c>
      <c r="G728" s="1" t="s">
        <v>39</v>
      </c>
      <c r="H728">
        <v>25273</v>
      </c>
      <c r="I728">
        <v>32469</v>
      </c>
      <c r="J728" s="1" t="s">
        <v>33</v>
      </c>
      <c r="K728" s="3">
        <v>19</v>
      </c>
      <c r="L728" s="1" t="s">
        <v>28</v>
      </c>
      <c r="M728" s="1" t="s">
        <v>29</v>
      </c>
      <c r="N728" s="3">
        <v>2024010123</v>
      </c>
      <c r="O728" s="3">
        <f t="shared" si="99"/>
        <v>1.23</v>
      </c>
      <c r="P728" s="6">
        <f t="shared" si="100"/>
        <v>783651.45</v>
      </c>
      <c r="Q728" s="3" t="str">
        <f t="shared" si="101"/>
        <v>Excellent</v>
      </c>
      <c r="R728" s="3">
        <f t="shared" si="102"/>
        <v>7196</v>
      </c>
      <c r="S728" s="7">
        <f t="shared" si="103"/>
        <v>287840</v>
      </c>
      <c r="T728" s="3" t="str">
        <f t="shared" si="104"/>
        <v>High Profit</v>
      </c>
      <c r="U728" s="3" t="str">
        <f t="shared" si="105"/>
        <v>High Discount</v>
      </c>
      <c r="V728" s="3" t="str">
        <f t="shared" si="106"/>
        <v>Priority B</v>
      </c>
      <c r="W728">
        <f t="shared" si="107"/>
        <v>63711.5</v>
      </c>
      <c r="X728" t="s">
        <v>23</v>
      </c>
      <c r="Y728" t="s">
        <v>23</v>
      </c>
      <c r="Z728" t="s">
        <v>23</v>
      </c>
      <c r="AA728" t="s">
        <v>23</v>
      </c>
      <c r="AB728" t="s">
        <v>23</v>
      </c>
      <c r="AC728" t="s">
        <v>23</v>
      </c>
      <c r="AD728" t="s">
        <v>23</v>
      </c>
      <c r="AE728" t="s">
        <v>23</v>
      </c>
      <c r="AF728" t="s">
        <v>23</v>
      </c>
      <c r="AG728" t="s">
        <v>23</v>
      </c>
      <c r="AH728" t="s">
        <v>23</v>
      </c>
      <c r="AI728" t="s">
        <v>23</v>
      </c>
      <c r="AJ728" t="s">
        <v>23</v>
      </c>
    </row>
    <row r="729" spans="1:36" x14ac:dyDescent="0.35">
      <c r="A729" s="2">
        <v>1727</v>
      </c>
      <c r="B729" s="4">
        <v>45151</v>
      </c>
      <c r="C729" s="1" t="s">
        <v>41</v>
      </c>
      <c r="D729" s="1" t="s">
        <v>43</v>
      </c>
      <c r="E729">
        <v>214016</v>
      </c>
      <c r="F729">
        <v>12</v>
      </c>
      <c r="G729" s="1" t="s">
        <v>32</v>
      </c>
      <c r="H729">
        <v>29673</v>
      </c>
      <c r="I729">
        <v>41754</v>
      </c>
      <c r="J729" s="1" t="s">
        <v>33</v>
      </c>
      <c r="K729" s="3">
        <v>20</v>
      </c>
      <c r="L729" s="1" t="s">
        <v>36</v>
      </c>
      <c r="M729" s="1" t="s">
        <v>29</v>
      </c>
      <c r="N729" s="3">
        <v>2024010123</v>
      </c>
      <c r="O729" s="3">
        <f t="shared" si="99"/>
        <v>1.23</v>
      </c>
      <c r="P729" s="6">
        <f t="shared" si="100"/>
        <v>263239.67999999999</v>
      </c>
      <c r="Q729" s="3" t="str">
        <f t="shared" si="101"/>
        <v>Excellent</v>
      </c>
      <c r="R729" s="3">
        <f t="shared" si="102"/>
        <v>12081</v>
      </c>
      <c r="S729" s="7">
        <f t="shared" si="103"/>
        <v>144972</v>
      </c>
      <c r="T729" s="3" t="str">
        <f t="shared" si="104"/>
        <v>High Profit</v>
      </c>
      <c r="U729" s="3" t="str">
        <f t="shared" si="105"/>
        <v>High Discount</v>
      </c>
      <c r="V729" s="3" t="str">
        <f t="shared" si="106"/>
        <v>Priority D</v>
      </c>
      <c r="W729">
        <f t="shared" si="107"/>
        <v>21401.600000000002</v>
      </c>
      <c r="X729" t="s">
        <v>23</v>
      </c>
      <c r="Y729" t="s">
        <v>23</v>
      </c>
      <c r="Z729" t="s">
        <v>23</v>
      </c>
      <c r="AA729" t="s">
        <v>23</v>
      </c>
      <c r="AB729" t="s">
        <v>23</v>
      </c>
      <c r="AC729" t="s">
        <v>23</v>
      </c>
      <c r="AD729" t="s">
        <v>23</v>
      </c>
      <c r="AE729" t="s">
        <v>23</v>
      </c>
      <c r="AF729" t="s">
        <v>23</v>
      </c>
      <c r="AG729" t="s">
        <v>23</v>
      </c>
      <c r="AH729" t="s">
        <v>23</v>
      </c>
      <c r="AI729" t="s">
        <v>23</v>
      </c>
      <c r="AJ729" t="s">
        <v>23</v>
      </c>
    </row>
    <row r="730" spans="1:36" x14ac:dyDescent="0.35">
      <c r="A730" s="2">
        <v>1728</v>
      </c>
      <c r="B730" s="4">
        <v>45048</v>
      </c>
      <c r="C730" s="1" t="s">
        <v>41</v>
      </c>
      <c r="D730" s="1" t="s">
        <v>43</v>
      </c>
      <c r="E730">
        <v>969207</v>
      </c>
      <c r="F730">
        <v>20</v>
      </c>
      <c r="G730" s="1" t="s">
        <v>32</v>
      </c>
      <c r="H730">
        <v>22841</v>
      </c>
      <c r="I730">
        <v>36577</v>
      </c>
      <c r="J730" s="1" t="s">
        <v>33</v>
      </c>
      <c r="K730" s="3">
        <v>28</v>
      </c>
      <c r="L730" s="1" t="s">
        <v>36</v>
      </c>
      <c r="M730" s="1" t="s">
        <v>37</v>
      </c>
      <c r="N730" s="3">
        <v>2024010123</v>
      </c>
      <c r="O730" s="3">
        <f t="shared" si="99"/>
        <v>1.23</v>
      </c>
      <c r="P730" s="6">
        <f t="shared" si="100"/>
        <v>1192124.6099999999</v>
      </c>
      <c r="Q730" s="3" t="str">
        <f t="shared" si="101"/>
        <v>Excellent</v>
      </c>
      <c r="R730" s="3">
        <f t="shared" si="102"/>
        <v>13736</v>
      </c>
      <c r="S730" s="7">
        <f t="shared" si="103"/>
        <v>274720</v>
      </c>
      <c r="T730" s="3" t="str">
        <f t="shared" si="104"/>
        <v>High Profit</v>
      </c>
      <c r="U730" s="3" t="str">
        <f t="shared" si="105"/>
        <v>High Discount</v>
      </c>
      <c r="V730" s="3" t="str">
        <f t="shared" si="106"/>
        <v>Priority B</v>
      </c>
      <c r="W730">
        <f t="shared" si="107"/>
        <v>96920.700000000012</v>
      </c>
      <c r="X730" t="s">
        <v>23</v>
      </c>
      <c r="Y730" t="s">
        <v>23</v>
      </c>
      <c r="Z730" t="s">
        <v>23</v>
      </c>
      <c r="AA730" t="s">
        <v>23</v>
      </c>
      <c r="AB730" t="s">
        <v>23</v>
      </c>
      <c r="AC730" t="s">
        <v>23</v>
      </c>
      <c r="AD730" t="s">
        <v>23</v>
      </c>
      <c r="AE730" t="s">
        <v>23</v>
      </c>
      <c r="AF730" t="s">
        <v>23</v>
      </c>
      <c r="AG730" t="s">
        <v>23</v>
      </c>
      <c r="AH730" t="s">
        <v>23</v>
      </c>
      <c r="AI730" t="s">
        <v>23</v>
      </c>
      <c r="AJ730" t="s">
        <v>23</v>
      </c>
    </row>
    <row r="731" spans="1:36" x14ac:dyDescent="0.35">
      <c r="A731" s="2">
        <v>1729</v>
      </c>
      <c r="B731" s="4">
        <v>45038</v>
      </c>
      <c r="C731" s="1" t="s">
        <v>41</v>
      </c>
      <c r="D731" s="1" t="s">
        <v>42</v>
      </c>
      <c r="E731">
        <v>839879</v>
      </c>
      <c r="F731">
        <v>40</v>
      </c>
      <c r="G731" s="1" t="s">
        <v>32</v>
      </c>
      <c r="H731">
        <v>10560</v>
      </c>
      <c r="I731">
        <v>22808</v>
      </c>
      <c r="J731" s="1" t="s">
        <v>33</v>
      </c>
      <c r="K731" s="3">
        <v>16</v>
      </c>
      <c r="L731" s="1" t="s">
        <v>36</v>
      </c>
      <c r="M731" s="1" t="s">
        <v>29</v>
      </c>
      <c r="N731" s="3">
        <v>2024010123</v>
      </c>
      <c r="O731" s="3">
        <f t="shared" si="99"/>
        <v>1.23</v>
      </c>
      <c r="P731" s="6">
        <f t="shared" si="100"/>
        <v>1033051.17</v>
      </c>
      <c r="Q731" s="3" t="str">
        <f t="shared" si="101"/>
        <v>Excellent</v>
      </c>
      <c r="R731" s="3">
        <f t="shared" si="102"/>
        <v>12248</v>
      </c>
      <c r="S731" s="7">
        <f t="shared" si="103"/>
        <v>489920</v>
      </c>
      <c r="T731" s="3" t="str">
        <f t="shared" si="104"/>
        <v>High Profit</v>
      </c>
      <c r="U731" s="3" t="str">
        <f t="shared" si="105"/>
        <v>High Discount</v>
      </c>
      <c r="V731" s="3" t="str">
        <f t="shared" si="106"/>
        <v>Priority B</v>
      </c>
      <c r="W731">
        <f t="shared" si="107"/>
        <v>83987.900000000009</v>
      </c>
      <c r="X731" t="s">
        <v>23</v>
      </c>
      <c r="Y731" t="s">
        <v>23</v>
      </c>
      <c r="Z731" t="s">
        <v>23</v>
      </c>
      <c r="AA731" t="s">
        <v>23</v>
      </c>
      <c r="AB731" t="s">
        <v>23</v>
      </c>
      <c r="AC731" t="s">
        <v>23</v>
      </c>
      <c r="AD731" t="s">
        <v>23</v>
      </c>
      <c r="AE731" t="s">
        <v>23</v>
      </c>
      <c r="AF731" t="s">
        <v>23</v>
      </c>
      <c r="AG731" t="s">
        <v>23</v>
      </c>
      <c r="AH731" t="s">
        <v>23</v>
      </c>
      <c r="AI731" t="s">
        <v>23</v>
      </c>
      <c r="AJ731" t="s">
        <v>23</v>
      </c>
    </row>
    <row r="732" spans="1:36" x14ac:dyDescent="0.35">
      <c r="A732" s="2">
        <v>1730</v>
      </c>
      <c r="B732" s="4">
        <v>45081</v>
      </c>
      <c r="C732" s="1" t="s">
        <v>24</v>
      </c>
      <c r="D732" s="1" t="s">
        <v>31</v>
      </c>
      <c r="E732">
        <v>56193</v>
      </c>
      <c r="F732">
        <v>18</v>
      </c>
      <c r="G732" s="1" t="s">
        <v>32</v>
      </c>
      <c r="H732">
        <v>42003</v>
      </c>
      <c r="I732">
        <v>47117</v>
      </c>
      <c r="J732" s="1" t="s">
        <v>27</v>
      </c>
      <c r="K732" s="3">
        <v>0</v>
      </c>
      <c r="L732" s="1" t="s">
        <v>36</v>
      </c>
      <c r="M732" s="1" t="s">
        <v>37</v>
      </c>
      <c r="N732" s="3">
        <v>2024010123</v>
      </c>
      <c r="O732" s="3">
        <f t="shared" si="99"/>
        <v>1.23</v>
      </c>
      <c r="P732" s="6">
        <f t="shared" si="100"/>
        <v>69117.39</v>
      </c>
      <c r="Q732" s="3" t="str">
        <f t="shared" si="101"/>
        <v>Excellent</v>
      </c>
      <c r="R732" s="3">
        <f t="shared" si="102"/>
        <v>5114</v>
      </c>
      <c r="S732" s="7">
        <f t="shared" si="103"/>
        <v>92052</v>
      </c>
      <c r="T732" s="3" t="str">
        <f t="shared" si="104"/>
        <v>High Profit</v>
      </c>
      <c r="U732" s="3" t="str">
        <f t="shared" si="105"/>
        <v>No Discount</v>
      </c>
      <c r="V732" s="3" t="str">
        <f t="shared" si="106"/>
        <v>Priority C</v>
      </c>
      <c r="W732">
        <f t="shared" si="107"/>
        <v>8428.9499999999989</v>
      </c>
      <c r="X732" t="s">
        <v>23</v>
      </c>
      <c r="Y732" t="s">
        <v>23</v>
      </c>
      <c r="Z732" t="s">
        <v>23</v>
      </c>
      <c r="AA732" t="s">
        <v>23</v>
      </c>
      <c r="AB732" t="s">
        <v>23</v>
      </c>
      <c r="AC732" t="s">
        <v>23</v>
      </c>
      <c r="AD732" t="s">
        <v>23</v>
      </c>
      <c r="AE732" t="s">
        <v>23</v>
      </c>
      <c r="AF732" t="s">
        <v>23</v>
      </c>
      <c r="AG732" t="s">
        <v>23</v>
      </c>
      <c r="AH732" t="s">
        <v>23</v>
      </c>
      <c r="AI732" t="s">
        <v>23</v>
      </c>
      <c r="AJ732" t="s">
        <v>23</v>
      </c>
    </row>
    <row r="733" spans="1:36" x14ac:dyDescent="0.35">
      <c r="A733" s="2">
        <v>1731</v>
      </c>
      <c r="B733" s="4">
        <v>45234</v>
      </c>
      <c r="C733" s="1" t="s">
        <v>34</v>
      </c>
      <c r="D733" s="1" t="s">
        <v>43</v>
      </c>
      <c r="E733">
        <v>459101</v>
      </c>
      <c r="F733">
        <v>18</v>
      </c>
      <c r="G733" s="1" t="s">
        <v>35</v>
      </c>
      <c r="H733">
        <v>17771</v>
      </c>
      <c r="I733">
        <v>24958</v>
      </c>
      <c r="J733" s="1" t="s">
        <v>27</v>
      </c>
      <c r="K733" s="3">
        <v>2</v>
      </c>
      <c r="L733" s="1" t="s">
        <v>28</v>
      </c>
      <c r="M733" s="1" t="s">
        <v>29</v>
      </c>
      <c r="N733" s="3">
        <v>2024010123</v>
      </c>
      <c r="O733" s="3">
        <f t="shared" si="99"/>
        <v>1.23</v>
      </c>
      <c r="P733" s="6">
        <f t="shared" si="100"/>
        <v>564694.23</v>
      </c>
      <c r="Q733" s="3" t="str">
        <f t="shared" si="101"/>
        <v>Excellent</v>
      </c>
      <c r="R733" s="3">
        <f t="shared" si="102"/>
        <v>7187</v>
      </c>
      <c r="S733" s="7">
        <f t="shared" si="103"/>
        <v>129366</v>
      </c>
      <c r="T733" s="3" t="str">
        <f t="shared" si="104"/>
        <v>High Profit</v>
      </c>
      <c r="U733" s="3" t="str">
        <f t="shared" si="105"/>
        <v>Low Discount</v>
      </c>
      <c r="V733" s="3" t="str">
        <f t="shared" si="106"/>
        <v>Priority C</v>
      </c>
      <c r="W733">
        <f t="shared" si="107"/>
        <v>68865.149999999994</v>
      </c>
      <c r="X733" t="s">
        <v>23</v>
      </c>
      <c r="Y733" t="s">
        <v>23</v>
      </c>
      <c r="Z733" t="s">
        <v>23</v>
      </c>
      <c r="AA733" t="s">
        <v>23</v>
      </c>
      <c r="AB733" t="s">
        <v>23</v>
      </c>
      <c r="AC733" t="s">
        <v>23</v>
      </c>
      <c r="AD733" t="s">
        <v>23</v>
      </c>
      <c r="AE733" t="s">
        <v>23</v>
      </c>
      <c r="AF733" t="s">
        <v>23</v>
      </c>
      <c r="AG733" t="s">
        <v>23</v>
      </c>
      <c r="AH733" t="s">
        <v>23</v>
      </c>
      <c r="AI733" t="s">
        <v>23</v>
      </c>
      <c r="AJ733" t="s">
        <v>23</v>
      </c>
    </row>
    <row r="734" spans="1:36" x14ac:dyDescent="0.35">
      <c r="A734" s="2">
        <v>1732</v>
      </c>
      <c r="B734" s="4">
        <v>45018</v>
      </c>
      <c r="C734" s="1" t="s">
        <v>34</v>
      </c>
      <c r="D734" s="1" t="s">
        <v>25</v>
      </c>
      <c r="E734">
        <v>169852</v>
      </c>
      <c r="F734">
        <v>18</v>
      </c>
      <c r="G734" s="1" t="s">
        <v>39</v>
      </c>
      <c r="H734">
        <v>32394</v>
      </c>
      <c r="I734">
        <v>38697</v>
      </c>
      <c r="J734" s="1" t="s">
        <v>33</v>
      </c>
      <c r="K734" s="3">
        <v>2</v>
      </c>
      <c r="L734" s="1" t="s">
        <v>28</v>
      </c>
      <c r="M734" s="1" t="s">
        <v>37</v>
      </c>
      <c r="N734" s="3">
        <v>2024010123</v>
      </c>
      <c r="O734" s="3">
        <f t="shared" si="99"/>
        <v>1.23</v>
      </c>
      <c r="P734" s="6">
        <f t="shared" si="100"/>
        <v>208917.96</v>
      </c>
      <c r="Q734" s="3" t="str">
        <f t="shared" si="101"/>
        <v>Excellent</v>
      </c>
      <c r="R734" s="3">
        <f t="shared" si="102"/>
        <v>6303</v>
      </c>
      <c r="S734" s="7">
        <f t="shared" si="103"/>
        <v>113454</v>
      </c>
      <c r="T734" s="3" t="str">
        <f t="shared" si="104"/>
        <v>High Profit</v>
      </c>
      <c r="U734" s="3" t="str">
        <f t="shared" si="105"/>
        <v>Low Discount</v>
      </c>
      <c r="V734" s="3" t="str">
        <f t="shared" si="106"/>
        <v>Priority C</v>
      </c>
      <c r="W734">
        <f t="shared" si="107"/>
        <v>16985.2</v>
      </c>
      <c r="X734" t="s">
        <v>23</v>
      </c>
      <c r="Y734" t="s">
        <v>23</v>
      </c>
      <c r="Z734" t="s">
        <v>23</v>
      </c>
      <c r="AA734" t="s">
        <v>23</v>
      </c>
      <c r="AB734" t="s">
        <v>23</v>
      </c>
      <c r="AC734" t="s">
        <v>23</v>
      </c>
      <c r="AD734" t="s">
        <v>23</v>
      </c>
      <c r="AE734" t="s">
        <v>23</v>
      </c>
      <c r="AF734" t="s">
        <v>23</v>
      </c>
      <c r="AG734" t="s">
        <v>23</v>
      </c>
      <c r="AH734" t="s">
        <v>23</v>
      </c>
      <c r="AI734" t="s">
        <v>23</v>
      </c>
      <c r="AJ734" t="s">
        <v>23</v>
      </c>
    </row>
    <row r="735" spans="1:36" x14ac:dyDescent="0.35">
      <c r="A735" s="2">
        <v>1733</v>
      </c>
      <c r="B735" s="4">
        <v>45115</v>
      </c>
      <c r="C735" s="1" t="s">
        <v>34</v>
      </c>
      <c r="D735" s="1" t="s">
        <v>25</v>
      </c>
      <c r="E735">
        <v>936480</v>
      </c>
      <c r="F735">
        <v>18</v>
      </c>
      <c r="G735" s="1" t="s">
        <v>39</v>
      </c>
      <c r="H735">
        <v>43462</v>
      </c>
      <c r="I735">
        <v>49960</v>
      </c>
      <c r="J735" s="1" t="s">
        <v>27</v>
      </c>
      <c r="K735" s="3">
        <v>10</v>
      </c>
      <c r="L735" s="1" t="s">
        <v>36</v>
      </c>
      <c r="M735" s="1" t="s">
        <v>37</v>
      </c>
      <c r="N735" s="3">
        <v>2024010123</v>
      </c>
      <c r="O735" s="3">
        <f t="shared" si="99"/>
        <v>1.23</v>
      </c>
      <c r="P735" s="6">
        <f t="shared" si="100"/>
        <v>1151870.3999999999</v>
      </c>
      <c r="Q735" s="3" t="str">
        <f t="shared" si="101"/>
        <v>Excellent</v>
      </c>
      <c r="R735" s="3">
        <f t="shared" si="102"/>
        <v>6498</v>
      </c>
      <c r="S735" s="7">
        <f t="shared" si="103"/>
        <v>116964</v>
      </c>
      <c r="T735" s="3" t="str">
        <f t="shared" si="104"/>
        <v>High Profit</v>
      </c>
      <c r="U735" s="3" t="str">
        <f t="shared" si="105"/>
        <v>Medium Discount</v>
      </c>
      <c r="V735" s="3" t="str">
        <f t="shared" si="106"/>
        <v>Priority C</v>
      </c>
      <c r="W735">
        <f t="shared" si="107"/>
        <v>140472</v>
      </c>
      <c r="X735" t="s">
        <v>23</v>
      </c>
      <c r="Y735" t="s">
        <v>23</v>
      </c>
      <c r="Z735" t="s">
        <v>23</v>
      </c>
      <c r="AA735" t="s">
        <v>23</v>
      </c>
      <c r="AB735" t="s">
        <v>23</v>
      </c>
      <c r="AC735" t="s">
        <v>23</v>
      </c>
      <c r="AD735" t="s">
        <v>23</v>
      </c>
      <c r="AE735" t="s">
        <v>23</v>
      </c>
      <c r="AF735" t="s">
        <v>23</v>
      </c>
      <c r="AG735" t="s">
        <v>23</v>
      </c>
      <c r="AH735" t="s">
        <v>23</v>
      </c>
      <c r="AI735" t="s">
        <v>23</v>
      </c>
      <c r="AJ735" t="s">
        <v>23</v>
      </c>
    </row>
    <row r="736" spans="1:36" x14ac:dyDescent="0.35">
      <c r="A736" s="2">
        <v>1734</v>
      </c>
      <c r="B736" s="4">
        <v>45289</v>
      </c>
      <c r="C736" s="1" t="s">
        <v>30</v>
      </c>
      <c r="D736" s="1" t="s">
        <v>43</v>
      </c>
      <c r="E736">
        <v>480491</v>
      </c>
      <c r="F736">
        <v>14</v>
      </c>
      <c r="G736" s="1" t="s">
        <v>26</v>
      </c>
      <c r="H736">
        <v>31444</v>
      </c>
      <c r="I736">
        <v>38324</v>
      </c>
      <c r="J736" s="1" t="s">
        <v>33</v>
      </c>
      <c r="K736" s="3">
        <v>14</v>
      </c>
      <c r="L736" s="1" t="s">
        <v>28</v>
      </c>
      <c r="M736" s="1" t="s">
        <v>29</v>
      </c>
      <c r="N736" s="3">
        <v>2024010123</v>
      </c>
      <c r="O736" s="3">
        <f t="shared" si="99"/>
        <v>1.23</v>
      </c>
      <c r="P736" s="6">
        <f t="shared" si="100"/>
        <v>591003.92999999993</v>
      </c>
      <c r="Q736" s="3" t="str">
        <f t="shared" si="101"/>
        <v>Excellent</v>
      </c>
      <c r="R736" s="3">
        <f t="shared" si="102"/>
        <v>6880</v>
      </c>
      <c r="S736" s="7">
        <f t="shared" si="103"/>
        <v>96320</v>
      </c>
      <c r="T736" s="3" t="str">
        <f t="shared" si="104"/>
        <v>High Profit</v>
      </c>
      <c r="U736" s="3" t="str">
        <f t="shared" si="105"/>
        <v>Medium Discount</v>
      </c>
      <c r="V736" s="3" t="str">
        <f t="shared" si="106"/>
        <v>Priority D</v>
      </c>
      <c r="W736">
        <f t="shared" si="107"/>
        <v>48049.100000000006</v>
      </c>
      <c r="X736" t="s">
        <v>23</v>
      </c>
      <c r="Y736" t="s">
        <v>23</v>
      </c>
      <c r="Z736" t="s">
        <v>23</v>
      </c>
      <c r="AA736" t="s">
        <v>23</v>
      </c>
      <c r="AB736" t="s">
        <v>23</v>
      </c>
      <c r="AC736" t="s">
        <v>23</v>
      </c>
      <c r="AD736" t="s">
        <v>23</v>
      </c>
      <c r="AE736" t="s">
        <v>23</v>
      </c>
      <c r="AF736" t="s">
        <v>23</v>
      </c>
      <c r="AG736" t="s">
        <v>23</v>
      </c>
      <c r="AH736" t="s">
        <v>23</v>
      </c>
      <c r="AI736" t="s">
        <v>23</v>
      </c>
      <c r="AJ736" t="s">
        <v>23</v>
      </c>
    </row>
    <row r="737" spans="1:36" x14ac:dyDescent="0.35">
      <c r="A737" s="2">
        <v>1735</v>
      </c>
      <c r="B737" s="4">
        <v>45134</v>
      </c>
      <c r="C737" s="1" t="s">
        <v>30</v>
      </c>
      <c r="D737" s="1" t="s">
        <v>31</v>
      </c>
      <c r="E737">
        <v>945447</v>
      </c>
      <c r="F737">
        <v>16</v>
      </c>
      <c r="G737" s="1" t="s">
        <v>35</v>
      </c>
      <c r="H737">
        <v>28209</v>
      </c>
      <c r="I737">
        <v>35650</v>
      </c>
      <c r="J737" s="1" t="s">
        <v>33</v>
      </c>
      <c r="K737" s="3">
        <v>5</v>
      </c>
      <c r="L737" s="1" t="s">
        <v>28</v>
      </c>
      <c r="M737" s="1" t="s">
        <v>37</v>
      </c>
      <c r="N737" s="3">
        <v>2024010123</v>
      </c>
      <c r="O737" s="3">
        <f t="shared" si="99"/>
        <v>1.23</v>
      </c>
      <c r="P737" s="6">
        <f t="shared" si="100"/>
        <v>1162899.81</v>
      </c>
      <c r="Q737" s="3" t="str">
        <f t="shared" si="101"/>
        <v>Excellent</v>
      </c>
      <c r="R737" s="3">
        <f t="shared" si="102"/>
        <v>7441</v>
      </c>
      <c r="S737" s="7">
        <f t="shared" si="103"/>
        <v>119056</v>
      </c>
      <c r="T737" s="3" t="str">
        <f t="shared" si="104"/>
        <v>High Profit</v>
      </c>
      <c r="U737" s="3" t="str">
        <f t="shared" si="105"/>
        <v>Medium Discount</v>
      </c>
      <c r="V737" s="3" t="str">
        <f t="shared" si="106"/>
        <v>Priority C</v>
      </c>
      <c r="W737">
        <f t="shared" si="107"/>
        <v>94544.700000000012</v>
      </c>
      <c r="X737" t="s">
        <v>23</v>
      </c>
      <c r="Y737" t="s">
        <v>23</v>
      </c>
      <c r="Z737" t="s">
        <v>23</v>
      </c>
      <c r="AA737" t="s">
        <v>23</v>
      </c>
      <c r="AB737" t="s">
        <v>23</v>
      </c>
      <c r="AC737" t="s">
        <v>23</v>
      </c>
      <c r="AD737" t="s">
        <v>23</v>
      </c>
      <c r="AE737" t="s">
        <v>23</v>
      </c>
      <c r="AF737" t="s">
        <v>23</v>
      </c>
      <c r="AG737" t="s">
        <v>23</v>
      </c>
      <c r="AH737" t="s">
        <v>23</v>
      </c>
      <c r="AI737" t="s">
        <v>23</v>
      </c>
      <c r="AJ737" t="s">
        <v>23</v>
      </c>
    </row>
    <row r="738" spans="1:36" x14ac:dyDescent="0.35">
      <c r="A738" s="2">
        <v>1736</v>
      </c>
      <c r="B738" s="4">
        <v>45109</v>
      </c>
      <c r="C738" s="1" t="s">
        <v>41</v>
      </c>
      <c r="D738" s="1" t="s">
        <v>25</v>
      </c>
      <c r="E738">
        <v>395171</v>
      </c>
      <c r="F738">
        <v>18</v>
      </c>
      <c r="G738" s="1" t="s">
        <v>39</v>
      </c>
      <c r="H738">
        <v>27196</v>
      </c>
      <c r="I738">
        <v>33166</v>
      </c>
      <c r="J738" s="1" t="s">
        <v>27</v>
      </c>
      <c r="K738" s="3">
        <v>26</v>
      </c>
      <c r="L738" s="1" t="s">
        <v>36</v>
      </c>
      <c r="M738" s="1" t="s">
        <v>37</v>
      </c>
      <c r="N738" s="3">
        <v>2024010123</v>
      </c>
      <c r="O738" s="3">
        <f t="shared" si="99"/>
        <v>1.23</v>
      </c>
      <c r="P738" s="6">
        <f t="shared" si="100"/>
        <v>486060.33</v>
      </c>
      <c r="Q738" s="3" t="str">
        <f t="shared" si="101"/>
        <v>Excellent</v>
      </c>
      <c r="R738" s="3">
        <f t="shared" si="102"/>
        <v>5970</v>
      </c>
      <c r="S738" s="7">
        <f t="shared" si="103"/>
        <v>107460</v>
      </c>
      <c r="T738" s="3" t="str">
        <f t="shared" si="104"/>
        <v>High Profit</v>
      </c>
      <c r="U738" s="3" t="str">
        <f t="shared" si="105"/>
        <v>High Discount</v>
      </c>
      <c r="V738" s="3" t="str">
        <f t="shared" si="106"/>
        <v>Priority C</v>
      </c>
      <c r="W738">
        <f t="shared" si="107"/>
        <v>59275.649999999994</v>
      </c>
      <c r="X738" t="s">
        <v>23</v>
      </c>
      <c r="Y738" t="s">
        <v>23</v>
      </c>
      <c r="Z738" t="s">
        <v>23</v>
      </c>
      <c r="AA738" t="s">
        <v>23</v>
      </c>
      <c r="AB738" t="s">
        <v>23</v>
      </c>
      <c r="AC738" t="s">
        <v>23</v>
      </c>
      <c r="AD738" t="s">
        <v>23</v>
      </c>
      <c r="AE738" t="s">
        <v>23</v>
      </c>
      <c r="AF738" t="s">
        <v>23</v>
      </c>
      <c r="AG738" t="s">
        <v>23</v>
      </c>
      <c r="AH738" t="s">
        <v>23</v>
      </c>
      <c r="AI738" t="s">
        <v>23</v>
      </c>
      <c r="AJ738" t="s">
        <v>23</v>
      </c>
    </row>
    <row r="739" spans="1:36" x14ac:dyDescent="0.35">
      <c r="A739" s="2">
        <v>1737</v>
      </c>
      <c r="B739" s="4">
        <v>45147</v>
      </c>
      <c r="C739" s="1" t="s">
        <v>34</v>
      </c>
      <c r="D739" s="1" t="s">
        <v>25</v>
      </c>
      <c r="E739">
        <v>11378</v>
      </c>
      <c r="F739">
        <v>18</v>
      </c>
      <c r="G739" s="1" t="s">
        <v>26</v>
      </c>
      <c r="H739">
        <v>38694</v>
      </c>
      <c r="I739">
        <v>43974</v>
      </c>
      <c r="J739" s="1" t="s">
        <v>33</v>
      </c>
      <c r="K739" s="3">
        <v>26</v>
      </c>
      <c r="L739" s="1" t="s">
        <v>28</v>
      </c>
      <c r="M739" s="1" t="s">
        <v>29</v>
      </c>
      <c r="N739" s="3">
        <v>2024010123</v>
      </c>
      <c r="O739" s="3">
        <f t="shared" si="99"/>
        <v>1.23</v>
      </c>
      <c r="P739" s="6">
        <f t="shared" si="100"/>
        <v>13994.94</v>
      </c>
      <c r="Q739" s="3" t="str">
        <f t="shared" si="101"/>
        <v>Excellent</v>
      </c>
      <c r="R739" s="3">
        <f t="shared" si="102"/>
        <v>5280</v>
      </c>
      <c r="S739" s="7">
        <f t="shared" si="103"/>
        <v>95040</v>
      </c>
      <c r="T739" s="3" t="str">
        <f t="shared" si="104"/>
        <v>High Profit</v>
      </c>
      <c r="U739" s="3" t="str">
        <f t="shared" si="105"/>
        <v>High Discount</v>
      </c>
      <c r="V739" s="3" t="str">
        <f t="shared" si="106"/>
        <v>Priority C</v>
      </c>
      <c r="W739">
        <f t="shared" si="107"/>
        <v>1137.8</v>
      </c>
      <c r="X739" t="s">
        <v>23</v>
      </c>
      <c r="Y739" t="s">
        <v>23</v>
      </c>
      <c r="Z739" t="s">
        <v>23</v>
      </c>
      <c r="AA739" t="s">
        <v>23</v>
      </c>
      <c r="AB739" t="s">
        <v>23</v>
      </c>
      <c r="AC739" t="s">
        <v>23</v>
      </c>
      <c r="AD739" t="s">
        <v>23</v>
      </c>
      <c r="AE739" t="s">
        <v>23</v>
      </c>
      <c r="AF739" t="s">
        <v>23</v>
      </c>
      <c r="AG739" t="s">
        <v>23</v>
      </c>
      <c r="AH739" t="s">
        <v>23</v>
      </c>
      <c r="AI739" t="s">
        <v>23</v>
      </c>
      <c r="AJ739" t="s">
        <v>23</v>
      </c>
    </row>
    <row r="740" spans="1:36" x14ac:dyDescent="0.35">
      <c r="A740" s="2">
        <v>1738</v>
      </c>
      <c r="B740" s="4">
        <v>44972</v>
      </c>
      <c r="C740" s="1" t="s">
        <v>34</v>
      </c>
      <c r="D740" s="1" t="s">
        <v>42</v>
      </c>
      <c r="E740">
        <v>27750</v>
      </c>
      <c r="F740">
        <v>8</v>
      </c>
      <c r="G740" s="1" t="s">
        <v>35</v>
      </c>
      <c r="H740">
        <v>37547</v>
      </c>
      <c r="I740">
        <v>42395</v>
      </c>
      <c r="J740" s="1" t="s">
        <v>27</v>
      </c>
      <c r="K740" s="3">
        <v>17</v>
      </c>
      <c r="L740" s="1" t="s">
        <v>36</v>
      </c>
      <c r="M740" s="1" t="s">
        <v>29</v>
      </c>
      <c r="N740" s="3">
        <v>2024010123</v>
      </c>
      <c r="O740" s="3">
        <f t="shared" si="99"/>
        <v>1.23</v>
      </c>
      <c r="P740" s="6">
        <f t="shared" si="100"/>
        <v>34132.5</v>
      </c>
      <c r="Q740" s="3" t="str">
        <f t="shared" si="101"/>
        <v>Excellent</v>
      </c>
      <c r="R740" s="3">
        <f t="shared" si="102"/>
        <v>4848</v>
      </c>
      <c r="S740" s="7">
        <f t="shared" si="103"/>
        <v>38784</v>
      </c>
      <c r="T740" s="3" t="str">
        <f t="shared" si="104"/>
        <v>High Profit</v>
      </c>
      <c r="U740" s="3" t="str">
        <f t="shared" si="105"/>
        <v>High Discount</v>
      </c>
      <c r="V740" s="3" t="str">
        <f t="shared" si="106"/>
        <v>Priority D</v>
      </c>
      <c r="W740">
        <f t="shared" si="107"/>
        <v>4162.5</v>
      </c>
      <c r="X740" t="s">
        <v>23</v>
      </c>
      <c r="Y740" t="s">
        <v>23</v>
      </c>
      <c r="Z740" t="s">
        <v>23</v>
      </c>
      <c r="AA740" t="s">
        <v>23</v>
      </c>
      <c r="AB740" t="s">
        <v>23</v>
      </c>
      <c r="AC740" t="s">
        <v>23</v>
      </c>
      <c r="AD740" t="s">
        <v>23</v>
      </c>
      <c r="AE740" t="s">
        <v>23</v>
      </c>
      <c r="AF740" t="s">
        <v>23</v>
      </c>
      <c r="AG740" t="s">
        <v>23</v>
      </c>
      <c r="AH740" t="s">
        <v>23</v>
      </c>
      <c r="AI740" t="s">
        <v>23</v>
      </c>
      <c r="AJ740" t="s">
        <v>23</v>
      </c>
    </row>
    <row r="741" spans="1:36" x14ac:dyDescent="0.35">
      <c r="A741" s="2">
        <v>1739</v>
      </c>
      <c r="B741" s="4">
        <v>44954</v>
      </c>
      <c r="C741" s="1" t="s">
        <v>30</v>
      </c>
      <c r="D741" s="1" t="s">
        <v>25</v>
      </c>
      <c r="E741">
        <v>212002</v>
      </c>
      <c r="F741">
        <v>18</v>
      </c>
      <c r="G741" s="1" t="s">
        <v>26</v>
      </c>
      <c r="H741">
        <v>29725</v>
      </c>
      <c r="I741">
        <v>34654</v>
      </c>
      <c r="J741" s="1" t="s">
        <v>33</v>
      </c>
      <c r="K741" s="3">
        <v>25</v>
      </c>
      <c r="L741" s="1" t="s">
        <v>40</v>
      </c>
      <c r="M741" s="1" t="s">
        <v>37</v>
      </c>
      <c r="N741" s="3">
        <v>2024010123</v>
      </c>
      <c r="O741" s="3">
        <f t="shared" si="99"/>
        <v>1.23</v>
      </c>
      <c r="P741" s="6">
        <f t="shared" si="100"/>
        <v>260762.46</v>
      </c>
      <c r="Q741" s="3" t="str">
        <f t="shared" si="101"/>
        <v>Excellent</v>
      </c>
      <c r="R741" s="3">
        <f t="shared" si="102"/>
        <v>4929</v>
      </c>
      <c r="S741" s="7">
        <f t="shared" si="103"/>
        <v>88722</v>
      </c>
      <c r="T741" s="3" t="str">
        <f t="shared" si="104"/>
        <v>High Profit</v>
      </c>
      <c r="U741" s="3" t="str">
        <f t="shared" si="105"/>
        <v>High Discount</v>
      </c>
      <c r="V741" s="3" t="str">
        <f t="shared" si="106"/>
        <v>Priority C</v>
      </c>
      <c r="W741">
        <f t="shared" si="107"/>
        <v>21200.2</v>
      </c>
      <c r="X741" t="s">
        <v>23</v>
      </c>
      <c r="Y741" t="s">
        <v>23</v>
      </c>
      <c r="Z741" t="s">
        <v>23</v>
      </c>
      <c r="AA741" t="s">
        <v>23</v>
      </c>
      <c r="AB741" t="s">
        <v>23</v>
      </c>
      <c r="AC741" t="s">
        <v>23</v>
      </c>
      <c r="AD741" t="s">
        <v>23</v>
      </c>
      <c r="AE741" t="s">
        <v>23</v>
      </c>
      <c r="AF741" t="s">
        <v>23</v>
      </c>
      <c r="AG741" t="s">
        <v>23</v>
      </c>
      <c r="AH741" t="s">
        <v>23</v>
      </c>
      <c r="AI741" t="s">
        <v>23</v>
      </c>
      <c r="AJ741" t="s">
        <v>23</v>
      </c>
    </row>
    <row r="742" spans="1:36" x14ac:dyDescent="0.35">
      <c r="A742" s="2">
        <v>1740</v>
      </c>
      <c r="B742" s="4">
        <v>45122</v>
      </c>
      <c r="C742" s="1" t="s">
        <v>34</v>
      </c>
      <c r="D742" s="1" t="s">
        <v>43</v>
      </c>
      <c r="E742">
        <v>244960</v>
      </c>
      <c r="F742">
        <v>12</v>
      </c>
      <c r="G742" s="1" t="s">
        <v>26</v>
      </c>
      <c r="H742">
        <v>48449</v>
      </c>
      <c r="I742">
        <v>52144</v>
      </c>
      <c r="J742" s="1" t="s">
        <v>27</v>
      </c>
      <c r="K742" s="3">
        <v>0</v>
      </c>
      <c r="L742" s="1" t="s">
        <v>40</v>
      </c>
      <c r="M742" s="1" t="s">
        <v>37</v>
      </c>
      <c r="N742" s="3">
        <v>2024010123</v>
      </c>
      <c r="O742" s="3">
        <f t="shared" si="99"/>
        <v>1.23</v>
      </c>
      <c r="P742" s="6">
        <f t="shared" si="100"/>
        <v>301300.8</v>
      </c>
      <c r="Q742" s="3" t="str">
        <f t="shared" si="101"/>
        <v>Excellent</v>
      </c>
      <c r="R742" s="3">
        <f t="shared" si="102"/>
        <v>3695</v>
      </c>
      <c r="S742" s="7">
        <f t="shared" si="103"/>
        <v>44340</v>
      </c>
      <c r="T742" s="3" t="str">
        <f t="shared" si="104"/>
        <v>High Profit</v>
      </c>
      <c r="U742" s="3" t="str">
        <f t="shared" si="105"/>
        <v>No Discount</v>
      </c>
      <c r="V742" s="3" t="str">
        <f t="shared" si="106"/>
        <v>Priority C</v>
      </c>
      <c r="W742">
        <f t="shared" si="107"/>
        <v>36744</v>
      </c>
      <c r="X742" t="s">
        <v>23</v>
      </c>
      <c r="Y742" t="s">
        <v>23</v>
      </c>
      <c r="Z742" t="s">
        <v>23</v>
      </c>
      <c r="AA742" t="s">
        <v>23</v>
      </c>
      <c r="AB742" t="s">
        <v>23</v>
      </c>
      <c r="AC742" t="s">
        <v>23</v>
      </c>
      <c r="AD742" t="s">
        <v>23</v>
      </c>
      <c r="AE742" t="s">
        <v>23</v>
      </c>
      <c r="AF742" t="s">
        <v>23</v>
      </c>
      <c r="AG742" t="s">
        <v>23</v>
      </c>
      <c r="AH742" t="s">
        <v>23</v>
      </c>
      <c r="AI742" t="s">
        <v>23</v>
      </c>
      <c r="AJ742" t="s">
        <v>23</v>
      </c>
    </row>
    <row r="743" spans="1:36" x14ac:dyDescent="0.35">
      <c r="A743" s="2">
        <v>1741</v>
      </c>
      <c r="B743" s="4">
        <v>44962</v>
      </c>
      <c r="C743" s="1" t="s">
        <v>38</v>
      </c>
      <c r="D743" s="1" t="s">
        <v>43</v>
      </c>
      <c r="E743">
        <v>215629</v>
      </c>
      <c r="F743">
        <v>4</v>
      </c>
      <c r="G743" s="1" t="s">
        <v>39</v>
      </c>
      <c r="H743">
        <v>29242</v>
      </c>
      <c r="I743">
        <v>31936</v>
      </c>
      <c r="J743" s="1" t="s">
        <v>33</v>
      </c>
      <c r="K743" s="3">
        <v>4</v>
      </c>
      <c r="L743" s="1" t="s">
        <v>36</v>
      </c>
      <c r="M743" s="1" t="s">
        <v>37</v>
      </c>
      <c r="N743" s="3">
        <v>2024010123</v>
      </c>
      <c r="O743" s="3">
        <f t="shared" si="99"/>
        <v>1.23</v>
      </c>
      <c r="P743" s="6">
        <f t="shared" si="100"/>
        <v>265223.67</v>
      </c>
      <c r="Q743" s="3" t="str">
        <f t="shared" si="101"/>
        <v>Excellent</v>
      </c>
      <c r="R743" s="3">
        <f t="shared" si="102"/>
        <v>2694</v>
      </c>
      <c r="S743" s="7">
        <f t="shared" si="103"/>
        <v>10776</v>
      </c>
      <c r="T743" s="3" t="str">
        <f t="shared" si="104"/>
        <v>High Profit</v>
      </c>
      <c r="U743" s="3" t="str">
        <f t="shared" si="105"/>
        <v>Low Discount</v>
      </c>
      <c r="V743" s="3" t="str">
        <f t="shared" si="106"/>
        <v>Priority C</v>
      </c>
      <c r="W743">
        <f t="shared" si="107"/>
        <v>21562.9</v>
      </c>
      <c r="X743" t="s">
        <v>23</v>
      </c>
      <c r="Y743" t="s">
        <v>23</v>
      </c>
      <c r="Z743" t="s">
        <v>23</v>
      </c>
      <c r="AA743" t="s">
        <v>23</v>
      </c>
      <c r="AB743" t="s">
        <v>23</v>
      </c>
      <c r="AC743" t="s">
        <v>23</v>
      </c>
      <c r="AD743" t="s">
        <v>23</v>
      </c>
      <c r="AE743" t="s">
        <v>23</v>
      </c>
      <c r="AF743" t="s">
        <v>23</v>
      </c>
      <c r="AG743" t="s">
        <v>23</v>
      </c>
      <c r="AH743" t="s">
        <v>23</v>
      </c>
      <c r="AI743" t="s">
        <v>23</v>
      </c>
      <c r="AJ743" t="s">
        <v>23</v>
      </c>
    </row>
    <row r="744" spans="1:36" x14ac:dyDescent="0.35">
      <c r="A744" s="2">
        <v>1742</v>
      </c>
      <c r="B744" s="4">
        <v>45213</v>
      </c>
      <c r="C744" s="1" t="s">
        <v>38</v>
      </c>
      <c r="D744" s="1" t="s">
        <v>42</v>
      </c>
      <c r="E744">
        <v>712890</v>
      </c>
      <c r="F744">
        <v>12</v>
      </c>
      <c r="G744" s="1" t="s">
        <v>35</v>
      </c>
      <c r="H744">
        <v>35193</v>
      </c>
      <c r="I744">
        <v>39019</v>
      </c>
      <c r="J744" s="1" t="s">
        <v>27</v>
      </c>
      <c r="K744" s="3">
        <v>3</v>
      </c>
      <c r="L744" s="1" t="s">
        <v>36</v>
      </c>
      <c r="M744" s="1" t="s">
        <v>29</v>
      </c>
      <c r="N744" s="3">
        <v>2024010123</v>
      </c>
      <c r="O744" s="3">
        <f t="shared" si="99"/>
        <v>1.23</v>
      </c>
      <c r="P744" s="6">
        <f t="shared" si="100"/>
        <v>876854.7</v>
      </c>
      <c r="Q744" s="3" t="str">
        <f t="shared" si="101"/>
        <v>Excellent</v>
      </c>
      <c r="R744" s="3">
        <f t="shared" si="102"/>
        <v>3826</v>
      </c>
      <c r="S744" s="7">
        <f t="shared" si="103"/>
        <v>45912</v>
      </c>
      <c r="T744" s="3" t="str">
        <f t="shared" si="104"/>
        <v>High Profit</v>
      </c>
      <c r="U744" s="3" t="str">
        <f t="shared" si="105"/>
        <v>Low Discount</v>
      </c>
      <c r="V744" s="3" t="str">
        <f t="shared" si="106"/>
        <v>Priority D</v>
      </c>
      <c r="W744">
        <f t="shared" si="107"/>
        <v>106933.5</v>
      </c>
      <c r="X744" t="s">
        <v>23</v>
      </c>
      <c r="Y744" t="s">
        <v>23</v>
      </c>
      <c r="Z744" t="s">
        <v>23</v>
      </c>
      <c r="AA744" t="s">
        <v>23</v>
      </c>
      <c r="AB744" t="s">
        <v>23</v>
      </c>
      <c r="AC744" t="s">
        <v>23</v>
      </c>
      <c r="AD744" t="s">
        <v>23</v>
      </c>
      <c r="AE744" t="s">
        <v>23</v>
      </c>
      <c r="AF744" t="s">
        <v>23</v>
      </c>
      <c r="AG744" t="s">
        <v>23</v>
      </c>
      <c r="AH744" t="s">
        <v>23</v>
      </c>
      <c r="AI744" t="s">
        <v>23</v>
      </c>
      <c r="AJ744" t="s">
        <v>23</v>
      </c>
    </row>
    <row r="745" spans="1:36" x14ac:dyDescent="0.35">
      <c r="A745" s="2">
        <v>1743</v>
      </c>
      <c r="B745" s="4">
        <v>45144</v>
      </c>
      <c r="C745" s="1" t="s">
        <v>34</v>
      </c>
      <c r="D745" s="1" t="s">
        <v>42</v>
      </c>
      <c r="E745">
        <v>777686</v>
      </c>
      <c r="F745">
        <v>12</v>
      </c>
      <c r="G745" s="1" t="s">
        <v>32</v>
      </c>
      <c r="H745">
        <v>29298</v>
      </c>
      <c r="I745">
        <v>31487</v>
      </c>
      <c r="J745" s="1" t="s">
        <v>33</v>
      </c>
      <c r="K745" s="3">
        <v>6</v>
      </c>
      <c r="L745" s="1" t="s">
        <v>36</v>
      </c>
      <c r="M745" s="1" t="s">
        <v>37</v>
      </c>
      <c r="N745" s="3">
        <v>2024010123</v>
      </c>
      <c r="O745" s="3">
        <f t="shared" si="99"/>
        <v>1.23</v>
      </c>
      <c r="P745" s="6">
        <f t="shared" si="100"/>
        <v>956553.78</v>
      </c>
      <c r="Q745" s="3" t="str">
        <f t="shared" si="101"/>
        <v>Excellent</v>
      </c>
      <c r="R745" s="3">
        <f t="shared" si="102"/>
        <v>2189</v>
      </c>
      <c r="S745" s="7">
        <f t="shared" si="103"/>
        <v>26268</v>
      </c>
      <c r="T745" s="3" t="str">
        <f t="shared" si="104"/>
        <v>High Profit</v>
      </c>
      <c r="U745" s="3" t="str">
        <f t="shared" si="105"/>
        <v>Medium Discount</v>
      </c>
      <c r="V745" s="3" t="str">
        <f t="shared" si="106"/>
        <v>Priority C</v>
      </c>
      <c r="W745">
        <f t="shared" si="107"/>
        <v>77768.600000000006</v>
      </c>
      <c r="X745" t="s">
        <v>23</v>
      </c>
      <c r="Y745" t="s">
        <v>23</v>
      </c>
      <c r="Z745" t="s">
        <v>23</v>
      </c>
      <c r="AA745" t="s">
        <v>23</v>
      </c>
      <c r="AB745" t="s">
        <v>23</v>
      </c>
      <c r="AC745" t="s">
        <v>23</v>
      </c>
      <c r="AD745" t="s">
        <v>23</v>
      </c>
      <c r="AE745" t="s">
        <v>23</v>
      </c>
      <c r="AF745" t="s">
        <v>23</v>
      </c>
      <c r="AG745" t="s">
        <v>23</v>
      </c>
      <c r="AH745" t="s">
        <v>23</v>
      </c>
      <c r="AI745" t="s">
        <v>23</v>
      </c>
      <c r="AJ745" t="s">
        <v>23</v>
      </c>
    </row>
    <row r="746" spans="1:36" x14ac:dyDescent="0.35">
      <c r="A746" s="2">
        <v>1744</v>
      </c>
      <c r="B746" s="4">
        <v>45246</v>
      </c>
      <c r="C746" s="1" t="s">
        <v>24</v>
      </c>
      <c r="D746" s="1" t="s">
        <v>43</v>
      </c>
      <c r="E746">
        <v>372301</v>
      </c>
      <c r="F746">
        <v>11</v>
      </c>
      <c r="G746" s="1" t="s">
        <v>26</v>
      </c>
      <c r="H746">
        <v>49095</v>
      </c>
      <c r="I746">
        <v>51665</v>
      </c>
      <c r="J746" s="1" t="s">
        <v>33</v>
      </c>
      <c r="K746" s="3">
        <v>10</v>
      </c>
      <c r="L746" s="1" t="s">
        <v>36</v>
      </c>
      <c r="M746" s="1" t="s">
        <v>29</v>
      </c>
      <c r="N746" s="3">
        <v>2024010123</v>
      </c>
      <c r="O746" s="3">
        <f t="shared" si="99"/>
        <v>1.23</v>
      </c>
      <c r="P746" s="6">
        <f t="shared" si="100"/>
        <v>457930.23</v>
      </c>
      <c r="Q746" s="3" t="str">
        <f t="shared" si="101"/>
        <v>Excellent</v>
      </c>
      <c r="R746" s="3">
        <f t="shared" si="102"/>
        <v>2570</v>
      </c>
      <c r="S746" s="7">
        <f t="shared" si="103"/>
        <v>28270</v>
      </c>
      <c r="T746" s="3" t="str">
        <f t="shared" si="104"/>
        <v>High Profit</v>
      </c>
      <c r="U746" s="3" t="str">
        <f t="shared" si="105"/>
        <v>Medium Discount</v>
      </c>
      <c r="V746" s="3" t="str">
        <f t="shared" si="106"/>
        <v>Priority D</v>
      </c>
      <c r="W746">
        <f t="shared" si="107"/>
        <v>37230.1</v>
      </c>
      <c r="X746" t="s">
        <v>23</v>
      </c>
      <c r="Y746" t="s">
        <v>23</v>
      </c>
      <c r="Z746" t="s">
        <v>23</v>
      </c>
      <c r="AA746" t="s">
        <v>23</v>
      </c>
      <c r="AB746" t="s">
        <v>23</v>
      </c>
      <c r="AC746" t="s">
        <v>23</v>
      </c>
      <c r="AD746" t="s">
        <v>23</v>
      </c>
      <c r="AE746" t="s">
        <v>23</v>
      </c>
      <c r="AF746" t="s">
        <v>23</v>
      </c>
      <c r="AG746" t="s">
        <v>23</v>
      </c>
      <c r="AH746" t="s">
        <v>23</v>
      </c>
      <c r="AI746" t="s">
        <v>23</v>
      </c>
      <c r="AJ746" t="s">
        <v>23</v>
      </c>
    </row>
    <row r="747" spans="1:36" x14ac:dyDescent="0.35">
      <c r="A747" s="2">
        <v>1745</v>
      </c>
      <c r="B747" s="4">
        <v>44985</v>
      </c>
      <c r="C747" s="1" t="s">
        <v>34</v>
      </c>
      <c r="D747" s="1" t="s">
        <v>25</v>
      </c>
      <c r="E747">
        <v>290788</v>
      </c>
      <c r="F747">
        <v>12</v>
      </c>
      <c r="G747" s="1" t="s">
        <v>32</v>
      </c>
      <c r="H747">
        <v>42507</v>
      </c>
      <c r="I747">
        <v>47005</v>
      </c>
      <c r="J747" s="1" t="s">
        <v>33</v>
      </c>
      <c r="K747" s="3">
        <v>7</v>
      </c>
      <c r="L747" s="1" t="s">
        <v>36</v>
      </c>
      <c r="M747" s="1" t="s">
        <v>37</v>
      </c>
      <c r="N747" s="3">
        <v>2024010123</v>
      </c>
      <c r="O747" s="3">
        <f t="shared" si="99"/>
        <v>1.23</v>
      </c>
      <c r="P747" s="6">
        <f t="shared" si="100"/>
        <v>357669.24</v>
      </c>
      <c r="Q747" s="3" t="str">
        <f t="shared" si="101"/>
        <v>Excellent</v>
      </c>
      <c r="R747" s="3">
        <f t="shared" si="102"/>
        <v>4498</v>
      </c>
      <c r="S747" s="7">
        <f t="shared" si="103"/>
        <v>53976</v>
      </c>
      <c r="T747" s="3" t="str">
        <f t="shared" si="104"/>
        <v>High Profit</v>
      </c>
      <c r="U747" s="3" t="str">
        <f t="shared" si="105"/>
        <v>Medium Discount</v>
      </c>
      <c r="V747" s="3" t="str">
        <f t="shared" si="106"/>
        <v>Priority C</v>
      </c>
      <c r="W747">
        <f t="shared" si="107"/>
        <v>29078.800000000003</v>
      </c>
      <c r="X747" t="s">
        <v>23</v>
      </c>
      <c r="Y747" t="s">
        <v>23</v>
      </c>
      <c r="Z747" t="s">
        <v>23</v>
      </c>
      <c r="AA747" t="s">
        <v>23</v>
      </c>
      <c r="AB747" t="s">
        <v>23</v>
      </c>
      <c r="AC747" t="s">
        <v>23</v>
      </c>
      <c r="AD747" t="s">
        <v>23</v>
      </c>
      <c r="AE747" t="s">
        <v>23</v>
      </c>
      <c r="AF747" t="s">
        <v>23</v>
      </c>
      <c r="AG747" t="s">
        <v>23</v>
      </c>
      <c r="AH747" t="s">
        <v>23</v>
      </c>
      <c r="AI747" t="s">
        <v>23</v>
      </c>
      <c r="AJ747" t="s">
        <v>23</v>
      </c>
    </row>
    <row r="748" spans="1:36" x14ac:dyDescent="0.35">
      <c r="A748" s="2">
        <v>1746</v>
      </c>
      <c r="B748" s="4">
        <v>45068</v>
      </c>
      <c r="C748" s="1" t="s">
        <v>34</v>
      </c>
      <c r="D748" s="1" t="s">
        <v>42</v>
      </c>
      <c r="E748">
        <v>436346</v>
      </c>
      <c r="F748">
        <v>12</v>
      </c>
      <c r="G748" s="1" t="s">
        <v>32</v>
      </c>
      <c r="H748">
        <v>29721</v>
      </c>
      <c r="I748">
        <v>32068</v>
      </c>
      <c r="J748" s="1" t="s">
        <v>27</v>
      </c>
      <c r="K748" s="3">
        <v>15</v>
      </c>
      <c r="L748" s="1" t="s">
        <v>36</v>
      </c>
      <c r="M748" s="1" t="s">
        <v>29</v>
      </c>
      <c r="N748" s="3">
        <v>2024010123</v>
      </c>
      <c r="O748" s="3">
        <f t="shared" si="99"/>
        <v>1.23</v>
      </c>
      <c r="P748" s="6">
        <f t="shared" si="100"/>
        <v>536705.57999999996</v>
      </c>
      <c r="Q748" s="3" t="str">
        <f t="shared" si="101"/>
        <v>Excellent</v>
      </c>
      <c r="R748" s="3">
        <f t="shared" si="102"/>
        <v>2347</v>
      </c>
      <c r="S748" s="7">
        <f t="shared" si="103"/>
        <v>28164</v>
      </c>
      <c r="T748" s="3" t="str">
        <f t="shared" si="104"/>
        <v>High Profit</v>
      </c>
      <c r="U748" s="3" t="str">
        <f t="shared" si="105"/>
        <v>High Discount</v>
      </c>
      <c r="V748" s="3" t="str">
        <f t="shared" si="106"/>
        <v>Priority D</v>
      </c>
      <c r="W748">
        <f t="shared" si="107"/>
        <v>65451.899999999994</v>
      </c>
      <c r="X748" t="s">
        <v>23</v>
      </c>
      <c r="Y748" t="s">
        <v>23</v>
      </c>
      <c r="Z748" t="s">
        <v>23</v>
      </c>
      <c r="AA748" t="s">
        <v>23</v>
      </c>
      <c r="AB748" t="s">
        <v>23</v>
      </c>
      <c r="AC748" t="s">
        <v>23</v>
      </c>
      <c r="AD748" t="s">
        <v>23</v>
      </c>
      <c r="AE748" t="s">
        <v>23</v>
      </c>
      <c r="AF748" t="s">
        <v>23</v>
      </c>
      <c r="AG748" t="s">
        <v>23</v>
      </c>
      <c r="AH748" t="s">
        <v>23</v>
      </c>
      <c r="AI748" t="s">
        <v>23</v>
      </c>
      <c r="AJ748" t="s">
        <v>23</v>
      </c>
    </row>
    <row r="749" spans="1:36" x14ac:dyDescent="0.35">
      <c r="A749" s="2">
        <v>1747</v>
      </c>
      <c r="B749" s="4">
        <v>45053</v>
      </c>
      <c r="C749" s="1" t="s">
        <v>41</v>
      </c>
      <c r="D749" s="1" t="s">
        <v>43</v>
      </c>
      <c r="E749">
        <v>68655</v>
      </c>
      <c r="F749">
        <v>11</v>
      </c>
      <c r="G749" s="1" t="s">
        <v>26</v>
      </c>
      <c r="H749">
        <v>33905</v>
      </c>
      <c r="I749">
        <v>38125</v>
      </c>
      <c r="J749" s="1" t="s">
        <v>33</v>
      </c>
      <c r="K749" s="3">
        <v>16</v>
      </c>
      <c r="L749" s="1" t="s">
        <v>40</v>
      </c>
      <c r="M749" s="1" t="s">
        <v>37</v>
      </c>
      <c r="N749" s="3">
        <v>2024010123</v>
      </c>
      <c r="O749" s="3">
        <f t="shared" si="99"/>
        <v>1.23</v>
      </c>
      <c r="P749" s="6">
        <f t="shared" si="100"/>
        <v>84445.65</v>
      </c>
      <c r="Q749" s="3" t="str">
        <f t="shared" si="101"/>
        <v>Excellent</v>
      </c>
      <c r="R749" s="3">
        <f t="shared" si="102"/>
        <v>4220</v>
      </c>
      <c r="S749" s="7">
        <f t="shared" si="103"/>
        <v>46420</v>
      </c>
      <c r="T749" s="3" t="str">
        <f t="shared" si="104"/>
        <v>High Profit</v>
      </c>
      <c r="U749" s="3" t="str">
        <f t="shared" si="105"/>
        <v>High Discount</v>
      </c>
      <c r="V749" s="3" t="str">
        <f t="shared" si="106"/>
        <v>Priority C</v>
      </c>
      <c r="W749">
        <f t="shared" si="107"/>
        <v>6865.5</v>
      </c>
      <c r="X749" t="s">
        <v>23</v>
      </c>
      <c r="Y749" t="s">
        <v>23</v>
      </c>
      <c r="Z749" t="s">
        <v>23</v>
      </c>
      <c r="AA749" t="s">
        <v>23</v>
      </c>
      <c r="AB749" t="s">
        <v>23</v>
      </c>
      <c r="AC749" t="s">
        <v>23</v>
      </c>
      <c r="AD749" t="s">
        <v>23</v>
      </c>
      <c r="AE749" t="s">
        <v>23</v>
      </c>
      <c r="AF749" t="s">
        <v>23</v>
      </c>
      <c r="AG749" t="s">
        <v>23</v>
      </c>
      <c r="AH749" t="s">
        <v>23</v>
      </c>
      <c r="AI749" t="s">
        <v>23</v>
      </c>
      <c r="AJ749" t="s">
        <v>23</v>
      </c>
    </row>
    <row r="750" spans="1:36" x14ac:dyDescent="0.35">
      <c r="A750" s="2">
        <v>1748</v>
      </c>
      <c r="B750" s="4">
        <v>45120</v>
      </c>
      <c r="C750" s="1" t="s">
        <v>24</v>
      </c>
      <c r="D750" s="1" t="s">
        <v>31</v>
      </c>
      <c r="E750">
        <v>112905</v>
      </c>
      <c r="F750">
        <v>12</v>
      </c>
      <c r="G750" s="1" t="s">
        <v>39</v>
      </c>
      <c r="H750">
        <v>30200</v>
      </c>
      <c r="I750">
        <v>33595</v>
      </c>
      <c r="J750" s="1" t="s">
        <v>33</v>
      </c>
      <c r="K750" s="3">
        <v>16</v>
      </c>
      <c r="L750" s="1" t="s">
        <v>40</v>
      </c>
      <c r="M750" s="1" t="s">
        <v>29</v>
      </c>
      <c r="N750" s="3">
        <v>2024010123</v>
      </c>
      <c r="O750" s="3">
        <f t="shared" si="99"/>
        <v>1.23</v>
      </c>
      <c r="P750" s="6">
        <f t="shared" si="100"/>
        <v>138873.15</v>
      </c>
      <c r="Q750" s="3" t="str">
        <f t="shared" si="101"/>
        <v>Excellent</v>
      </c>
      <c r="R750" s="3">
        <f t="shared" si="102"/>
        <v>3395</v>
      </c>
      <c r="S750" s="7">
        <f t="shared" si="103"/>
        <v>40740</v>
      </c>
      <c r="T750" s="3" t="str">
        <f t="shared" si="104"/>
        <v>High Profit</v>
      </c>
      <c r="U750" s="3" t="str">
        <f t="shared" si="105"/>
        <v>High Discount</v>
      </c>
      <c r="V750" s="3" t="str">
        <f t="shared" si="106"/>
        <v>Priority D</v>
      </c>
      <c r="W750">
        <f t="shared" si="107"/>
        <v>11290.5</v>
      </c>
      <c r="X750" t="s">
        <v>23</v>
      </c>
      <c r="Y750" t="s">
        <v>23</v>
      </c>
      <c r="Z750" t="s">
        <v>23</v>
      </c>
      <c r="AA750" t="s">
        <v>23</v>
      </c>
      <c r="AB750" t="s">
        <v>23</v>
      </c>
      <c r="AC750" t="s">
        <v>23</v>
      </c>
      <c r="AD750" t="s">
        <v>23</v>
      </c>
      <c r="AE750" t="s">
        <v>23</v>
      </c>
      <c r="AF750" t="s">
        <v>23</v>
      </c>
      <c r="AG750" t="s">
        <v>23</v>
      </c>
      <c r="AH750" t="s">
        <v>23</v>
      </c>
      <c r="AI750" t="s">
        <v>23</v>
      </c>
      <c r="AJ750" t="s">
        <v>23</v>
      </c>
    </row>
    <row r="751" spans="1:36" x14ac:dyDescent="0.35">
      <c r="A751" s="2">
        <v>1749</v>
      </c>
      <c r="B751" s="4">
        <v>44994</v>
      </c>
      <c r="C751" s="1" t="s">
        <v>24</v>
      </c>
      <c r="D751" s="1" t="s">
        <v>31</v>
      </c>
      <c r="E751">
        <v>955840</v>
      </c>
      <c r="F751">
        <v>12</v>
      </c>
      <c r="G751" s="1" t="s">
        <v>35</v>
      </c>
      <c r="H751">
        <v>43552</v>
      </c>
      <c r="I751">
        <v>47900</v>
      </c>
      <c r="J751" s="1" t="s">
        <v>27</v>
      </c>
      <c r="K751" s="3">
        <v>17</v>
      </c>
      <c r="L751" s="1" t="s">
        <v>36</v>
      </c>
      <c r="M751" s="1" t="s">
        <v>29</v>
      </c>
      <c r="N751" s="3">
        <v>2024010123</v>
      </c>
      <c r="O751" s="3">
        <f t="shared" si="99"/>
        <v>1.23</v>
      </c>
      <c r="P751" s="6">
        <f t="shared" si="100"/>
        <v>1175683.2</v>
      </c>
      <c r="Q751" s="3" t="str">
        <f t="shared" si="101"/>
        <v>Excellent</v>
      </c>
      <c r="R751" s="3">
        <f t="shared" si="102"/>
        <v>4348</v>
      </c>
      <c r="S751" s="7">
        <f t="shared" si="103"/>
        <v>52176</v>
      </c>
      <c r="T751" s="3" t="str">
        <f t="shared" si="104"/>
        <v>High Profit</v>
      </c>
      <c r="U751" s="3" t="str">
        <f t="shared" si="105"/>
        <v>High Discount</v>
      </c>
      <c r="V751" s="3" t="str">
        <f t="shared" si="106"/>
        <v>Priority D</v>
      </c>
      <c r="W751">
        <f t="shared" si="107"/>
        <v>143376</v>
      </c>
      <c r="X751" t="s">
        <v>23</v>
      </c>
      <c r="Y751" t="s">
        <v>23</v>
      </c>
      <c r="Z751" t="s">
        <v>23</v>
      </c>
      <c r="AA751" t="s">
        <v>23</v>
      </c>
      <c r="AB751" t="s">
        <v>23</v>
      </c>
      <c r="AC751" t="s">
        <v>23</v>
      </c>
      <c r="AD751" t="s">
        <v>23</v>
      </c>
      <c r="AE751" t="s">
        <v>23</v>
      </c>
      <c r="AF751" t="s">
        <v>23</v>
      </c>
      <c r="AG751" t="s">
        <v>23</v>
      </c>
      <c r="AH751" t="s">
        <v>23</v>
      </c>
      <c r="AI751" t="s">
        <v>23</v>
      </c>
      <c r="AJ751" t="s">
        <v>23</v>
      </c>
    </row>
    <row r="752" spans="1:36" x14ac:dyDescent="0.35">
      <c r="A752" s="2">
        <v>1750</v>
      </c>
      <c r="B752" s="4">
        <v>44960</v>
      </c>
      <c r="C752" s="1" t="s">
        <v>24</v>
      </c>
      <c r="D752" s="1" t="s">
        <v>43</v>
      </c>
      <c r="E752">
        <v>560302</v>
      </c>
      <c r="F752">
        <v>40</v>
      </c>
      <c r="G752" s="1" t="s">
        <v>39</v>
      </c>
      <c r="H752">
        <v>26489</v>
      </c>
      <c r="I752">
        <v>37589</v>
      </c>
      <c r="J752" s="1" t="s">
        <v>33</v>
      </c>
      <c r="K752" s="3">
        <v>0</v>
      </c>
      <c r="L752" s="1" t="s">
        <v>28</v>
      </c>
      <c r="M752" s="1" t="s">
        <v>37</v>
      </c>
      <c r="N752" s="3">
        <v>2024010123</v>
      </c>
      <c r="O752" s="3">
        <f t="shared" si="99"/>
        <v>1.23</v>
      </c>
      <c r="P752" s="6">
        <f t="shared" si="100"/>
        <v>689171.46</v>
      </c>
      <c r="Q752" s="3" t="str">
        <f t="shared" si="101"/>
        <v>Excellent</v>
      </c>
      <c r="R752" s="3">
        <f t="shared" si="102"/>
        <v>11100</v>
      </c>
      <c r="S752" s="7">
        <f t="shared" si="103"/>
        <v>444000</v>
      </c>
      <c r="T752" s="3" t="str">
        <f t="shared" si="104"/>
        <v>High Profit</v>
      </c>
      <c r="U752" s="3" t="str">
        <f t="shared" si="105"/>
        <v>No Discount</v>
      </c>
      <c r="V752" s="3" t="str">
        <f t="shared" si="106"/>
        <v>Priority A</v>
      </c>
      <c r="W752">
        <f t="shared" si="107"/>
        <v>56030.200000000004</v>
      </c>
      <c r="X752" t="s">
        <v>23</v>
      </c>
      <c r="Y752" t="s">
        <v>23</v>
      </c>
      <c r="Z752" t="s">
        <v>23</v>
      </c>
      <c r="AA752" t="s">
        <v>23</v>
      </c>
      <c r="AB752" t="s">
        <v>23</v>
      </c>
      <c r="AC752" t="s">
        <v>23</v>
      </c>
      <c r="AD752" t="s">
        <v>23</v>
      </c>
      <c r="AE752" t="s">
        <v>23</v>
      </c>
      <c r="AF752" t="s">
        <v>23</v>
      </c>
      <c r="AG752" t="s">
        <v>23</v>
      </c>
      <c r="AH752" t="s">
        <v>23</v>
      </c>
      <c r="AI752" t="s">
        <v>23</v>
      </c>
      <c r="AJ752" t="s">
        <v>23</v>
      </c>
    </row>
    <row r="753" spans="1:36" x14ac:dyDescent="0.35">
      <c r="A753" s="2">
        <v>1751</v>
      </c>
      <c r="B753" s="4">
        <v>45134</v>
      </c>
      <c r="C753" s="1" t="s">
        <v>38</v>
      </c>
      <c r="D753" s="1" t="s">
        <v>31</v>
      </c>
      <c r="E753">
        <v>234704</v>
      </c>
      <c r="F753">
        <v>44</v>
      </c>
      <c r="G753" s="1" t="s">
        <v>35</v>
      </c>
      <c r="H753">
        <v>14195</v>
      </c>
      <c r="I753">
        <v>20652</v>
      </c>
      <c r="J753" s="1" t="s">
        <v>33</v>
      </c>
      <c r="K753" s="3">
        <v>3</v>
      </c>
      <c r="L753" s="1" t="s">
        <v>40</v>
      </c>
      <c r="M753" s="1" t="s">
        <v>37</v>
      </c>
      <c r="N753" s="3">
        <v>2024010123</v>
      </c>
      <c r="O753" s="3">
        <f t="shared" si="99"/>
        <v>1.23</v>
      </c>
      <c r="P753" s="6">
        <f t="shared" si="100"/>
        <v>288685.92</v>
      </c>
      <c r="Q753" s="3" t="str">
        <f t="shared" si="101"/>
        <v>Excellent</v>
      </c>
      <c r="R753" s="3">
        <f t="shared" si="102"/>
        <v>6457</v>
      </c>
      <c r="S753" s="7">
        <f t="shared" si="103"/>
        <v>284108</v>
      </c>
      <c r="T753" s="3" t="str">
        <f t="shared" si="104"/>
        <v>High Profit</v>
      </c>
      <c r="U753" s="3" t="str">
        <f t="shared" si="105"/>
        <v>Low Discount</v>
      </c>
      <c r="V753" s="3" t="str">
        <f t="shared" si="106"/>
        <v>Priority C</v>
      </c>
      <c r="W753">
        <f t="shared" si="107"/>
        <v>23470.400000000001</v>
      </c>
      <c r="X753" t="s">
        <v>23</v>
      </c>
      <c r="Y753" t="s">
        <v>23</v>
      </c>
      <c r="Z753" t="s">
        <v>23</v>
      </c>
      <c r="AA753" t="s">
        <v>23</v>
      </c>
      <c r="AB753" t="s">
        <v>23</v>
      </c>
      <c r="AC753" t="s">
        <v>23</v>
      </c>
      <c r="AD753" t="s">
        <v>23</v>
      </c>
      <c r="AE753" t="s">
        <v>23</v>
      </c>
      <c r="AF753" t="s">
        <v>23</v>
      </c>
      <c r="AG753" t="s">
        <v>23</v>
      </c>
      <c r="AH753" t="s">
        <v>23</v>
      </c>
      <c r="AI753" t="s">
        <v>23</v>
      </c>
      <c r="AJ753" t="s">
        <v>23</v>
      </c>
    </row>
    <row r="754" spans="1:36" x14ac:dyDescent="0.35">
      <c r="A754" s="2">
        <v>1752</v>
      </c>
      <c r="B754" s="4">
        <v>45160</v>
      </c>
      <c r="C754" s="1" t="s">
        <v>24</v>
      </c>
      <c r="D754" s="1" t="s">
        <v>42</v>
      </c>
      <c r="E754">
        <v>855024</v>
      </c>
      <c r="F754">
        <v>12</v>
      </c>
      <c r="G754" s="1" t="s">
        <v>32</v>
      </c>
      <c r="H754">
        <v>15334</v>
      </c>
      <c r="I754">
        <v>27753</v>
      </c>
      <c r="J754" s="1" t="s">
        <v>27</v>
      </c>
      <c r="K754" s="3">
        <v>3</v>
      </c>
      <c r="L754" s="1" t="s">
        <v>40</v>
      </c>
      <c r="M754" s="1" t="s">
        <v>29</v>
      </c>
      <c r="N754" s="3">
        <v>2024010123</v>
      </c>
      <c r="O754" s="3">
        <f t="shared" si="99"/>
        <v>1.23</v>
      </c>
      <c r="P754" s="6">
        <f t="shared" si="100"/>
        <v>1051679.52</v>
      </c>
      <c r="Q754" s="3" t="str">
        <f t="shared" si="101"/>
        <v>Excellent</v>
      </c>
      <c r="R754" s="3">
        <f t="shared" si="102"/>
        <v>12419</v>
      </c>
      <c r="S754" s="7">
        <f t="shared" si="103"/>
        <v>149028</v>
      </c>
      <c r="T754" s="3" t="str">
        <f t="shared" si="104"/>
        <v>High Profit</v>
      </c>
      <c r="U754" s="3" t="str">
        <f t="shared" si="105"/>
        <v>Low Discount</v>
      </c>
      <c r="V754" s="3" t="str">
        <f t="shared" si="106"/>
        <v>Priority D</v>
      </c>
      <c r="W754">
        <f t="shared" si="107"/>
        <v>128253.59999999999</v>
      </c>
      <c r="X754" t="s">
        <v>23</v>
      </c>
      <c r="Y754" t="s">
        <v>23</v>
      </c>
      <c r="Z754" t="s">
        <v>23</v>
      </c>
      <c r="AA754" t="s">
        <v>23</v>
      </c>
      <c r="AB754" t="s">
        <v>23</v>
      </c>
      <c r="AC754" t="s">
        <v>23</v>
      </c>
      <c r="AD754" t="s">
        <v>23</v>
      </c>
      <c r="AE754" t="s">
        <v>23</v>
      </c>
      <c r="AF754" t="s">
        <v>23</v>
      </c>
      <c r="AG754" t="s">
        <v>23</v>
      </c>
      <c r="AH754" t="s">
        <v>23</v>
      </c>
      <c r="AI754" t="s">
        <v>23</v>
      </c>
      <c r="AJ754" t="s">
        <v>23</v>
      </c>
    </row>
    <row r="755" spans="1:36" x14ac:dyDescent="0.35">
      <c r="A755" s="2">
        <v>1753</v>
      </c>
      <c r="B755" s="4">
        <v>45036</v>
      </c>
      <c r="C755" s="1" t="s">
        <v>38</v>
      </c>
      <c r="D755" s="1" t="s">
        <v>25</v>
      </c>
      <c r="E755">
        <v>800177</v>
      </c>
      <c r="F755">
        <v>43</v>
      </c>
      <c r="G755" s="1" t="s">
        <v>35</v>
      </c>
      <c r="H755">
        <v>26969</v>
      </c>
      <c r="I755">
        <v>34010</v>
      </c>
      <c r="J755" s="1" t="s">
        <v>33</v>
      </c>
      <c r="K755" s="3">
        <v>14</v>
      </c>
      <c r="L755" s="1" t="s">
        <v>40</v>
      </c>
      <c r="M755" s="1" t="s">
        <v>29</v>
      </c>
      <c r="N755" s="3">
        <v>2024010123</v>
      </c>
      <c r="O755" s="3">
        <f t="shared" si="99"/>
        <v>1.23</v>
      </c>
      <c r="P755" s="6">
        <f t="shared" si="100"/>
        <v>984217.71</v>
      </c>
      <c r="Q755" s="3" t="str">
        <f t="shared" si="101"/>
        <v>Excellent</v>
      </c>
      <c r="R755" s="3">
        <f t="shared" si="102"/>
        <v>7041</v>
      </c>
      <c r="S755" s="7">
        <f t="shared" si="103"/>
        <v>302763</v>
      </c>
      <c r="T755" s="3" t="str">
        <f t="shared" si="104"/>
        <v>High Profit</v>
      </c>
      <c r="U755" s="3" t="str">
        <f t="shared" si="105"/>
        <v>Medium Discount</v>
      </c>
      <c r="V755" s="3" t="str">
        <f t="shared" si="106"/>
        <v>Priority C</v>
      </c>
      <c r="W755">
        <f t="shared" si="107"/>
        <v>80017.700000000012</v>
      </c>
      <c r="X755" t="s">
        <v>23</v>
      </c>
      <c r="Y755" t="s">
        <v>23</v>
      </c>
      <c r="Z755" t="s">
        <v>23</v>
      </c>
      <c r="AA755" t="s">
        <v>23</v>
      </c>
      <c r="AB755" t="s">
        <v>23</v>
      </c>
      <c r="AC755" t="s">
        <v>23</v>
      </c>
      <c r="AD755" t="s">
        <v>23</v>
      </c>
      <c r="AE755" t="s">
        <v>23</v>
      </c>
      <c r="AF755" t="s">
        <v>23</v>
      </c>
      <c r="AG755" t="s">
        <v>23</v>
      </c>
      <c r="AH755" t="s">
        <v>23</v>
      </c>
      <c r="AI755" t="s">
        <v>23</v>
      </c>
      <c r="AJ755" t="s">
        <v>23</v>
      </c>
    </row>
    <row r="756" spans="1:36" x14ac:dyDescent="0.35">
      <c r="A756" s="2">
        <v>1754</v>
      </c>
      <c r="B756" s="4">
        <v>45232</v>
      </c>
      <c r="C756" s="1" t="s">
        <v>30</v>
      </c>
      <c r="D756" s="1" t="s">
        <v>42</v>
      </c>
      <c r="E756">
        <v>534163</v>
      </c>
      <c r="F756">
        <v>28</v>
      </c>
      <c r="G756" s="1" t="s">
        <v>32</v>
      </c>
      <c r="H756">
        <v>14779</v>
      </c>
      <c r="I756">
        <v>20975</v>
      </c>
      <c r="J756" s="1" t="s">
        <v>27</v>
      </c>
      <c r="K756" s="3">
        <v>7</v>
      </c>
      <c r="L756" s="1" t="s">
        <v>36</v>
      </c>
      <c r="M756" s="1" t="s">
        <v>29</v>
      </c>
      <c r="N756" s="3">
        <v>2024010123</v>
      </c>
      <c r="O756" s="3">
        <f t="shared" si="99"/>
        <v>1.23</v>
      </c>
      <c r="P756" s="6">
        <f t="shared" si="100"/>
        <v>657020.49</v>
      </c>
      <c r="Q756" s="3" t="str">
        <f t="shared" si="101"/>
        <v>Excellent</v>
      </c>
      <c r="R756" s="3">
        <f t="shared" si="102"/>
        <v>6196</v>
      </c>
      <c r="S756" s="7">
        <f t="shared" si="103"/>
        <v>173488</v>
      </c>
      <c r="T756" s="3" t="str">
        <f t="shared" si="104"/>
        <v>High Profit</v>
      </c>
      <c r="U756" s="3" t="str">
        <f t="shared" si="105"/>
        <v>Medium Discount</v>
      </c>
      <c r="V756" s="3" t="str">
        <f t="shared" si="106"/>
        <v>Priority B</v>
      </c>
      <c r="W756">
        <f t="shared" si="107"/>
        <v>80124.45</v>
      </c>
      <c r="X756" t="s">
        <v>23</v>
      </c>
      <c r="Y756" t="s">
        <v>23</v>
      </c>
      <c r="Z756" t="s">
        <v>23</v>
      </c>
      <c r="AA756" t="s">
        <v>23</v>
      </c>
      <c r="AB756" t="s">
        <v>23</v>
      </c>
      <c r="AC756" t="s">
        <v>23</v>
      </c>
      <c r="AD756" t="s">
        <v>23</v>
      </c>
      <c r="AE756" t="s">
        <v>23</v>
      </c>
      <c r="AF756" t="s">
        <v>23</v>
      </c>
      <c r="AG756" t="s">
        <v>23</v>
      </c>
      <c r="AH756" t="s">
        <v>23</v>
      </c>
      <c r="AI756" t="s">
        <v>23</v>
      </c>
      <c r="AJ756" t="s">
        <v>23</v>
      </c>
    </row>
    <row r="757" spans="1:36" x14ac:dyDescent="0.35">
      <c r="A757" s="2">
        <v>1755</v>
      </c>
      <c r="B757" s="4">
        <v>45150</v>
      </c>
      <c r="C757" s="1" t="s">
        <v>24</v>
      </c>
      <c r="D757" s="1" t="s">
        <v>42</v>
      </c>
      <c r="E757">
        <v>136232</v>
      </c>
      <c r="F757">
        <v>39</v>
      </c>
      <c r="G757" s="1" t="s">
        <v>35</v>
      </c>
      <c r="H757">
        <v>10124</v>
      </c>
      <c r="I757">
        <v>20314</v>
      </c>
      <c r="J757" s="1" t="s">
        <v>27</v>
      </c>
      <c r="K757" s="3">
        <v>6</v>
      </c>
      <c r="L757" s="1" t="s">
        <v>36</v>
      </c>
      <c r="M757" s="1" t="s">
        <v>37</v>
      </c>
      <c r="N757" s="3">
        <v>2024010123</v>
      </c>
      <c r="O757" s="3">
        <f t="shared" si="99"/>
        <v>1.23</v>
      </c>
      <c r="P757" s="6">
        <f t="shared" si="100"/>
        <v>167565.35999999999</v>
      </c>
      <c r="Q757" s="3" t="str">
        <f t="shared" si="101"/>
        <v>Excellent</v>
      </c>
      <c r="R757" s="3">
        <f t="shared" si="102"/>
        <v>10190</v>
      </c>
      <c r="S757" s="7">
        <f t="shared" si="103"/>
        <v>397410</v>
      </c>
      <c r="T757" s="3" t="str">
        <f t="shared" si="104"/>
        <v>High Profit</v>
      </c>
      <c r="U757" s="3" t="str">
        <f t="shared" si="105"/>
        <v>Medium Discount</v>
      </c>
      <c r="V757" s="3" t="str">
        <f t="shared" si="106"/>
        <v>Priority C</v>
      </c>
      <c r="W757">
        <f t="shared" si="107"/>
        <v>20434.8</v>
      </c>
      <c r="X757" t="s">
        <v>23</v>
      </c>
      <c r="Y757" t="s">
        <v>23</v>
      </c>
      <c r="Z757" t="s">
        <v>23</v>
      </c>
      <c r="AA757" t="s">
        <v>23</v>
      </c>
      <c r="AB757" t="s">
        <v>23</v>
      </c>
      <c r="AC757" t="s">
        <v>23</v>
      </c>
      <c r="AD757" t="s">
        <v>23</v>
      </c>
      <c r="AE757" t="s">
        <v>23</v>
      </c>
      <c r="AF757" t="s">
        <v>23</v>
      </c>
      <c r="AG757" t="s">
        <v>23</v>
      </c>
      <c r="AH757" t="s">
        <v>23</v>
      </c>
      <c r="AI757" t="s">
        <v>23</v>
      </c>
      <c r="AJ757" t="s">
        <v>23</v>
      </c>
    </row>
    <row r="758" spans="1:36" x14ac:dyDescent="0.35">
      <c r="A758" s="2">
        <v>1756</v>
      </c>
      <c r="B758" s="4">
        <v>45186</v>
      </c>
      <c r="C758" s="1" t="s">
        <v>34</v>
      </c>
      <c r="D758" s="1" t="s">
        <v>42</v>
      </c>
      <c r="E758">
        <v>700768</v>
      </c>
      <c r="F758">
        <v>20</v>
      </c>
      <c r="G758" s="1" t="s">
        <v>32</v>
      </c>
      <c r="H758">
        <v>17148</v>
      </c>
      <c r="I758">
        <v>27474</v>
      </c>
      <c r="J758" s="1" t="s">
        <v>27</v>
      </c>
      <c r="K758" s="3">
        <v>25</v>
      </c>
      <c r="L758" s="1" t="s">
        <v>28</v>
      </c>
      <c r="M758" s="1" t="s">
        <v>29</v>
      </c>
      <c r="N758" s="3">
        <v>2024010123</v>
      </c>
      <c r="O758" s="3">
        <f t="shared" si="99"/>
        <v>1.23</v>
      </c>
      <c r="P758" s="6">
        <f t="shared" si="100"/>
        <v>861944.64</v>
      </c>
      <c r="Q758" s="3" t="str">
        <f t="shared" si="101"/>
        <v>Excellent</v>
      </c>
      <c r="R758" s="3">
        <f t="shared" si="102"/>
        <v>10326</v>
      </c>
      <c r="S758" s="7">
        <f t="shared" si="103"/>
        <v>206520</v>
      </c>
      <c r="T758" s="3" t="str">
        <f t="shared" si="104"/>
        <v>High Profit</v>
      </c>
      <c r="U758" s="3" t="str">
        <f t="shared" si="105"/>
        <v>High Discount</v>
      </c>
      <c r="V758" s="3" t="str">
        <f t="shared" si="106"/>
        <v>Priority B</v>
      </c>
      <c r="W758">
        <f t="shared" si="107"/>
        <v>105115.2</v>
      </c>
      <c r="X758" t="s">
        <v>23</v>
      </c>
      <c r="Y758" t="s">
        <v>23</v>
      </c>
      <c r="Z758" t="s">
        <v>23</v>
      </c>
      <c r="AA758" t="s">
        <v>23</v>
      </c>
      <c r="AB758" t="s">
        <v>23</v>
      </c>
      <c r="AC758" t="s">
        <v>23</v>
      </c>
      <c r="AD758" t="s">
        <v>23</v>
      </c>
      <c r="AE758" t="s">
        <v>23</v>
      </c>
      <c r="AF758" t="s">
        <v>23</v>
      </c>
      <c r="AG758" t="s">
        <v>23</v>
      </c>
      <c r="AH758" t="s">
        <v>23</v>
      </c>
      <c r="AI758" t="s">
        <v>23</v>
      </c>
      <c r="AJ758" t="s">
        <v>23</v>
      </c>
    </row>
    <row r="759" spans="1:36" x14ac:dyDescent="0.35">
      <c r="A759" s="2">
        <v>1757</v>
      </c>
      <c r="B759" s="4">
        <v>45199</v>
      </c>
      <c r="C759" s="1" t="s">
        <v>30</v>
      </c>
      <c r="D759" s="1" t="s">
        <v>31</v>
      </c>
      <c r="E759">
        <v>61332</v>
      </c>
      <c r="F759">
        <v>26</v>
      </c>
      <c r="G759" s="1" t="s">
        <v>35</v>
      </c>
      <c r="H759">
        <v>18816</v>
      </c>
      <c r="I759">
        <v>29705</v>
      </c>
      <c r="J759" s="1" t="s">
        <v>27</v>
      </c>
      <c r="K759" s="3">
        <v>18</v>
      </c>
      <c r="L759" s="1" t="s">
        <v>28</v>
      </c>
      <c r="M759" s="1" t="s">
        <v>29</v>
      </c>
      <c r="N759" s="3">
        <v>2024010123</v>
      </c>
      <c r="O759" s="3">
        <f t="shared" si="99"/>
        <v>1.23</v>
      </c>
      <c r="P759" s="6">
        <f t="shared" si="100"/>
        <v>75438.36</v>
      </c>
      <c r="Q759" s="3" t="str">
        <f t="shared" si="101"/>
        <v>Excellent</v>
      </c>
      <c r="R759" s="3">
        <f t="shared" si="102"/>
        <v>10889</v>
      </c>
      <c r="S759" s="7">
        <f t="shared" si="103"/>
        <v>283114</v>
      </c>
      <c r="T759" s="3" t="str">
        <f t="shared" si="104"/>
        <v>High Profit</v>
      </c>
      <c r="U759" s="3" t="str">
        <f t="shared" si="105"/>
        <v>High Discount</v>
      </c>
      <c r="V759" s="3" t="str">
        <f t="shared" si="106"/>
        <v>Priority C</v>
      </c>
      <c r="W759">
        <f t="shared" si="107"/>
        <v>9199.7999999999993</v>
      </c>
      <c r="X759" t="s">
        <v>23</v>
      </c>
      <c r="Y759" t="s">
        <v>23</v>
      </c>
      <c r="Z759" t="s">
        <v>23</v>
      </c>
      <c r="AA759" t="s">
        <v>23</v>
      </c>
      <c r="AB759" t="s">
        <v>23</v>
      </c>
      <c r="AC759" t="s">
        <v>23</v>
      </c>
      <c r="AD759" t="s">
        <v>23</v>
      </c>
      <c r="AE759" t="s">
        <v>23</v>
      </c>
      <c r="AF759" t="s">
        <v>23</v>
      </c>
      <c r="AG759" t="s">
        <v>23</v>
      </c>
      <c r="AH759" t="s">
        <v>23</v>
      </c>
      <c r="AI759" t="s">
        <v>23</v>
      </c>
      <c r="AJ759" t="s">
        <v>23</v>
      </c>
    </row>
    <row r="760" spans="1:36" x14ac:dyDescent="0.35">
      <c r="A760" s="2">
        <v>1758</v>
      </c>
      <c r="B760" s="4">
        <v>45106</v>
      </c>
      <c r="C760" s="1" t="s">
        <v>30</v>
      </c>
      <c r="D760" s="1" t="s">
        <v>42</v>
      </c>
      <c r="E760">
        <v>325171</v>
      </c>
      <c r="F760">
        <v>23</v>
      </c>
      <c r="G760" s="1" t="s">
        <v>35</v>
      </c>
      <c r="H760">
        <v>27410</v>
      </c>
      <c r="I760">
        <v>41276</v>
      </c>
      <c r="J760" s="1" t="s">
        <v>33</v>
      </c>
      <c r="K760" s="3">
        <v>16</v>
      </c>
      <c r="L760" s="1" t="s">
        <v>36</v>
      </c>
      <c r="M760" s="1" t="s">
        <v>29</v>
      </c>
      <c r="N760" s="3">
        <v>2024010123</v>
      </c>
      <c r="O760" s="3">
        <f t="shared" si="99"/>
        <v>1.23</v>
      </c>
      <c r="P760" s="6">
        <f t="shared" si="100"/>
        <v>399960.33</v>
      </c>
      <c r="Q760" s="3" t="str">
        <f t="shared" si="101"/>
        <v>Excellent</v>
      </c>
      <c r="R760" s="3">
        <f t="shared" si="102"/>
        <v>13866</v>
      </c>
      <c r="S760" s="7">
        <f t="shared" si="103"/>
        <v>318918</v>
      </c>
      <c r="T760" s="3" t="str">
        <f t="shared" si="104"/>
        <v>High Profit</v>
      </c>
      <c r="U760" s="3" t="str">
        <f t="shared" si="105"/>
        <v>High Discount</v>
      </c>
      <c r="V760" s="3" t="str">
        <f t="shared" si="106"/>
        <v>Priority C</v>
      </c>
      <c r="W760">
        <f t="shared" si="107"/>
        <v>32517.100000000002</v>
      </c>
      <c r="X760" t="s">
        <v>23</v>
      </c>
      <c r="Y760" t="s">
        <v>23</v>
      </c>
      <c r="Z760" t="s">
        <v>23</v>
      </c>
      <c r="AA760" t="s">
        <v>23</v>
      </c>
      <c r="AB760" t="s">
        <v>23</v>
      </c>
      <c r="AC760" t="s">
        <v>23</v>
      </c>
      <c r="AD760" t="s">
        <v>23</v>
      </c>
      <c r="AE760" t="s">
        <v>23</v>
      </c>
      <c r="AF760" t="s">
        <v>23</v>
      </c>
      <c r="AG760" t="s">
        <v>23</v>
      </c>
      <c r="AH760" t="s">
        <v>23</v>
      </c>
      <c r="AI760" t="s">
        <v>23</v>
      </c>
      <c r="AJ760" t="s">
        <v>23</v>
      </c>
    </row>
    <row r="761" spans="1:36" x14ac:dyDescent="0.35">
      <c r="A761" s="2">
        <v>1759</v>
      </c>
      <c r="B761" s="4">
        <v>44981</v>
      </c>
      <c r="C761" s="1" t="s">
        <v>30</v>
      </c>
      <c r="D761" s="1" t="s">
        <v>43</v>
      </c>
      <c r="E761">
        <v>432416</v>
      </c>
      <c r="F761">
        <v>43</v>
      </c>
      <c r="G761" s="1" t="s">
        <v>26</v>
      </c>
      <c r="H761">
        <v>15562</v>
      </c>
      <c r="I761">
        <v>25600</v>
      </c>
      <c r="J761" s="1" t="s">
        <v>33</v>
      </c>
      <c r="K761" s="3">
        <v>26</v>
      </c>
      <c r="L761" s="1" t="s">
        <v>36</v>
      </c>
      <c r="M761" s="1" t="s">
        <v>37</v>
      </c>
      <c r="N761" s="3">
        <v>2024010123</v>
      </c>
      <c r="O761" s="3">
        <f t="shared" si="99"/>
        <v>1.23</v>
      </c>
      <c r="P761" s="6">
        <f t="shared" si="100"/>
        <v>531871.67999999993</v>
      </c>
      <c r="Q761" s="3" t="str">
        <f t="shared" si="101"/>
        <v>Excellent</v>
      </c>
      <c r="R761" s="3">
        <f t="shared" si="102"/>
        <v>10038</v>
      </c>
      <c r="S761" s="7">
        <f t="shared" si="103"/>
        <v>431634</v>
      </c>
      <c r="T761" s="3" t="str">
        <f t="shared" si="104"/>
        <v>High Profit</v>
      </c>
      <c r="U761" s="3" t="str">
        <f t="shared" si="105"/>
        <v>High Discount</v>
      </c>
      <c r="V761" s="3" t="str">
        <f t="shared" si="106"/>
        <v>Priority C</v>
      </c>
      <c r="W761">
        <f t="shared" si="107"/>
        <v>43241.600000000006</v>
      </c>
      <c r="X761" t="s">
        <v>23</v>
      </c>
      <c r="Y761" t="s">
        <v>23</v>
      </c>
      <c r="Z761" t="s">
        <v>23</v>
      </c>
      <c r="AA761" t="s">
        <v>23</v>
      </c>
      <c r="AB761" t="s">
        <v>23</v>
      </c>
      <c r="AC761" t="s">
        <v>23</v>
      </c>
      <c r="AD761" t="s">
        <v>23</v>
      </c>
      <c r="AE761" t="s">
        <v>23</v>
      </c>
      <c r="AF761" t="s">
        <v>23</v>
      </c>
      <c r="AG761" t="s">
        <v>23</v>
      </c>
      <c r="AH761" t="s">
        <v>23</v>
      </c>
      <c r="AI761" t="s">
        <v>23</v>
      </c>
      <c r="AJ761" t="s">
        <v>23</v>
      </c>
    </row>
    <row r="762" spans="1:36" x14ac:dyDescent="0.35">
      <c r="A762" s="2">
        <v>1760</v>
      </c>
      <c r="B762" s="4">
        <v>44946</v>
      </c>
      <c r="C762" s="1" t="s">
        <v>30</v>
      </c>
      <c r="D762" s="1" t="s">
        <v>31</v>
      </c>
      <c r="E762">
        <v>391986</v>
      </c>
      <c r="F762">
        <v>18</v>
      </c>
      <c r="G762" s="1" t="s">
        <v>39</v>
      </c>
      <c r="H762">
        <v>41531</v>
      </c>
      <c r="I762">
        <v>46145</v>
      </c>
      <c r="J762" s="1" t="s">
        <v>33</v>
      </c>
      <c r="K762" s="3">
        <v>0</v>
      </c>
      <c r="L762" s="1" t="s">
        <v>36</v>
      </c>
      <c r="M762" s="1" t="s">
        <v>37</v>
      </c>
      <c r="N762" s="3">
        <v>2024010123</v>
      </c>
      <c r="O762" s="3">
        <f t="shared" si="99"/>
        <v>1.23</v>
      </c>
      <c r="P762" s="6">
        <f t="shared" si="100"/>
        <v>482142.77999999997</v>
      </c>
      <c r="Q762" s="3" t="str">
        <f t="shared" si="101"/>
        <v>Excellent</v>
      </c>
      <c r="R762" s="3">
        <f t="shared" si="102"/>
        <v>4614</v>
      </c>
      <c r="S762" s="7">
        <f t="shared" si="103"/>
        <v>83052</v>
      </c>
      <c r="T762" s="3" t="str">
        <f t="shared" si="104"/>
        <v>High Profit</v>
      </c>
      <c r="U762" s="3" t="str">
        <f t="shared" si="105"/>
        <v>No Discount</v>
      </c>
      <c r="V762" s="3" t="str">
        <f t="shared" si="106"/>
        <v>Priority C</v>
      </c>
      <c r="W762">
        <f t="shared" si="107"/>
        <v>39198.6</v>
      </c>
      <c r="X762" t="s">
        <v>23</v>
      </c>
      <c r="Y762" t="s">
        <v>23</v>
      </c>
      <c r="Z762" t="s">
        <v>23</v>
      </c>
      <c r="AA762" t="s">
        <v>23</v>
      </c>
      <c r="AB762" t="s">
        <v>23</v>
      </c>
      <c r="AC762" t="s">
        <v>23</v>
      </c>
      <c r="AD762" t="s">
        <v>23</v>
      </c>
      <c r="AE762" t="s">
        <v>23</v>
      </c>
      <c r="AF762" t="s">
        <v>23</v>
      </c>
      <c r="AG762" t="s">
        <v>23</v>
      </c>
      <c r="AH762" t="s">
        <v>23</v>
      </c>
      <c r="AI762" t="s">
        <v>23</v>
      </c>
      <c r="AJ762" t="s">
        <v>23</v>
      </c>
    </row>
    <row r="763" spans="1:36" x14ac:dyDescent="0.35">
      <c r="A763" s="2">
        <v>1761</v>
      </c>
      <c r="B763" s="4">
        <v>44962</v>
      </c>
      <c r="C763" s="1" t="s">
        <v>24</v>
      </c>
      <c r="D763" s="1" t="s">
        <v>42</v>
      </c>
      <c r="E763">
        <v>867565</v>
      </c>
      <c r="F763">
        <v>18</v>
      </c>
      <c r="G763" s="1" t="s">
        <v>26</v>
      </c>
      <c r="H763">
        <v>42857</v>
      </c>
      <c r="I763">
        <v>47513</v>
      </c>
      <c r="J763" s="1" t="s">
        <v>27</v>
      </c>
      <c r="K763" s="3">
        <v>2</v>
      </c>
      <c r="L763" s="1" t="s">
        <v>36</v>
      </c>
      <c r="M763" s="1" t="s">
        <v>37</v>
      </c>
      <c r="N763" s="3">
        <v>2024010123</v>
      </c>
      <c r="O763" s="3">
        <f t="shared" si="99"/>
        <v>1.23</v>
      </c>
      <c r="P763" s="6">
        <f t="shared" si="100"/>
        <v>1067104.95</v>
      </c>
      <c r="Q763" s="3" t="str">
        <f t="shared" si="101"/>
        <v>Excellent</v>
      </c>
      <c r="R763" s="3">
        <f t="shared" si="102"/>
        <v>4656</v>
      </c>
      <c r="S763" s="7">
        <f t="shared" si="103"/>
        <v>83808</v>
      </c>
      <c r="T763" s="3" t="str">
        <f t="shared" si="104"/>
        <v>High Profit</v>
      </c>
      <c r="U763" s="3" t="str">
        <f t="shared" si="105"/>
        <v>Low Discount</v>
      </c>
      <c r="V763" s="3" t="str">
        <f t="shared" si="106"/>
        <v>Priority C</v>
      </c>
      <c r="W763">
        <f t="shared" si="107"/>
        <v>130134.75</v>
      </c>
      <c r="X763" t="s">
        <v>23</v>
      </c>
      <c r="Y763" t="s">
        <v>23</v>
      </c>
      <c r="Z763" t="s">
        <v>23</v>
      </c>
      <c r="AA763" t="s">
        <v>23</v>
      </c>
      <c r="AB763" t="s">
        <v>23</v>
      </c>
      <c r="AC763" t="s">
        <v>23</v>
      </c>
      <c r="AD763" t="s">
        <v>23</v>
      </c>
      <c r="AE763" t="s">
        <v>23</v>
      </c>
      <c r="AF763" t="s">
        <v>23</v>
      </c>
      <c r="AG763" t="s">
        <v>23</v>
      </c>
      <c r="AH763" t="s">
        <v>23</v>
      </c>
      <c r="AI763" t="s">
        <v>23</v>
      </c>
      <c r="AJ763" t="s">
        <v>23</v>
      </c>
    </row>
    <row r="764" spans="1:36" x14ac:dyDescent="0.35">
      <c r="A764" s="2">
        <v>1762</v>
      </c>
      <c r="B764" s="4">
        <v>45281</v>
      </c>
      <c r="C764" s="1" t="s">
        <v>30</v>
      </c>
      <c r="D764" s="1" t="s">
        <v>42</v>
      </c>
      <c r="E764">
        <v>739596</v>
      </c>
      <c r="F764">
        <v>18</v>
      </c>
      <c r="G764" s="1" t="s">
        <v>26</v>
      </c>
      <c r="H764">
        <v>27646</v>
      </c>
      <c r="I764">
        <v>32713</v>
      </c>
      <c r="J764" s="1" t="s">
        <v>27</v>
      </c>
      <c r="K764" s="3">
        <v>3</v>
      </c>
      <c r="L764" s="1" t="s">
        <v>40</v>
      </c>
      <c r="M764" s="1" t="s">
        <v>29</v>
      </c>
      <c r="N764" s="3">
        <v>2024010123</v>
      </c>
      <c r="O764" s="3">
        <f t="shared" si="99"/>
        <v>1.23</v>
      </c>
      <c r="P764" s="6">
        <f t="shared" si="100"/>
        <v>909703.08</v>
      </c>
      <c r="Q764" s="3" t="str">
        <f t="shared" si="101"/>
        <v>Excellent</v>
      </c>
      <c r="R764" s="3">
        <f t="shared" si="102"/>
        <v>5067</v>
      </c>
      <c r="S764" s="7">
        <f t="shared" si="103"/>
        <v>91206</v>
      </c>
      <c r="T764" s="3" t="str">
        <f t="shared" si="104"/>
        <v>High Profit</v>
      </c>
      <c r="U764" s="3" t="str">
        <f t="shared" si="105"/>
        <v>Low Discount</v>
      </c>
      <c r="V764" s="3" t="str">
        <f t="shared" si="106"/>
        <v>Priority C</v>
      </c>
      <c r="W764">
        <f t="shared" si="107"/>
        <v>110939.4</v>
      </c>
      <c r="X764" t="s">
        <v>23</v>
      </c>
      <c r="Y764" t="s">
        <v>23</v>
      </c>
      <c r="Z764" t="s">
        <v>23</v>
      </c>
      <c r="AA764" t="s">
        <v>23</v>
      </c>
      <c r="AB764" t="s">
        <v>23</v>
      </c>
      <c r="AC764" t="s">
        <v>23</v>
      </c>
      <c r="AD764" t="s">
        <v>23</v>
      </c>
      <c r="AE764" t="s">
        <v>23</v>
      </c>
      <c r="AF764" t="s">
        <v>23</v>
      </c>
      <c r="AG764" t="s">
        <v>23</v>
      </c>
      <c r="AH764" t="s">
        <v>23</v>
      </c>
      <c r="AI764" t="s">
        <v>23</v>
      </c>
      <c r="AJ764" t="s">
        <v>23</v>
      </c>
    </row>
    <row r="765" spans="1:36" x14ac:dyDescent="0.35">
      <c r="A765" s="2">
        <v>1763</v>
      </c>
      <c r="B765" s="4">
        <v>45040</v>
      </c>
      <c r="C765" s="1" t="s">
        <v>38</v>
      </c>
      <c r="D765" s="1" t="s">
        <v>25</v>
      </c>
      <c r="E765">
        <v>769641</v>
      </c>
      <c r="F765">
        <v>18</v>
      </c>
      <c r="G765" s="1" t="s">
        <v>35</v>
      </c>
      <c r="H765">
        <v>33663</v>
      </c>
      <c r="I765">
        <v>37551</v>
      </c>
      <c r="J765" s="1" t="s">
        <v>27</v>
      </c>
      <c r="K765" s="3">
        <v>14</v>
      </c>
      <c r="L765" s="1" t="s">
        <v>28</v>
      </c>
      <c r="M765" s="1" t="s">
        <v>29</v>
      </c>
      <c r="N765" s="3">
        <v>2024010123</v>
      </c>
      <c r="O765" s="3">
        <f t="shared" si="99"/>
        <v>1.23</v>
      </c>
      <c r="P765" s="6">
        <f t="shared" si="100"/>
        <v>946658.42999999993</v>
      </c>
      <c r="Q765" s="3" t="str">
        <f t="shared" si="101"/>
        <v>Excellent</v>
      </c>
      <c r="R765" s="3">
        <f t="shared" si="102"/>
        <v>3888</v>
      </c>
      <c r="S765" s="7">
        <f t="shared" si="103"/>
        <v>69984</v>
      </c>
      <c r="T765" s="3" t="str">
        <f t="shared" si="104"/>
        <v>High Profit</v>
      </c>
      <c r="U765" s="3" t="str">
        <f t="shared" si="105"/>
        <v>Medium Discount</v>
      </c>
      <c r="V765" s="3" t="str">
        <f t="shared" si="106"/>
        <v>Priority C</v>
      </c>
      <c r="W765">
        <f t="shared" si="107"/>
        <v>115446.15</v>
      </c>
      <c r="X765" t="s">
        <v>23</v>
      </c>
      <c r="Y765" t="s">
        <v>23</v>
      </c>
      <c r="Z765" t="s">
        <v>23</v>
      </c>
      <c r="AA765" t="s">
        <v>23</v>
      </c>
      <c r="AB765" t="s">
        <v>23</v>
      </c>
      <c r="AC765" t="s">
        <v>23</v>
      </c>
      <c r="AD765" t="s">
        <v>23</v>
      </c>
      <c r="AE765" t="s">
        <v>23</v>
      </c>
      <c r="AF765" t="s">
        <v>23</v>
      </c>
      <c r="AG765" t="s">
        <v>23</v>
      </c>
      <c r="AH765" t="s">
        <v>23</v>
      </c>
      <c r="AI765" t="s">
        <v>23</v>
      </c>
      <c r="AJ765" t="s">
        <v>23</v>
      </c>
    </row>
    <row r="766" spans="1:36" x14ac:dyDescent="0.35">
      <c r="A766" s="2">
        <v>1764</v>
      </c>
      <c r="B766" s="4">
        <v>45111</v>
      </c>
      <c r="C766" s="1" t="s">
        <v>24</v>
      </c>
      <c r="D766" s="1" t="s">
        <v>25</v>
      </c>
      <c r="E766">
        <v>757110</v>
      </c>
      <c r="F766">
        <v>18</v>
      </c>
      <c r="G766" s="1" t="s">
        <v>39</v>
      </c>
      <c r="H766">
        <v>24198</v>
      </c>
      <c r="I766">
        <v>31651</v>
      </c>
      <c r="J766" s="1" t="s">
        <v>33</v>
      </c>
      <c r="K766" s="3">
        <v>9</v>
      </c>
      <c r="L766" s="1" t="s">
        <v>36</v>
      </c>
      <c r="M766" s="1" t="s">
        <v>37</v>
      </c>
      <c r="N766" s="3">
        <v>2024010123</v>
      </c>
      <c r="O766" s="3">
        <f t="shared" si="99"/>
        <v>1.23</v>
      </c>
      <c r="P766" s="6">
        <f t="shared" si="100"/>
        <v>931245.29999999993</v>
      </c>
      <c r="Q766" s="3" t="str">
        <f t="shared" si="101"/>
        <v>Excellent</v>
      </c>
      <c r="R766" s="3">
        <f t="shared" si="102"/>
        <v>7453</v>
      </c>
      <c r="S766" s="7">
        <f t="shared" si="103"/>
        <v>134154</v>
      </c>
      <c r="T766" s="3" t="str">
        <f t="shared" si="104"/>
        <v>High Profit</v>
      </c>
      <c r="U766" s="3" t="str">
        <f t="shared" si="105"/>
        <v>Medium Discount</v>
      </c>
      <c r="V766" s="3" t="str">
        <f t="shared" si="106"/>
        <v>Priority C</v>
      </c>
      <c r="W766">
        <f t="shared" si="107"/>
        <v>75711</v>
      </c>
      <c r="X766" t="s">
        <v>23</v>
      </c>
      <c r="Y766" t="s">
        <v>23</v>
      </c>
      <c r="Z766" t="s">
        <v>23</v>
      </c>
      <c r="AA766" t="s">
        <v>23</v>
      </c>
      <c r="AB766" t="s">
        <v>23</v>
      </c>
      <c r="AC766" t="s">
        <v>23</v>
      </c>
      <c r="AD766" t="s">
        <v>23</v>
      </c>
      <c r="AE766" t="s">
        <v>23</v>
      </c>
      <c r="AF766" t="s">
        <v>23</v>
      </c>
      <c r="AG766" t="s">
        <v>23</v>
      </c>
      <c r="AH766" t="s">
        <v>23</v>
      </c>
      <c r="AI766" t="s">
        <v>23</v>
      </c>
      <c r="AJ766" t="s">
        <v>23</v>
      </c>
    </row>
    <row r="767" spans="1:36" x14ac:dyDescent="0.35">
      <c r="A767" s="2">
        <v>1765</v>
      </c>
      <c r="B767" s="4">
        <v>45128</v>
      </c>
      <c r="C767" s="1" t="s">
        <v>30</v>
      </c>
      <c r="D767" s="1" t="s">
        <v>43</v>
      </c>
      <c r="E767">
        <v>163937</v>
      </c>
      <c r="F767">
        <v>10</v>
      </c>
      <c r="G767" s="1" t="s">
        <v>35</v>
      </c>
      <c r="H767">
        <v>17452</v>
      </c>
      <c r="I767">
        <v>24621</v>
      </c>
      <c r="J767" s="1" t="s">
        <v>33</v>
      </c>
      <c r="K767" s="3">
        <v>8</v>
      </c>
      <c r="L767" s="1" t="s">
        <v>28</v>
      </c>
      <c r="M767" s="1" t="s">
        <v>37</v>
      </c>
      <c r="N767" s="3">
        <v>2024010123</v>
      </c>
      <c r="O767" s="3">
        <f t="shared" si="99"/>
        <v>1.23</v>
      </c>
      <c r="P767" s="6">
        <f t="shared" si="100"/>
        <v>201642.51</v>
      </c>
      <c r="Q767" s="3" t="str">
        <f t="shared" si="101"/>
        <v>Excellent</v>
      </c>
      <c r="R767" s="3">
        <f t="shared" si="102"/>
        <v>7169</v>
      </c>
      <c r="S767" s="7">
        <f t="shared" si="103"/>
        <v>71690</v>
      </c>
      <c r="T767" s="3" t="str">
        <f t="shared" si="104"/>
        <v>High Profit</v>
      </c>
      <c r="U767" s="3" t="str">
        <f t="shared" si="105"/>
        <v>Medium Discount</v>
      </c>
      <c r="V767" s="3" t="str">
        <f t="shared" si="106"/>
        <v>Priority C</v>
      </c>
      <c r="W767">
        <f t="shared" si="107"/>
        <v>16393.7</v>
      </c>
      <c r="X767" t="s">
        <v>23</v>
      </c>
      <c r="Y767" t="s">
        <v>23</v>
      </c>
      <c r="Z767" t="s">
        <v>23</v>
      </c>
      <c r="AA767" t="s">
        <v>23</v>
      </c>
      <c r="AB767" t="s">
        <v>23</v>
      </c>
      <c r="AC767" t="s">
        <v>23</v>
      </c>
      <c r="AD767" t="s">
        <v>23</v>
      </c>
      <c r="AE767" t="s">
        <v>23</v>
      </c>
      <c r="AF767" t="s">
        <v>23</v>
      </c>
      <c r="AG767" t="s">
        <v>23</v>
      </c>
      <c r="AH767" t="s">
        <v>23</v>
      </c>
      <c r="AI767" t="s">
        <v>23</v>
      </c>
      <c r="AJ767" t="s">
        <v>23</v>
      </c>
    </row>
    <row r="768" spans="1:36" x14ac:dyDescent="0.35">
      <c r="A768" s="2">
        <v>1766</v>
      </c>
      <c r="B768" s="4">
        <v>45030</v>
      </c>
      <c r="C768" s="1" t="s">
        <v>34</v>
      </c>
      <c r="D768" s="1" t="s">
        <v>43</v>
      </c>
      <c r="E768">
        <v>452848</v>
      </c>
      <c r="F768">
        <v>9</v>
      </c>
      <c r="G768" s="1" t="s">
        <v>39</v>
      </c>
      <c r="H768">
        <v>39594</v>
      </c>
      <c r="I768">
        <v>44850</v>
      </c>
      <c r="J768" s="1" t="s">
        <v>33</v>
      </c>
      <c r="K768" s="3">
        <v>30</v>
      </c>
      <c r="L768" s="1" t="s">
        <v>28</v>
      </c>
      <c r="M768" s="1" t="s">
        <v>29</v>
      </c>
      <c r="N768" s="3">
        <v>2024010123</v>
      </c>
      <c r="O768" s="3">
        <f t="shared" si="99"/>
        <v>1.23</v>
      </c>
      <c r="P768" s="6">
        <f t="shared" si="100"/>
        <v>557003.04</v>
      </c>
      <c r="Q768" s="3" t="str">
        <f t="shared" si="101"/>
        <v>Excellent</v>
      </c>
      <c r="R768" s="3">
        <f t="shared" si="102"/>
        <v>5256</v>
      </c>
      <c r="S768" s="7">
        <f t="shared" si="103"/>
        <v>47304</v>
      </c>
      <c r="T768" s="3" t="str">
        <f t="shared" si="104"/>
        <v>High Profit</v>
      </c>
      <c r="U768" s="3" t="str">
        <f t="shared" si="105"/>
        <v>High Discount</v>
      </c>
      <c r="V768" s="3" t="str">
        <f t="shared" si="106"/>
        <v>Priority D</v>
      </c>
      <c r="W768">
        <f t="shared" si="107"/>
        <v>45284.800000000003</v>
      </c>
      <c r="X768" t="s">
        <v>23</v>
      </c>
      <c r="Y768" t="s">
        <v>23</v>
      </c>
      <c r="Z768" t="s">
        <v>23</v>
      </c>
      <c r="AA768" t="s">
        <v>23</v>
      </c>
      <c r="AB768" t="s">
        <v>23</v>
      </c>
      <c r="AC768" t="s">
        <v>23</v>
      </c>
      <c r="AD768" t="s">
        <v>23</v>
      </c>
      <c r="AE768" t="s">
        <v>23</v>
      </c>
      <c r="AF768" t="s">
        <v>23</v>
      </c>
      <c r="AG768" t="s">
        <v>23</v>
      </c>
      <c r="AH768" t="s">
        <v>23</v>
      </c>
      <c r="AI768" t="s">
        <v>23</v>
      </c>
      <c r="AJ768" t="s">
        <v>23</v>
      </c>
    </row>
    <row r="769" spans="1:36" x14ac:dyDescent="0.35">
      <c r="A769" s="2">
        <v>1767</v>
      </c>
      <c r="B769" s="4">
        <v>45228</v>
      </c>
      <c r="C769" s="1" t="s">
        <v>38</v>
      </c>
      <c r="D769" s="1" t="s">
        <v>25</v>
      </c>
      <c r="E769">
        <v>608134</v>
      </c>
      <c r="F769">
        <v>18</v>
      </c>
      <c r="G769" s="1" t="s">
        <v>32</v>
      </c>
      <c r="H769">
        <v>33201</v>
      </c>
      <c r="I769">
        <v>37513</v>
      </c>
      <c r="J769" s="1" t="s">
        <v>33</v>
      </c>
      <c r="K769" s="3">
        <v>23</v>
      </c>
      <c r="L769" s="1" t="s">
        <v>28</v>
      </c>
      <c r="M769" s="1" t="s">
        <v>37</v>
      </c>
      <c r="N769" s="3">
        <v>2024010123</v>
      </c>
      <c r="O769" s="3">
        <f t="shared" si="99"/>
        <v>1.23</v>
      </c>
      <c r="P769" s="6">
        <f t="shared" si="100"/>
        <v>748004.82</v>
      </c>
      <c r="Q769" s="3" t="str">
        <f t="shared" si="101"/>
        <v>Excellent</v>
      </c>
      <c r="R769" s="3">
        <f t="shared" si="102"/>
        <v>4312</v>
      </c>
      <c r="S769" s="7">
        <f t="shared" si="103"/>
        <v>77616</v>
      </c>
      <c r="T769" s="3" t="str">
        <f t="shared" si="104"/>
        <v>High Profit</v>
      </c>
      <c r="U769" s="3" t="str">
        <f t="shared" si="105"/>
        <v>High Discount</v>
      </c>
      <c r="V769" s="3" t="str">
        <f t="shared" si="106"/>
        <v>Priority C</v>
      </c>
      <c r="W769">
        <f t="shared" si="107"/>
        <v>60813.4</v>
      </c>
      <c r="X769" t="s">
        <v>23</v>
      </c>
      <c r="Y769" t="s">
        <v>23</v>
      </c>
      <c r="Z769" t="s">
        <v>23</v>
      </c>
      <c r="AA769" t="s">
        <v>23</v>
      </c>
      <c r="AB769" t="s">
        <v>23</v>
      </c>
      <c r="AC769" t="s">
        <v>23</v>
      </c>
      <c r="AD769" t="s">
        <v>23</v>
      </c>
      <c r="AE769" t="s">
        <v>23</v>
      </c>
      <c r="AF769" t="s">
        <v>23</v>
      </c>
      <c r="AG769" t="s">
        <v>23</v>
      </c>
      <c r="AH769" t="s">
        <v>23</v>
      </c>
      <c r="AI769" t="s">
        <v>23</v>
      </c>
      <c r="AJ769" t="s">
        <v>23</v>
      </c>
    </row>
    <row r="770" spans="1:36" x14ac:dyDescent="0.35">
      <c r="A770" s="2">
        <v>1768</v>
      </c>
      <c r="B770" s="4">
        <v>45190</v>
      </c>
      <c r="C770" s="1" t="s">
        <v>38</v>
      </c>
      <c r="D770" s="1" t="s">
        <v>43</v>
      </c>
      <c r="E770">
        <v>143217</v>
      </c>
      <c r="F770">
        <v>13</v>
      </c>
      <c r="G770" s="1" t="s">
        <v>26</v>
      </c>
      <c r="H770">
        <v>18060</v>
      </c>
      <c r="I770">
        <v>24204</v>
      </c>
      <c r="J770" s="1" t="s">
        <v>33</v>
      </c>
      <c r="K770" s="3">
        <v>27</v>
      </c>
      <c r="L770" s="1" t="s">
        <v>36</v>
      </c>
      <c r="M770" s="1" t="s">
        <v>29</v>
      </c>
      <c r="N770" s="3">
        <v>2024010123</v>
      </c>
      <c r="O770" s="3">
        <f t="shared" si="99"/>
        <v>1.23</v>
      </c>
      <c r="P770" s="6">
        <f t="shared" si="100"/>
        <v>176156.91</v>
      </c>
      <c r="Q770" s="3" t="str">
        <f t="shared" si="101"/>
        <v>Excellent</v>
      </c>
      <c r="R770" s="3">
        <f t="shared" si="102"/>
        <v>6144</v>
      </c>
      <c r="S770" s="7">
        <f t="shared" si="103"/>
        <v>79872</v>
      </c>
      <c r="T770" s="3" t="str">
        <f t="shared" si="104"/>
        <v>High Profit</v>
      </c>
      <c r="U770" s="3" t="str">
        <f t="shared" si="105"/>
        <v>High Discount</v>
      </c>
      <c r="V770" s="3" t="str">
        <f t="shared" si="106"/>
        <v>Priority D</v>
      </c>
      <c r="W770">
        <f t="shared" si="107"/>
        <v>14321.7</v>
      </c>
      <c r="X770" t="s">
        <v>23</v>
      </c>
      <c r="Y770" t="s">
        <v>23</v>
      </c>
      <c r="Z770" t="s">
        <v>23</v>
      </c>
      <c r="AA770" t="s">
        <v>23</v>
      </c>
      <c r="AB770" t="s">
        <v>23</v>
      </c>
      <c r="AC770" t="s">
        <v>23</v>
      </c>
      <c r="AD770" t="s">
        <v>23</v>
      </c>
      <c r="AE770" t="s">
        <v>23</v>
      </c>
      <c r="AF770" t="s">
        <v>23</v>
      </c>
      <c r="AG770" t="s">
        <v>23</v>
      </c>
      <c r="AH770" t="s">
        <v>23</v>
      </c>
      <c r="AI770" t="s">
        <v>23</v>
      </c>
      <c r="AJ770" t="s">
        <v>23</v>
      </c>
    </row>
    <row r="771" spans="1:36" x14ac:dyDescent="0.35">
      <c r="A771" s="2">
        <v>1769</v>
      </c>
      <c r="B771" s="4">
        <v>45170</v>
      </c>
      <c r="C771" s="1" t="s">
        <v>34</v>
      </c>
      <c r="D771" s="1" t="s">
        <v>25</v>
      </c>
      <c r="E771">
        <v>497667</v>
      </c>
      <c r="F771">
        <v>14</v>
      </c>
      <c r="G771" s="1" t="s">
        <v>26</v>
      </c>
      <c r="H771">
        <v>18835</v>
      </c>
      <c r="I771">
        <v>24046</v>
      </c>
      <c r="J771" s="1" t="s">
        <v>33</v>
      </c>
      <c r="K771" s="3">
        <v>24</v>
      </c>
      <c r="L771" s="1" t="s">
        <v>36</v>
      </c>
      <c r="M771" s="1" t="s">
        <v>37</v>
      </c>
      <c r="N771" s="3">
        <v>2024010123</v>
      </c>
      <c r="O771" s="3">
        <f t="shared" ref="O771:O834" si="108">VALUE(RIGHT($N$2,3))/100</f>
        <v>1.23</v>
      </c>
      <c r="P771" s="6">
        <f t="shared" ref="P771:P834" si="109">E771*$O771</f>
        <v>612130.41</v>
      </c>
      <c r="Q771" s="3" t="str">
        <f t="shared" ref="Q771:Q834" si="110">IF(P771&gt;=5000,"Excellent",
   IF(P771&gt;=3000,"Good",
      IF(P771&gt;=1500,"Average","Below Average")))</f>
        <v>Excellent</v>
      </c>
      <c r="R771" s="3">
        <f t="shared" ref="R771:R834" si="111">I771-H771</f>
        <v>5211</v>
      </c>
      <c r="S771" s="7">
        <f t="shared" ref="S771:S834" si="112">R771*F771</f>
        <v>72954</v>
      </c>
      <c r="T771" s="3" t="str">
        <f t="shared" ref="T771:T834" si="113">IF(S771&gt;=1000,"High Profit",
   IF(S771&gt;=500,"Medium Profit","Low Profit"))</f>
        <v>High Profit</v>
      </c>
      <c r="U771" s="3" t="str">
        <f t="shared" ref="U771:U834" si="114">_xlfn.LET(
  _xlpm.d0, K771,
  _xlpm.d, IF(_xlpm.d0&gt;=1, _xlpm.d0/100, _xlpm.d0),
  IF(_xlpm.d&gt;=0.15, "High Discount",
     IF(_xlpm.d&gt;=0.05, "Medium Discount",
        IF(_xlpm.d&gt;0, "Low Discount", "No Discount")))
)</f>
        <v>High Discount</v>
      </c>
      <c r="V771" s="3" t="str">
        <f t="shared" ref="V771:V834" si="115">IF(AND(G771="Electronics",F771&gt;=30,M771="Online"),"Priority A",
   IF(AND(OR(G771="Furniture",G771="Electronics"),F771&gt;=20),"Priority B",
      IF(OR(M771="Online",F771&gt;=15),"Priority C","Priority D")))</f>
        <v>Priority C</v>
      </c>
      <c r="W771">
        <f t="shared" ref="W771:W834" si="116">IF(AND(Q771="Excellent",J771="Returning",T771="High Profit"),E771*0.15,
   IF(AND(Q771="Excellent",J771="New"),E771*0.1,
      IF(AND(OR(Q771="Good",Q771="Excellent"),L771="Cash"),E771*0.08,
         IF(AND(Q771="Good",T771="High Profit"),E771*0.06,
            IF(Q771="Average",E771*0.03,
               IF(Q771="Below Average",E771*0.01,0))))))</f>
        <v>49766.700000000004</v>
      </c>
      <c r="X771" t="s">
        <v>23</v>
      </c>
      <c r="Y771" t="s">
        <v>23</v>
      </c>
      <c r="Z771" t="s">
        <v>23</v>
      </c>
      <c r="AA771" t="s">
        <v>23</v>
      </c>
      <c r="AB771" t="s">
        <v>23</v>
      </c>
      <c r="AC771" t="s">
        <v>23</v>
      </c>
      <c r="AD771" t="s">
        <v>23</v>
      </c>
      <c r="AE771" t="s">
        <v>23</v>
      </c>
      <c r="AF771" t="s">
        <v>23</v>
      </c>
      <c r="AG771" t="s">
        <v>23</v>
      </c>
      <c r="AH771" t="s">
        <v>23</v>
      </c>
      <c r="AI771" t="s">
        <v>23</v>
      </c>
      <c r="AJ771" t="s">
        <v>23</v>
      </c>
    </row>
    <row r="772" spans="1:36" x14ac:dyDescent="0.35">
      <c r="A772" s="2">
        <v>1770</v>
      </c>
      <c r="B772" s="4">
        <v>44953</v>
      </c>
      <c r="C772" s="1" t="s">
        <v>38</v>
      </c>
      <c r="D772" s="1" t="s">
        <v>31</v>
      </c>
      <c r="E772">
        <v>398858</v>
      </c>
      <c r="F772">
        <v>12</v>
      </c>
      <c r="G772" s="1" t="s">
        <v>39</v>
      </c>
      <c r="H772">
        <v>25954</v>
      </c>
      <c r="I772">
        <v>30606</v>
      </c>
      <c r="J772" s="1" t="s">
        <v>27</v>
      </c>
      <c r="K772" s="3">
        <v>0</v>
      </c>
      <c r="L772" s="1" t="s">
        <v>36</v>
      </c>
      <c r="M772" s="1" t="s">
        <v>37</v>
      </c>
      <c r="N772" s="3">
        <v>2024010123</v>
      </c>
      <c r="O772" s="3">
        <f t="shared" si="108"/>
        <v>1.23</v>
      </c>
      <c r="P772" s="6">
        <f t="shared" si="109"/>
        <v>490595.33999999997</v>
      </c>
      <c r="Q772" s="3" t="str">
        <f t="shared" si="110"/>
        <v>Excellent</v>
      </c>
      <c r="R772" s="3">
        <f t="shared" si="111"/>
        <v>4652</v>
      </c>
      <c r="S772" s="7">
        <f t="shared" si="112"/>
        <v>55824</v>
      </c>
      <c r="T772" s="3" t="str">
        <f t="shared" si="113"/>
        <v>High Profit</v>
      </c>
      <c r="U772" s="3" t="str">
        <f t="shared" si="114"/>
        <v>No Discount</v>
      </c>
      <c r="V772" s="3" t="str">
        <f t="shared" si="115"/>
        <v>Priority C</v>
      </c>
      <c r="W772">
        <f t="shared" si="116"/>
        <v>59828.7</v>
      </c>
      <c r="X772" t="s">
        <v>23</v>
      </c>
      <c r="Y772" t="s">
        <v>23</v>
      </c>
      <c r="Z772" t="s">
        <v>23</v>
      </c>
      <c r="AA772" t="s">
        <v>23</v>
      </c>
      <c r="AB772" t="s">
        <v>23</v>
      </c>
      <c r="AC772" t="s">
        <v>23</v>
      </c>
      <c r="AD772" t="s">
        <v>23</v>
      </c>
      <c r="AE772" t="s">
        <v>23</v>
      </c>
      <c r="AF772" t="s">
        <v>23</v>
      </c>
      <c r="AG772" t="s">
        <v>23</v>
      </c>
      <c r="AH772" t="s">
        <v>23</v>
      </c>
      <c r="AI772" t="s">
        <v>23</v>
      </c>
      <c r="AJ772" t="s">
        <v>23</v>
      </c>
    </row>
    <row r="773" spans="1:36" x14ac:dyDescent="0.35">
      <c r="A773" s="2">
        <v>1771</v>
      </c>
      <c r="B773" s="4">
        <v>45063</v>
      </c>
      <c r="C773" s="1" t="s">
        <v>38</v>
      </c>
      <c r="D773" s="1" t="s">
        <v>43</v>
      </c>
      <c r="E773">
        <v>466719</v>
      </c>
      <c r="F773">
        <v>12</v>
      </c>
      <c r="G773" s="1" t="s">
        <v>39</v>
      </c>
      <c r="H773">
        <v>28696</v>
      </c>
      <c r="I773">
        <v>32718</v>
      </c>
      <c r="J773" s="1" t="s">
        <v>33</v>
      </c>
      <c r="K773" s="3">
        <v>2</v>
      </c>
      <c r="L773" s="1" t="s">
        <v>40</v>
      </c>
      <c r="M773" s="1" t="s">
        <v>37</v>
      </c>
      <c r="N773" s="3">
        <v>2024010123</v>
      </c>
      <c r="O773" s="3">
        <f t="shared" si="108"/>
        <v>1.23</v>
      </c>
      <c r="P773" s="6">
        <f t="shared" si="109"/>
        <v>574064.37</v>
      </c>
      <c r="Q773" s="3" t="str">
        <f t="shared" si="110"/>
        <v>Excellent</v>
      </c>
      <c r="R773" s="3">
        <f t="shared" si="111"/>
        <v>4022</v>
      </c>
      <c r="S773" s="7">
        <f t="shared" si="112"/>
        <v>48264</v>
      </c>
      <c r="T773" s="3" t="str">
        <f t="shared" si="113"/>
        <v>High Profit</v>
      </c>
      <c r="U773" s="3" t="str">
        <f t="shared" si="114"/>
        <v>Low Discount</v>
      </c>
      <c r="V773" s="3" t="str">
        <f t="shared" si="115"/>
        <v>Priority C</v>
      </c>
      <c r="W773">
        <f t="shared" si="116"/>
        <v>46671.9</v>
      </c>
      <c r="X773" t="s">
        <v>23</v>
      </c>
      <c r="Y773" t="s">
        <v>23</v>
      </c>
      <c r="Z773" t="s">
        <v>23</v>
      </c>
      <c r="AA773" t="s">
        <v>23</v>
      </c>
      <c r="AB773" t="s">
        <v>23</v>
      </c>
      <c r="AC773" t="s">
        <v>23</v>
      </c>
      <c r="AD773" t="s">
        <v>23</v>
      </c>
      <c r="AE773" t="s">
        <v>23</v>
      </c>
      <c r="AF773" t="s">
        <v>23</v>
      </c>
      <c r="AG773" t="s">
        <v>23</v>
      </c>
      <c r="AH773" t="s">
        <v>23</v>
      </c>
      <c r="AI773" t="s">
        <v>23</v>
      </c>
      <c r="AJ773" t="s">
        <v>23</v>
      </c>
    </row>
    <row r="774" spans="1:36" x14ac:dyDescent="0.35">
      <c r="A774" s="2">
        <v>1772</v>
      </c>
      <c r="B774" s="4">
        <v>45017</v>
      </c>
      <c r="C774" s="1" t="s">
        <v>30</v>
      </c>
      <c r="D774" s="1" t="s">
        <v>25</v>
      </c>
      <c r="E774">
        <v>556035</v>
      </c>
      <c r="F774">
        <v>12</v>
      </c>
      <c r="G774" s="1" t="s">
        <v>35</v>
      </c>
      <c r="H774">
        <v>35454</v>
      </c>
      <c r="I774">
        <v>37677</v>
      </c>
      <c r="J774" s="1" t="s">
        <v>33</v>
      </c>
      <c r="K774" s="3">
        <v>3</v>
      </c>
      <c r="L774" s="1" t="s">
        <v>36</v>
      </c>
      <c r="M774" s="1" t="s">
        <v>37</v>
      </c>
      <c r="N774" s="3">
        <v>2024010123</v>
      </c>
      <c r="O774" s="3">
        <f t="shared" si="108"/>
        <v>1.23</v>
      </c>
      <c r="P774" s="6">
        <f t="shared" si="109"/>
        <v>683923.05</v>
      </c>
      <c r="Q774" s="3" t="str">
        <f t="shared" si="110"/>
        <v>Excellent</v>
      </c>
      <c r="R774" s="3">
        <f t="shared" si="111"/>
        <v>2223</v>
      </c>
      <c r="S774" s="7">
        <f t="shared" si="112"/>
        <v>26676</v>
      </c>
      <c r="T774" s="3" t="str">
        <f t="shared" si="113"/>
        <v>High Profit</v>
      </c>
      <c r="U774" s="3" t="str">
        <f t="shared" si="114"/>
        <v>Low Discount</v>
      </c>
      <c r="V774" s="3" t="str">
        <f t="shared" si="115"/>
        <v>Priority C</v>
      </c>
      <c r="W774">
        <f t="shared" si="116"/>
        <v>55603.5</v>
      </c>
      <c r="X774" t="s">
        <v>23</v>
      </c>
      <c r="Y774" t="s">
        <v>23</v>
      </c>
      <c r="Z774" t="s">
        <v>23</v>
      </c>
      <c r="AA774" t="s">
        <v>23</v>
      </c>
      <c r="AB774" t="s">
        <v>23</v>
      </c>
      <c r="AC774" t="s">
        <v>23</v>
      </c>
      <c r="AD774" t="s">
        <v>23</v>
      </c>
      <c r="AE774" t="s">
        <v>23</v>
      </c>
      <c r="AF774" t="s">
        <v>23</v>
      </c>
      <c r="AG774" t="s">
        <v>23</v>
      </c>
      <c r="AH774" t="s">
        <v>23</v>
      </c>
      <c r="AI774" t="s">
        <v>23</v>
      </c>
      <c r="AJ774" t="s">
        <v>23</v>
      </c>
    </row>
    <row r="775" spans="1:36" x14ac:dyDescent="0.35">
      <c r="A775" s="2">
        <v>1773</v>
      </c>
      <c r="B775" s="4">
        <v>44986</v>
      </c>
      <c r="C775" s="1" t="s">
        <v>30</v>
      </c>
      <c r="D775" s="1" t="s">
        <v>31</v>
      </c>
      <c r="E775">
        <v>657671</v>
      </c>
      <c r="F775">
        <v>4</v>
      </c>
      <c r="G775" s="1" t="s">
        <v>39</v>
      </c>
      <c r="H775">
        <v>54945</v>
      </c>
      <c r="I775">
        <v>59883</v>
      </c>
      <c r="J775" s="1" t="s">
        <v>27</v>
      </c>
      <c r="K775" s="3">
        <v>7</v>
      </c>
      <c r="L775" s="1" t="s">
        <v>40</v>
      </c>
      <c r="M775" s="1" t="s">
        <v>29</v>
      </c>
      <c r="N775" s="3">
        <v>2024010123</v>
      </c>
      <c r="O775" s="3">
        <f t="shared" si="108"/>
        <v>1.23</v>
      </c>
      <c r="P775" s="6">
        <f t="shared" si="109"/>
        <v>808935.33</v>
      </c>
      <c r="Q775" s="3" t="str">
        <f t="shared" si="110"/>
        <v>Excellent</v>
      </c>
      <c r="R775" s="3">
        <f t="shared" si="111"/>
        <v>4938</v>
      </c>
      <c r="S775" s="7">
        <f t="shared" si="112"/>
        <v>19752</v>
      </c>
      <c r="T775" s="3" t="str">
        <f t="shared" si="113"/>
        <v>High Profit</v>
      </c>
      <c r="U775" s="3" t="str">
        <f t="shared" si="114"/>
        <v>Medium Discount</v>
      </c>
      <c r="V775" s="3" t="str">
        <f t="shared" si="115"/>
        <v>Priority D</v>
      </c>
      <c r="W775">
        <f t="shared" si="116"/>
        <v>98650.65</v>
      </c>
      <c r="X775" t="s">
        <v>23</v>
      </c>
      <c r="Y775" t="s">
        <v>23</v>
      </c>
      <c r="Z775" t="s">
        <v>23</v>
      </c>
      <c r="AA775" t="s">
        <v>23</v>
      </c>
      <c r="AB775" t="s">
        <v>23</v>
      </c>
      <c r="AC775" t="s">
        <v>23</v>
      </c>
      <c r="AD775" t="s">
        <v>23</v>
      </c>
      <c r="AE775" t="s">
        <v>23</v>
      </c>
      <c r="AF775" t="s">
        <v>23</v>
      </c>
      <c r="AG775" t="s">
        <v>23</v>
      </c>
      <c r="AH775" t="s">
        <v>23</v>
      </c>
      <c r="AI775" t="s">
        <v>23</v>
      </c>
      <c r="AJ775" t="s">
        <v>23</v>
      </c>
    </row>
    <row r="776" spans="1:36" x14ac:dyDescent="0.35">
      <c r="A776" s="2">
        <v>1774</v>
      </c>
      <c r="B776" s="4">
        <v>45279</v>
      </c>
      <c r="C776" s="1" t="s">
        <v>38</v>
      </c>
      <c r="D776" s="1" t="s">
        <v>31</v>
      </c>
      <c r="E776">
        <v>359131</v>
      </c>
      <c r="F776">
        <v>12</v>
      </c>
      <c r="G776" s="1" t="s">
        <v>35</v>
      </c>
      <c r="H776">
        <v>24301</v>
      </c>
      <c r="I776">
        <v>26905</v>
      </c>
      <c r="J776" s="1" t="s">
        <v>27</v>
      </c>
      <c r="K776" s="3">
        <v>10</v>
      </c>
      <c r="L776" s="1" t="s">
        <v>40</v>
      </c>
      <c r="M776" s="1" t="s">
        <v>29</v>
      </c>
      <c r="N776" s="3">
        <v>2024010123</v>
      </c>
      <c r="O776" s="3">
        <f t="shared" si="108"/>
        <v>1.23</v>
      </c>
      <c r="P776" s="6">
        <f t="shared" si="109"/>
        <v>441731.13</v>
      </c>
      <c r="Q776" s="3" t="str">
        <f t="shared" si="110"/>
        <v>Excellent</v>
      </c>
      <c r="R776" s="3">
        <f t="shared" si="111"/>
        <v>2604</v>
      </c>
      <c r="S776" s="7">
        <f t="shared" si="112"/>
        <v>31248</v>
      </c>
      <c r="T776" s="3" t="str">
        <f t="shared" si="113"/>
        <v>High Profit</v>
      </c>
      <c r="U776" s="3" t="str">
        <f t="shared" si="114"/>
        <v>Medium Discount</v>
      </c>
      <c r="V776" s="3" t="str">
        <f t="shared" si="115"/>
        <v>Priority D</v>
      </c>
      <c r="W776">
        <f t="shared" si="116"/>
        <v>53869.65</v>
      </c>
      <c r="X776" t="s">
        <v>23</v>
      </c>
      <c r="Y776" t="s">
        <v>23</v>
      </c>
      <c r="Z776" t="s">
        <v>23</v>
      </c>
      <c r="AA776" t="s">
        <v>23</v>
      </c>
      <c r="AB776" t="s">
        <v>23</v>
      </c>
      <c r="AC776" t="s">
        <v>23</v>
      </c>
      <c r="AD776" t="s">
        <v>23</v>
      </c>
      <c r="AE776" t="s">
        <v>23</v>
      </c>
      <c r="AF776" t="s">
        <v>23</v>
      </c>
      <c r="AG776" t="s">
        <v>23</v>
      </c>
      <c r="AH776" t="s">
        <v>23</v>
      </c>
      <c r="AI776" t="s">
        <v>23</v>
      </c>
      <c r="AJ776" t="s">
        <v>23</v>
      </c>
    </row>
    <row r="777" spans="1:36" x14ac:dyDescent="0.35">
      <c r="A777" s="2">
        <v>1775</v>
      </c>
      <c r="B777" s="4">
        <v>45011</v>
      </c>
      <c r="C777" s="1" t="s">
        <v>41</v>
      </c>
      <c r="D777" s="1" t="s">
        <v>42</v>
      </c>
      <c r="E777">
        <v>512146</v>
      </c>
      <c r="F777">
        <v>12</v>
      </c>
      <c r="G777" s="1" t="s">
        <v>32</v>
      </c>
      <c r="H777">
        <v>10000</v>
      </c>
      <c r="I777">
        <v>20000</v>
      </c>
      <c r="J777" s="1" t="s">
        <v>27</v>
      </c>
      <c r="K777" s="3">
        <v>13</v>
      </c>
      <c r="L777" s="1" t="s">
        <v>40</v>
      </c>
      <c r="M777" s="1" t="s">
        <v>29</v>
      </c>
      <c r="N777" s="3">
        <v>2024010123</v>
      </c>
      <c r="O777" s="3">
        <f t="shared" si="108"/>
        <v>1.23</v>
      </c>
      <c r="P777" s="6">
        <f t="shared" si="109"/>
        <v>629939.57999999996</v>
      </c>
      <c r="Q777" s="3" t="str">
        <f t="shared" si="110"/>
        <v>Excellent</v>
      </c>
      <c r="R777" s="3">
        <f t="shared" si="111"/>
        <v>10000</v>
      </c>
      <c r="S777" s="7">
        <f t="shared" si="112"/>
        <v>120000</v>
      </c>
      <c r="T777" s="3" t="str">
        <f t="shared" si="113"/>
        <v>High Profit</v>
      </c>
      <c r="U777" s="3" t="str">
        <f t="shared" si="114"/>
        <v>Medium Discount</v>
      </c>
      <c r="V777" s="3" t="str">
        <f t="shared" si="115"/>
        <v>Priority D</v>
      </c>
      <c r="W777">
        <f t="shared" si="116"/>
        <v>76821.899999999994</v>
      </c>
      <c r="X777" t="s">
        <v>23</v>
      </c>
      <c r="Y777" t="s">
        <v>23</v>
      </c>
      <c r="Z777" t="s">
        <v>23</v>
      </c>
      <c r="AA777" t="s">
        <v>23</v>
      </c>
      <c r="AB777" t="s">
        <v>23</v>
      </c>
      <c r="AC777" t="s">
        <v>23</v>
      </c>
      <c r="AD777" t="s">
        <v>23</v>
      </c>
      <c r="AE777" t="s">
        <v>23</v>
      </c>
      <c r="AF777" t="s">
        <v>23</v>
      </c>
      <c r="AG777" t="s">
        <v>23</v>
      </c>
      <c r="AH777" t="s">
        <v>23</v>
      </c>
      <c r="AI777" t="s">
        <v>23</v>
      </c>
      <c r="AJ777" t="s">
        <v>23</v>
      </c>
    </row>
    <row r="778" spans="1:36" x14ac:dyDescent="0.35">
      <c r="A778" s="2">
        <v>1776</v>
      </c>
      <c r="B778" s="4">
        <v>45242</v>
      </c>
      <c r="C778" s="1" t="s">
        <v>34</v>
      </c>
      <c r="D778" s="1" t="s">
        <v>42</v>
      </c>
      <c r="E778">
        <v>982496</v>
      </c>
      <c r="F778">
        <v>12</v>
      </c>
      <c r="G778" s="1" t="s">
        <v>39</v>
      </c>
      <c r="H778">
        <v>31695</v>
      </c>
      <c r="I778">
        <v>35287</v>
      </c>
      <c r="J778" s="1" t="s">
        <v>27</v>
      </c>
      <c r="K778" s="3">
        <v>19</v>
      </c>
      <c r="L778" s="1" t="s">
        <v>28</v>
      </c>
      <c r="M778" s="1" t="s">
        <v>37</v>
      </c>
      <c r="N778" s="3">
        <v>2024010123</v>
      </c>
      <c r="O778" s="3">
        <f t="shared" si="108"/>
        <v>1.23</v>
      </c>
      <c r="P778" s="6">
        <f t="shared" si="109"/>
        <v>1208470.08</v>
      </c>
      <c r="Q778" s="3" t="str">
        <f t="shared" si="110"/>
        <v>Excellent</v>
      </c>
      <c r="R778" s="3">
        <f t="shared" si="111"/>
        <v>3592</v>
      </c>
      <c r="S778" s="7">
        <f t="shared" si="112"/>
        <v>43104</v>
      </c>
      <c r="T778" s="3" t="str">
        <f t="shared" si="113"/>
        <v>High Profit</v>
      </c>
      <c r="U778" s="3" t="str">
        <f t="shared" si="114"/>
        <v>High Discount</v>
      </c>
      <c r="V778" s="3" t="str">
        <f t="shared" si="115"/>
        <v>Priority C</v>
      </c>
      <c r="W778">
        <f t="shared" si="116"/>
        <v>147374.39999999999</v>
      </c>
      <c r="X778" t="s">
        <v>23</v>
      </c>
      <c r="Y778" t="s">
        <v>23</v>
      </c>
      <c r="Z778" t="s">
        <v>23</v>
      </c>
      <c r="AA778" t="s">
        <v>23</v>
      </c>
      <c r="AB778" t="s">
        <v>23</v>
      </c>
      <c r="AC778" t="s">
        <v>23</v>
      </c>
      <c r="AD778" t="s">
        <v>23</v>
      </c>
      <c r="AE778" t="s">
        <v>23</v>
      </c>
      <c r="AF778" t="s">
        <v>23</v>
      </c>
      <c r="AG778" t="s">
        <v>23</v>
      </c>
      <c r="AH778" t="s">
        <v>23</v>
      </c>
      <c r="AI778" t="s">
        <v>23</v>
      </c>
      <c r="AJ778" t="s">
        <v>23</v>
      </c>
    </row>
    <row r="779" spans="1:36" x14ac:dyDescent="0.35">
      <c r="A779" s="2">
        <v>1777</v>
      </c>
      <c r="B779" s="4">
        <v>45012</v>
      </c>
      <c r="C779" s="1" t="s">
        <v>30</v>
      </c>
      <c r="D779" s="1" t="s">
        <v>42</v>
      </c>
      <c r="E779">
        <v>414999</v>
      </c>
      <c r="F779">
        <v>7</v>
      </c>
      <c r="G779" s="1" t="s">
        <v>32</v>
      </c>
      <c r="H779">
        <v>24876</v>
      </c>
      <c r="I779">
        <v>28501</v>
      </c>
      <c r="J779" s="1" t="s">
        <v>33</v>
      </c>
      <c r="K779" s="3">
        <v>16</v>
      </c>
      <c r="L779" s="1" t="s">
        <v>36</v>
      </c>
      <c r="M779" s="1" t="s">
        <v>37</v>
      </c>
      <c r="N779" s="3">
        <v>2024010123</v>
      </c>
      <c r="O779" s="3">
        <f t="shared" si="108"/>
        <v>1.23</v>
      </c>
      <c r="P779" s="6">
        <f t="shared" si="109"/>
        <v>510448.77</v>
      </c>
      <c r="Q779" s="3" t="str">
        <f t="shared" si="110"/>
        <v>Excellent</v>
      </c>
      <c r="R779" s="3">
        <f t="shared" si="111"/>
        <v>3625</v>
      </c>
      <c r="S779" s="7">
        <f t="shared" si="112"/>
        <v>25375</v>
      </c>
      <c r="T779" s="3" t="str">
        <f t="shared" si="113"/>
        <v>High Profit</v>
      </c>
      <c r="U779" s="3" t="str">
        <f t="shared" si="114"/>
        <v>High Discount</v>
      </c>
      <c r="V779" s="3" t="str">
        <f t="shared" si="115"/>
        <v>Priority C</v>
      </c>
      <c r="W779">
        <f t="shared" si="116"/>
        <v>41499.9</v>
      </c>
      <c r="X779" t="s">
        <v>23</v>
      </c>
      <c r="Y779" t="s">
        <v>23</v>
      </c>
      <c r="Z779" t="s">
        <v>23</v>
      </c>
      <c r="AA779" t="s">
        <v>23</v>
      </c>
      <c r="AB779" t="s">
        <v>23</v>
      </c>
      <c r="AC779" t="s">
        <v>23</v>
      </c>
      <c r="AD779" t="s">
        <v>23</v>
      </c>
      <c r="AE779" t="s">
        <v>23</v>
      </c>
      <c r="AF779" t="s">
        <v>23</v>
      </c>
      <c r="AG779" t="s">
        <v>23</v>
      </c>
      <c r="AH779" t="s">
        <v>23</v>
      </c>
      <c r="AI779" t="s">
        <v>23</v>
      </c>
      <c r="AJ779" t="s">
        <v>23</v>
      </c>
    </row>
    <row r="780" spans="1:36" x14ac:dyDescent="0.35">
      <c r="A780" s="2">
        <v>1778</v>
      </c>
      <c r="B780" s="4">
        <v>45097</v>
      </c>
      <c r="C780" s="1" t="s">
        <v>30</v>
      </c>
      <c r="D780" s="1" t="s">
        <v>43</v>
      </c>
      <c r="E780">
        <v>322609</v>
      </c>
      <c r="F780">
        <v>4</v>
      </c>
      <c r="G780" s="1" t="s">
        <v>32</v>
      </c>
      <c r="H780">
        <v>53738</v>
      </c>
      <c r="I780">
        <v>58110</v>
      </c>
      <c r="J780" s="1" t="s">
        <v>27</v>
      </c>
      <c r="K780" s="3">
        <v>16</v>
      </c>
      <c r="L780" s="1" t="s">
        <v>36</v>
      </c>
      <c r="M780" s="1" t="s">
        <v>29</v>
      </c>
      <c r="N780" s="3">
        <v>2024010123</v>
      </c>
      <c r="O780" s="3">
        <f t="shared" si="108"/>
        <v>1.23</v>
      </c>
      <c r="P780" s="6">
        <f t="shared" si="109"/>
        <v>396809.07</v>
      </c>
      <c r="Q780" s="3" t="str">
        <f t="shared" si="110"/>
        <v>Excellent</v>
      </c>
      <c r="R780" s="3">
        <f t="shared" si="111"/>
        <v>4372</v>
      </c>
      <c r="S780" s="7">
        <f t="shared" si="112"/>
        <v>17488</v>
      </c>
      <c r="T780" s="3" t="str">
        <f t="shared" si="113"/>
        <v>High Profit</v>
      </c>
      <c r="U780" s="3" t="str">
        <f t="shared" si="114"/>
        <v>High Discount</v>
      </c>
      <c r="V780" s="3" t="str">
        <f t="shared" si="115"/>
        <v>Priority D</v>
      </c>
      <c r="W780">
        <f t="shared" si="116"/>
        <v>48391.35</v>
      </c>
      <c r="X780" t="s">
        <v>23</v>
      </c>
      <c r="Y780" t="s">
        <v>23</v>
      </c>
      <c r="Z780" t="s">
        <v>23</v>
      </c>
      <c r="AA780" t="s">
        <v>23</v>
      </c>
      <c r="AB780" t="s">
        <v>23</v>
      </c>
      <c r="AC780" t="s">
        <v>23</v>
      </c>
      <c r="AD780" t="s">
        <v>23</v>
      </c>
      <c r="AE780" t="s">
        <v>23</v>
      </c>
      <c r="AF780" t="s">
        <v>23</v>
      </c>
      <c r="AG780" t="s">
        <v>23</v>
      </c>
      <c r="AH780" t="s">
        <v>23</v>
      </c>
      <c r="AI780" t="s">
        <v>23</v>
      </c>
      <c r="AJ780" t="s">
        <v>23</v>
      </c>
    </row>
    <row r="781" spans="1:36" x14ac:dyDescent="0.35">
      <c r="A781" s="2">
        <v>1779</v>
      </c>
      <c r="B781" s="4">
        <v>45143</v>
      </c>
      <c r="C781" s="1" t="s">
        <v>41</v>
      </c>
      <c r="D781" s="1" t="s">
        <v>31</v>
      </c>
      <c r="E781">
        <v>423798</v>
      </c>
      <c r="F781">
        <v>12</v>
      </c>
      <c r="G781" s="1" t="s">
        <v>35</v>
      </c>
      <c r="H781">
        <v>36114</v>
      </c>
      <c r="I781">
        <v>39926</v>
      </c>
      <c r="J781" s="1" t="s">
        <v>27</v>
      </c>
      <c r="K781" s="3">
        <v>27</v>
      </c>
      <c r="L781" s="1" t="s">
        <v>36</v>
      </c>
      <c r="M781" s="1" t="s">
        <v>29</v>
      </c>
      <c r="N781" s="3">
        <v>2024010123</v>
      </c>
      <c r="O781" s="3">
        <f t="shared" si="108"/>
        <v>1.23</v>
      </c>
      <c r="P781" s="6">
        <f t="shared" si="109"/>
        <v>521271.54</v>
      </c>
      <c r="Q781" s="3" t="str">
        <f t="shared" si="110"/>
        <v>Excellent</v>
      </c>
      <c r="R781" s="3">
        <f t="shared" si="111"/>
        <v>3812</v>
      </c>
      <c r="S781" s="7">
        <f t="shared" si="112"/>
        <v>45744</v>
      </c>
      <c r="T781" s="3" t="str">
        <f t="shared" si="113"/>
        <v>High Profit</v>
      </c>
      <c r="U781" s="3" t="str">
        <f t="shared" si="114"/>
        <v>High Discount</v>
      </c>
      <c r="V781" s="3" t="str">
        <f t="shared" si="115"/>
        <v>Priority D</v>
      </c>
      <c r="W781">
        <f t="shared" si="116"/>
        <v>63569.7</v>
      </c>
      <c r="X781" t="s">
        <v>23</v>
      </c>
      <c r="Y781" t="s">
        <v>23</v>
      </c>
      <c r="Z781" t="s">
        <v>23</v>
      </c>
      <c r="AA781" t="s">
        <v>23</v>
      </c>
      <c r="AB781" t="s">
        <v>23</v>
      </c>
      <c r="AC781" t="s">
        <v>23</v>
      </c>
      <c r="AD781" t="s">
        <v>23</v>
      </c>
      <c r="AE781" t="s">
        <v>23</v>
      </c>
      <c r="AF781" t="s">
        <v>23</v>
      </c>
      <c r="AG781" t="s">
        <v>23</v>
      </c>
      <c r="AH781" t="s">
        <v>23</v>
      </c>
      <c r="AI781" t="s">
        <v>23</v>
      </c>
      <c r="AJ781" t="s">
        <v>23</v>
      </c>
    </row>
    <row r="782" spans="1:36" x14ac:dyDescent="0.35">
      <c r="A782" s="2">
        <v>1780</v>
      </c>
      <c r="B782" s="4">
        <v>45259</v>
      </c>
      <c r="C782" s="1" t="s">
        <v>38</v>
      </c>
      <c r="D782" s="1" t="s">
        <v>25</v>
      </c>
      <c r="E782">
        <v>186192</v>
      </c>
      <c r="F782">
        <v>12</v>
      </c>
      <c r="G782" s="1" t="s">
        <v>39</v>
      </c>
      <c r="H782">
        <v>11715</v>
      </c>
      <c r="I782">
        <v>19291</v>
      </c>
      <c r="J782" s="1" t="s">
        <v>33</v>
      </c>
      <c r="K782" s="3">
        <v>0</v>
      </c>
      <c r="L782" s="1" t="s">
        <v>40</v>
      </c>
      <c r="M782" s="1" t="s">
        <v>29</v>
      </c>
      <c r="N782" s="3">
        <v>2024010123</v>
      </c>
      <c r="O782" s="3">
        <f t="shared" si="108"/>
        <v>1.23</v>
      </c>
      <c r="P782" s="6">
        <f t="shared" si="109"/>
        <v>229016.16</v>
      </c>
      <c r="Q782" s="3" t="str">
        <f t="shared" si="110"/>
        <v>Excellent</v>
      </c>
      <c r="R782" s="3">
        <f t="shared" si="111"/>
        <v>7576</v>
      </c>
      <c r="S782" s="7">
        <f t="shared" si="112"/>
        <v>90912</v>
      </c>
      <c r="T782" s="3" t="str">
        <f t="shared" si="113"/>
        <v>High Profit</v>
      </c>
      <c r="U782" s="3" t="str">
        <f t="shared" si="114"/>
        <v>No Discount</v>
      </c>
      <c r="V782" s="3" t="str">
        <f t="shared" si="115"/>
        <v>Priority D</v>
      </c>
      <c r="W782">
        <f t="shared" si="116"/>
        <v>18619.2</v>
      </c>
      <c r="X782" t="s">
        <v>23</v>
      </c>
      <c r="Y782" t="s">
        <v>23</v>
      </c>
      <c r="Z782" t="s">
        <v>23</v>
      </c>
      <c r="AA782" t="s">
        <v>23</v>
      </c>
      <c r="AB782" t="s">
        <v>23</v>
      </c>
      <c r="AC782" t="s">
        <v>23</v>
      </c>
      <c r="AD782" t="s">
        <v>23</v>
      </c>
      <c r="AE782" t="s">
        <v>23</v>
      </c>
      <c r="AF782" t="s">
        <v>23</v>
      </c>
      <c r="AG782" t="s">
        <v>23</v>
      </c>
      <c r="AH782" t="s">
        <v>23</v>
      </c>
      <c r="AI782" t="s">
        <v>23</v>
      </c>
      <c r="AJ782" t="s">
        <v>23</v>
      </c>
    </row>
    <row r="783" spans="1:36" x14ac:dyDescent="0.35">
      <c r="A783" s="2">
        <v>1781</v>
      </c>
      <c r="B783" s="4">
        <v>45041</v>
      </c>
      <c r="C783" s="1" t="s">
        <v>38</v>
      </c>
      <c r="D783" s="1" t="s">
        <v>42</v>
      </c>
      <c r="E783">
        <v>484523</v>
      </c>
      <c r="F783">
        <v>42</v>
      </c>
      <c r="G783" s="1" t="s">
        <v>39</v>
      </c>
      <c r="H783">
        <v>24872</v>
      </c>
      <c r="I783">
        <v>32896</v>
      </c>
      <c r="J783" s="1" t="s">
        <v>33</v>
      </c>
      <c r="K783" s="3">
        <v>2</v>
      </c>
      <c r="L783" s="1" t="s">
        <v>40</v>
      </c>
      <c r="M783" s="1" t="s">
        <v>37</v>
      </c>
      <c r="N783" s="3">
        <v>2024010123</v>
      </c>
      <c r="O783" s="3">
        <f t="shared" si="108"/>
        <v>1.23</v>
      </c>
      <c r="P783" s="6">
        <f t="shared" si="109"/>
        <v>595963.29</v>
      </c>
      <c r="Q783" s="3" t="str">
        <f t="shared" si="110"/>
        <v>Excellent</v>
      </c>
      <c r="R783" s="3">
        <f t="shared" si="111"/>
        <v>8024</v>
      </c>
      <c r="S783" s="7">
        <f t="shared" si="112"/>
        <v>337008</v>
      </c>
      <c r="T783" s="3" t="str">
        <f t="shared" si="113"/>
        <v>High Profit</v>
      </c>
      <c r="U783" s="3" t="str">
        <f t="shared" si="114"/>
        <v>Low Discount</v>
      </c>
      <c r="V783" s="3" t="str">
        <f t="shared" si="115"/>
        <v>Priority A</v>
      </c>
      <c r="W783">
        <f t="shared" si="116"/>
        <v>48452.3</v>
      </c>
      <c r="X783" t="s">
        <v>23</v>
      </c>
      <c r="Y783" t="s">
        <v>23</v>
      </c>
      <c r="Z783" t="s">
        <v>23</v>
      </c>
      <c r="AA783" t="s">
        <v>23</v>
      </c>
      <c r="AB783" t="s">
        <v>23</v>
      </c>
      <c r="AC783" t="s">
        <v>23</v>
      </c>
      <c r="AD783" t="s">
        <v>23</v>
      </c>
      <c r="AE783" t="s">
        <v>23</v>
      </c>
      <c r="AF783" t="s">
        <v>23</v>
      </c>
      <c r="AG783" t="s">
        <v>23</v>
      </c>
      <c r="AH783" t="s">
        <v>23</v>
      </c>
      <c r="AI783" t="s">
        <v>23</v>
      </c>
      <c r="AJ783" t="s">
        <v>23</v>
      </c>
    </row>
    <row r="784" spans="1:36" x14ac:dyDescent="0.35">
      <c r="A784" s="2">
        <v>1782</v>
      </c>
      <c r="B784" s="4">
        <v>44989</v>
      </c>
      <c r="C784" s="1" t="s">
        <v>30</v>
      </c>
      <c r="D784" s="1" t="s">
        <v>43</v>
      </c>
      <c r="E784">
        <v>908474</v>
      </c>
      <c r="F784">
        <v>25</v>
      </c>
      <c r="G784" s="1" t="s">
        <v>39</v>
      </c>
      <c r="H784">
        <v>27340</v>
      </c>
      <c r="I784">
        <v>36844</v>
      </c>
      <c r="J784" s="1" t="s">
        <v>33</v>
      </c>
      <c r="K784" s="3">
        <v>2</v>
      </c>
      <c r="L784" s="1" t="s">
        <v>28</v>
      </c>
      <c r="M784" s="1" t="s">
        <v>37</v>
      </c>
      <c r="N784" s="3">
        <v>2024010123</v>
      </c>
      <c r="O784" s="3">
        <f t="shared" si="108"/>
        <v>1.23</v>
      </c>
      <c r="P784" s="6">
        <f t="shared" si="109"/>
        <v>1117423.02</v>
      </c>
      <c r="Q784" s="3" t="str">
        <f t="shared" si="110"/>
        <v>Excellent</v>
      </c>
      <c r="R784" s="3">
        <f t="shared" si="111"/>
        <v>9504</v>
      </c>
      <c r="S784" s="7">
        <f t="shared" si="112"/>
        <v>237600</v>
      </c>
      <c r="T784" s="3" t="str">
        <f t="shared" si="113"/>
        <v>High Profit</v>
      </c>
      <c r="U784" s="3" t="str">
        <f t="shared" si="114"/>
        <v>Low Discount</v>
      </c>
      <c r="V784" s="3" t="str">
        <f t="shared" si="115"/>
        <v>Priority B</v>
      </c>
      <c r="W784">
        <f t="shared" si="116"/>
        <v>90847.400000000009</v>
      </c>
      <c r="X784" t="s">
        <v>23</v>
      </c>
      <c r="Y784" t="s">
        <v>23</v>
      </c>
      <c r="Z784" t="s">
        <v>23</v>
      </c>
      <c r="AA784" t="s">
        <v>23</v>
      </c>
      <c r="AB784" t="s">
        <v>23</v>
      </c>
      <c r="AC784" t="s">
        <v>23</v>
      </c>
      <c r="AD784" t="s">
        <v>23</v>
      </c>
      <c r="AE784" t="s">
        <v>23</v>
      </c>
      <c r="AF784" t="s">
        <v>23</v>
      </c>
      <c r="AG784" t="s">
        <v>23</v>
      </c>
      <c r="AH784" t="s">
        <v>23</v>
      </c>
      <c r="AI784" t="s">
        <v>23</v>
      </c>
      <c r="AJ784" t="s">
        <v>23</v>
      </c>
    </row>
    <row r="785" spans="1:36" x14ac:dyDescent="0.35">
      <c r="A785" s="2">
        <v>1783</v>
      </c>
      <c r="B785" s="4">
        <v>45025</v>
      </c>
      <c r="C785" s="1" t="s">
        <v>34</v>
      </c>
      <c r="D785" s="1" t="s">
        <v>43</v>
      </c>
      <c r="E785">
        <v>745248</v>
      </c>
      <c r="F785">
        <v>12</v>
      </c>
      <c r="G785" s="1" t="s">
        <v>32</v>
      </c>
      <c r="H785">
        <v>12904</v>
      </c>
      <c r="I785">
        <v>20455</v>
      </c>
      <c r="J785" s="1" t="s">
        <v>27</v>
      </c>
      <c r="K785" s="3">
        <v>12</v>
      </c>
      <c r="L785" s="1" t="s">
        <v>36</v>
      </c>
      <c r="M785" s="1" t="s">
        <v>29</v>
      </c>
      <c r="N785" s="3">
        <v>2024010123</v>
      </c>
      <c r="O785" s="3">
        <f t="shared" si="108"/>
        <v>1.23</v>
      </c>
      <c r="P785" s="6">
        <f t="shared" si="109"/>
        <v>916655.04</v>
      </c>
      <c r="Q785" s="3" t="str">
        <f t="shared" si="110"/>
        <v>Excellent</v>
      </c>
      <c r="R785" s="3">
        <f t="shared" si="111"/>
        <v>7551</v>
      </c>
      <c r="S785" s="7">
        <f t="shared" si="112"/>
        <v>90612</v>
      </c>
      <c r="T785" s="3" t="str">
        <f t="shared" si="113"/>
        <v>High Profit</v>
      </c>
      <c r="U785" s="3" t="str">
        <f t="shared" si="114"/>
        <v>Medium Discount</v>
      </c>
      <c r="V785" s="3" t="str">
        <f t="shared" si="115"/>
        <v>Priority D</v>
      </c>
      <c r="W785">
        <f t="shared" si="116"/>
        <v>111787.2</v>
      </c>
      <c r="X785" t="s">
        <v>23</v>
      </c>
      <c r="Y785" t="s">
        <v>23</v>
      </c>
      <c r="Z785" t="s">
        <v>23</v>
      </c>
      <c r="AA785" t="s">
        <v>23</v>
      </c>
      <c r="AB785" t="s">
        <v>23</v>
      </c>
      <c r="AC785" t="s">
        <v>23</v>
      </c>
      <c r="AD785" t="s">
        <v>23</v>
      </c>
      <c r="AE785" t="s">
        <v>23</v>
      </c>
      <c r="AF785" t="s">
        <v>23</v>
      </c>
      <c r="AG785" t="s">
        <v>23</v>
      </c>
      <c r="AH785" t="s">
        <v>23</v>
      </c>
      <c r="AI785" t="s">
        <v>23</v>
      </c>
      <c r="AJ785" t="s">
        <v>23</v>
      </c>
    </row>
    <row r="786" spans="1:36" x14ac:dyDescent="0.35">
      <c r="A786" s="2">
        <v>1784</v>
      </c>
      <c r="B786" s="4">
        <v>44970</v>
      </c>
      <c r="C786" s="1" t="s">
        <v>41</v>
      </c>
      <c r="D786" s="1" t="s">
        <v>25</v>
      </c>
      <c r="E786">
        <v>630273</v>
      </c>
      <c r="F786">
        <v>46</v>
      </c>
      <c r="G786" s="1" t="s">
        <v>26</v>
      </c>
      <c r="H786">
        <v>23036</v>
      </c>
      <c r="I786">
        <v>31251</v>
      </c>
      <c r="J786" s="1" t="s">
        <v>33</v>
      </c>
      <c r="K786" s="3">
        <v>14</v>
      </c>
      <c r="L786" s="1" t="s">
        <v>40</v>
      </c>
      <c r="M786" s="1" t="s">
        <v>29</v>
      </c>
      <c r="N786" s="3">
        <v>2024010123</v>
      </c>
      <c r="O786" s="3">
        <f t="shared" si="108"/>
        <v>1.23</v>
      </c>
      <c r="P786" s="6">
        <f t="shared" si="109"/>
        <v>775235.79</v>
      </c>
      <c r="Q786" s="3" t="str">
        <f t="shared" si="110"/>
        <v>Excellent</v>
      </c>
      <c r="R786" s="3">
        <f t="shared" si="111"/>
        <v>8215</v>
      </c>
      <c r="S786" s="7">
        <f t="shared" si="112"/>
        <v>377890</v>
      </c>
      <c r="T786" s="3" t="str">
        <f t="shared" si="113"/>
        <v>High Profit</v>
      </c>
      <c r="U786" s="3" t="str">
        <f t="shared" si="114"/>
        <v>Medium Discount</v>
      </c>
      <c r="V786" s="3" t="str">
        <f t="shared" si="115"/>
        <v>Priority C</v>
      </c>
      <c r="W786">
        <f t="shared" si="116"/>
        <v>63027.3</v>
      </c>
      <c r="X786" t="s">
        <v>23</v>
      </c>
      <c r="Y786" t="s">
        <v>23</v>
      </c>
      <c r="Z786" t="s">
        <v>23</v>
      </c>
      <c r="AA786" t="s">
        <v>23</v>
      </c>
      <c r="AB786" t="s">
        <v>23</v>
      </c>
      <c r="AC786" t="s">
        <v>23</v>
      </c>
      <c r="AD786" t="s">
        <v>23</v>
      </c>
      <c r="AE786" t="s">
        <v>23</v>
      </c>
      <c r="AF786" t="s">
        <v>23</v>
      </c>
      <c r="AG786" t="s">
        <v>23</v>
      </c>
      <c r="AH786" t="s">
        <v>23</v>
      </c>
      <c r="AI786" t="s">
        <v>23</v>
      </c>
      <c r="AJ786" t="s">
        <v>23</v>
      </c>
    </row>
    <row r="787" spans="1:36" x14ac:dyDescent="0.35">
      <c r="A787" s="2">
        <v>1785</v>
      </c>
      <c r="B787" s="4">
        <v>45191</v>
      </c>
      <c r="C787" s="1" t="s">
        <v>38</v>
      </c>
      <c r="D787" s="1" t="s">
        <v>42</v>
      </c>
      <c r="E787">
        <v>574282</v>
      </c>
      <c r="F787">
        <v>12</v>
      </c>
      <c r="G787" s="1" t="s">
        <v>32</v>
      </c>
      <c r="H787">
        <v>15932</v>
      </c>
      <c r="I787">
        <v>26114</v>
      </c>
      <c r="J787" s="1" t="s">
        <v>33</v>
      </c>
      <c r="K787" s="3">
        <v>12</v>
      </c>
      <c r="L787" s="1" t="s">
        <v>40</v>
      </c>
      <c r="M787" s="1" t="s">
        <v>37</v>
      </c>
      <c r="N787" s="3">
        <v>2024010123</v>
      </c>
      <c r="O787" s="3">
        <f t="shared" si="108"/>
        <v>1.23</v>
      </c>
      <c r="P787" s="6">
        <f t="shared" si="109"/>
        <v>706366.86</v>
      </c>
      <c r="Q787" s="3" t="str">
        <f t="shared" si="110"/>
        <v>Excellent</v>
      </c>
      <c r="R787" s="3">
        <f t="shared" si="111"/>
        <v>10182</v>
      </c>
      <c r="S787" s="7">
        <f t="shared" si="112"/>
        <v>122184</v>
      </c>
      <c r="T787" s="3" t="str">
        <f t="shared" si="113"/>
        <v>High Profit</v>
      </c>
      <c r="U787" s="3" t="str">
        <f t="shared" si="114"/>
        <v>Medium Discount</v>
      </c>
      <c r="V787" s="3" t="str">
        <f t="shared" si="115"/>
        <v>Priority C</v>
      </c>
      <c r="W787">
        <f t="shared" si="116"/>
        <v>57428.200000000004</v>
      </c>
      <c r="X787" t="s">
        <v>23</v>
      </c>
      <c r="Y787" t="s">
        <v>23</v>
      </c>
      <c r="Z787" t="s">
        <v>23</v>
      </c>
      <c r="AA787" t="s">
        <v>23</v>
      </c>
      <c r="AB787" t="s">
        <v>23</v>
      </c>
      <c r="AC787" t="s">
        <v>23</v>
      </c>
      <c r="AD787" t="s">
        <v>23</v>
      </c>
      <c r="AE787" t="s">
        <v>23</v>
      </c>
      <c r="AF787" t="s">
        <v>23</v>
      </c>
      <c r="AG787" t="s">
        <v>23</v>
      </c>
      <c r="AH787" t="s">
        <v>23</v>
      </c>
      <c r="AI787" t="s">
        <v>23</v>
      </c>
      <c r="AJ787" t="s">
        <v>23</v>
      </c>
    </row>
    <row r="788" spans="1:36" x14ac:dyDescent="0.35">
      <c r="A788" s="2">
        <v>1786</v>
      </c>
      <c r="B788" s="4">
        <v>45087</v>
      </c>
      <c r="C788" s="1" t="s">
        <v>38</v>
      </c>
      <c r="D788" s="1" t="s">
        <v>31</v>
      </c>
      <c r="E788">
        <v>220423</v>
      </c>
      <c r="F788">
        <v>24</v>
      </c>
      <c r="G788" s="1" t="s">
        <v>35</v>
      </c>
      <c r="H788">
        <v>10224</v>
      </c>
      <c r="I788">
        <v>16992</v>
      </c>
      <c r="J788" s="1" t="s">
        <v>33</v>
      </c>
      <c r="K788" s="3">
        <v>25</v>
      </c>
      <c r="L788" s="1" t="s">
        <v>28</v>
      </c>
      <c r="M788" s="1" t="s">
        <v>29</v>
      </c>
      <c r="N788" s="3">
        <v>2024010123</v>
      </c>
      <c r="O788" s="3">
        <f t="shared" si="108"/>
        <v>1.23</v>
      </c>
      <c r="P788" s="6">
        <f t="shared" si="109"/>
        <v>271120.28999999998</v>
      </c>
      <c r="Q788" s="3" t="str">
        <f t="shared" si="110"/>
        <v>Excellent</v>
      </c>
      <c r="R788" s="3">
        <f t="shared" si="111"/>
        <v>6768</v>
      </c>
      <c r="S788" s="7">
        <f t="shared" si="112"/>
        <v>162432</v>
      </c>
      <c r="T788" s="3" t="str">
        <f t="shared" si="113"/>
        <v>High Profit</v>
      </c>
      <c r="U788" s="3" t="str">
        <f t="shared" si="114"/>
        <v>High Discount</v>
      </c>
      <c r="V788" s="3" t="str">
        <f t="shared" si="115"/>
        <v>Priority C</v>
      </c>
      <c r="W788">
        <f t="shared" si="116"/>
        <v>22042.300000000003</v>
      </c>
      <c r="X788" t="s">
        <v>23</v>
      </c>
      <c r="Y788" t="s">
        <v>23</v>
      </c>
      <c r="Z788" t="s">
        <v>23</v>
      </c>
      <c r="AA788" t="s">
        <v>23</v>
      </c>
      <c r="AB788" t="s">
        <v>23</v>
      </c>
      <c r="AC788" t="s">
        <v>23</v>
      </c>
      <c r="AD788" t="s">
        <v>23</v>
      </c>
      <c r="AE788" t="s">
        <v>23</v>
      </c>
      <c r="AF788" t="s">
        <v>23</v>
      </c>
      <c r="AG788" t="s">
        <v>23</v>
      </c>
      <c r="AH788" t="s">
        <v>23</v>
      </c>
      <c r="AI788" t="s">
        <v>23</v>
      </c>
      <c r="AJ788" t="s">
        <v>23</v>
      </c>
    </row>
    <row r="789" spans="1:36" x14ac:dyDescent="0.35">
      <c r="A789" s="2">
        <v>1787</v>
      </c>
      <c r="B789" s="4">
        <v>44961</v>
      </c>
      <c r="C789" s="1" t="s">
        <v>41</v>
      </c>
      <c r="D789" s="1" t="s">
        <v>43</v>
      </c>
      <c r="E789">
        <v>730474</v>
      </c>
      <c r="F789">
        <v>32</v>
      </c>
      <c r="G789" s="1" t="s">
        <v>35</v>
      </c>
      <c r="H789">
        <v>24794</v>
      </c>
      <c r="I789">
        <v>37100</v>
      </c>
      <c r="J789" s="1" t="s">
        <v>33</v>
      </c>
      <c r="K789" s="3">
        <v>19</v>
      </c>
      <c r="L789" s="1" t="s">
        <v>28</v>
      </c>
      <c r="M789" s="1" t="s">
        <v>29</v>
      </c>
      <c r="N789" s="3">
        <v>2024010123</v>
      </c>
      <c r="O789" s="3">
        <f t="shared" si="108"/>
        <v>1.23</v>
      </c>
      <c r="P789" s="6">
        <f t="shared" si="109"/>
        <v>898483.02</v>
      </c>
      <c r="Q789" s="3" t="str">
        <f t="shared" si="110"/>
        <v>Excellent</v>
      </c>
      <c r="R789" s="3">
        <f t="shared" si="111"/>
        <v>12306</v>
      </c>
      <c r="S789" s="7">
        <f t="shared" si="112"/>
        <v>393792</v>
      </c>
      <c r="T789" s="3" t="str">
        <f t="shared" si="113"/>
        <v>High Profit</v>
      </c>
      <c r="U789" s="3" t="str">
        <f t="shared" si="114"/>
        <v>High Discount</v>
      </c>
      <c r="V789" s="3" t="str">
        <f t="shared" si="115"/>
        <v>Priority C</v>
      </c>
      <c r="W789">
        <f t="shared" si="116"/>
        <v>73047.400000000009</v>
      </c>
      <c r="X789" t="s">
        <v>23</v>
      </c>
      <c r="Y789" t="s">
        <v>23</v>
      </c>
      <c r="Z789" t="s">
        <v>23</v>
      </c>
      <c r="AA789" t="s">
        <v>23</v>
      </c>
      <c r="AB789" t="s">
        <v>23</v>
      </c>
      <c r="AC789" t="s">
        <v>23</v>
      </c>
      <c r="AD789" t="s">
        <v>23</v>
      </c>
      <c r="AE789" t="s">
        <v>23</v>
      </c>
      <c r="AF789" t="s">
        <v>23</v>
      </c>
      <c r="AG789" t="s">
        <v>23</v>
      </c>
      <c r="AH789" t="s">
        <v>23</v>
      </c>
      <c r="AI789" t="s">
        <v>23</v>
      </c>
      <c r="AJ789" t="s">
        <v>23</v>
      </c>
    </row>
    <row r="790" spans="1:36" x14ac:dyDescent="0.35">
      <c r="A790" s="2">
        <v>1788</v>
      </c>
      <c r="B790" s="4">
        <v>45273</v>
      </c>
      <c r="C790" s="1" t="s">
        <v>38</v>
      </c>
      <c r="D790" s="1" t="s">
        <v>43</v>
      </c>
      <c r="E790">
        <v>873240</v>
      </c>
      <c r="F790">
        <v>34</v>
      </c>
      <c r="G790" s="1" t="s">
        <v>35</v>
      </c>
      <c r="H790">
        <v>19705</v>
      </c>
      <c r="I790">
        <v>32914</v>
      </c>
      <c r="J790" s="1" t="s">
        <v>33</v>
      </c>
      <c r="K790" s="3">
        <v>19</v>
      </c>
      <c r="L790" s="1" t="s">
        <v>40</v>
      </c>
      <c r="M790" s="1" t="s">
        <v>29</v>
      </c>
      <c r="N790" s="3">
        <v>2024010123</v>
      </c>
      <c r="O790" s="3">
        <f t="shared" si="108"/>
        <v>1.23</v>
      </c>
      <c r="P790" s="6">
        <f t="shared" si="109"/>
        <v>1074085.2</v>
      </c>
      <c r="Q790" s="3" t="str">
        <f t="shared" si="110"/>
        <v>Excellent</v>
      </c>
      <c r="R790" s="3">
        <f t="shared" si="111"/>
        <v>13209</v>
      </c>
      <c r="S790" s="7">
        <f t="shared" si="112"/>
        <v>449106</v>
      </c>
      <c r="T790" s="3" t="str">
        <f t="shared" si="113"/>
        <v>High Profit</v>
      </c>
      <c r="U790" s="3" t="str">
        <f t="shared" si="114"/>
        <v>High Discount</v>
      </c>
      <c r="V790" s="3" t="str">
        <f t="shared" si="115"/>
        <v>Priority C</v>
      </c>
      <c r="W790">
        <f t="shared" si="116"/>
        <v>87324</v>
      </c>
      <c r="X790" t="s">
        <v>23</v>
      </c>
      <c r="Y790" t="s">
        <v>23</v>
      </c>
      <c r="Z790" t="s">
        <v>23</v>
      </c>
      <c r="AA790" t="s">
        <v>23</v>
      </c>
      <c r="AB790" t="s">
        <v>23</v>
      </c>
      <c r="AC790" t="s">
        <v>23</v>
      </c>
      <c r="AD790" t="s">
        <v>23</v>
      </c>
      <c r="AE790" t="s">
        <v>23</v>
      </c>
      <c r="AF790" t="s">
        <v>23</v>
      </c>
      <c r="AG790" t="s">
        <v>23</v>
      </c>
      <c r="AH790" t="s">
        <v>23</v>
      </c>
      <c r="AI790" t="s">
        <v>23</v>
      </c>
      <c r="AJ790" t="s">
        <v>23</v>
      </c>
    </row>
    <row r="791" spans="1:36" x14ac:dyDescent="0.35">
      <c r="A791" s="2">
        <v>1789</v>
      </c>
      <c r="B791" s="4">
        <v>45241</v>
      </c>
      <c r="C791" s="1" t="s">
        <v>30</v>
      </c>
      <c r="D791" s="1" t="s">
        <v>42</v>
      </c>
      <c r="E791">
        <v>737042</v>
      </c>
      <c r="F791">
        <v>37</v>
      </c>
      <c r="G791" s="1" t="s">
        <v>39</v>
      </c>
      <c r="H791">
        <v>14733</v>
      </c>
      <c r="I791">
        <v>26327</v>
      </c>
      <c r="J791" s="1" t="s">
        <v>33</v>
      </c>
      <c r="K791" s="3">
        <v>20</v>
      </c>
      <c r="L791" s="1" t="s">
        <v>36</v>
      </c>
      <c r="M791" s="1" t="s">
        <v>29</v>
      </c>
      <c r="N791" s="3">
        <v>2024010123</v>
      </c>
      <c r="O791" s="3">
        <f t="shared" si="108"/>
        <v>1.23</v>
      </c>
      <c r="P791" s="6">
        <f t="shared" si="109"/>
        <v>906561.66</v>
      </c>
      <c r="Q791" s="3" t="str">
        <f t="shared" si="110"/>
        <v>Excellent</v>
      </c>
      <c r="R791" s="3">
        <f t="shared" si="111"/>
        <v>11594</v>
      </c>
      <c r="S791" s="7">
        <f t="shared" si="112"/>
        <v>428978</v>
      </c>
      <c r="T791" s="3" t="str">
        <f t="shared" si="113"/>
        <v>High Profit</v>
      </c>
      <c r="U791" s="3" t="str">
        <f t="shared" si="114"/>
        <v>High Discount</v>
      </c>
      <c r="V791" s="3" t="str">
        <f t="shared" si="115"/>
        <v>Priority B</v>
      </c>
      <c r="W791">
        <f t="shared" si="116"/>
        <v>73704.2</v>
      </c>
      <c r="X791" t="s">
        <v>23</v>
      </c>
      <c r="Y791" t="s">
        <v>23</v>
      </c>
      <c r="Z791" t="s">
        <v>23</v>
      </c>
      <c r="AA791" t="s">
        <v>23</v>
      </c>
      <c r="AB791" t="s">
        <v>23</v>
      </c>
      <c r="AC791" t="s">
        <v>23</v>
      </c>
      <c r="AD791" t="s">
        <v>23</v>
      </c>
      <c r="AE791" t="s">
        <v>23</v>
      </c>
      <c r="AF791" t="s">
        <v>23</v>
      </c>
      <c r="AG791" t="s">
        <v>23</v>
      </c>
      <c r="AH791" t="s">
        <v>23</v>
      </c>
      <c r="AI791" t="s">
        <v>23</v>
      </c>
      <c r="AJ791" t="s">
        <v>23</v>
      </c>
    </row>
    <row r="792" spans="1:36" x14ac:dyDescent="0.35">
      <c r="A792" s="2">
        <v>1790</v>
      </c>
      <c r="B792" s="4">
        <v>45025</v>
      </c>
      <c r="C792" s="1" t="s">
        <v>38</v>
      </c>
      <c r="D792" s="1" t="s">
        <v>43</v>
      </c>
      <c r="E792">
        <v>445074</v>
      </c>
      <c r="F792">
        <v>18</v>
      </c>
      <c r="G792" s="1" t="s">
        <v>26</v>
      </c>
      <c r="H792">
        <v>18221</v>
      </c>
      <c r="I792">
        <v>26000</v>
      </c>
      <c r="J792" s="1" t="s">
        <v>27</v>
      </c>
      <c r="K792" s="3">
        <v>0</v>
      </c>
      <c r="L792" s="1" t="s">
        <v>36</v>
      </c>
      <c r="M792" s="1" t="s">
        <v>37</v>
      </c>
      <c r="N792" s="3">
        <v>2024010123</v>
      </c>
      <c r="O792" s="3">
        <f t="shared" si="108"/>
        <v>1.23</v>
      </c>
      <c r="P792" s="6">
        <f t="shared" si="109"/>
        <v>547441.02</v>
      </c>
      <c r="Q792" s="3" t="str">
        <f t="shared" si="110"/>
        <v>Excellent</v>
      </c>
      <c r="R792" s="3">
        <f t="shared" si="111"/>
        <v>7779</v>
      </c>
      <c r="S792" s="7">
        <f t="shared" si="112"/>
        <v>140022</v>
      </c>
      <c r="T792" s="3" t="str">
        <f t="shared" si="113"/>
        <v>High Profit</v>
      </c>
      <c r="U792" s="3" t="str">
        <f t="shared" si="114"/>
        <v>No Discount</v>
      </c>
      <c r="V792" s="3" t="str">
        <f t="shared" si="115"/>
        <v>Priority C</v>
      </c>
      <c r="W792">
        <f t="shared" si="116"/>
        <v>66761.099999999991</v>
      </c>
      <c r="X792" t="s">
        <v>23</v>
      </c>
      <c r="Y792" t="s">
        <v>23</v>
      </c>
      <c r="Z792" t="s">
        <v>23</v>
      </c>
      <c r="AA792" t="s">
        <v>23</v>
      </c>
      <c r="AB792" t="s">
        <v>23</v>
      </c>
      <c r="AC792" t="s">
        <v>23</v>
      </c>
      <c r="AD792" t="s">
        <v>23</v>
      </c>
      <c r="AE792" t="s">
        <v>23</v>
      </c>
      <c r="AF792" t="s">
        <v>23</v>
      </c>
      <c r="AG792" t="s">
        <v>23</v>
      </c>
      <c r="AH792" t="s">
        <v>23</v>
      </c>
      <c r="AI792" t="s">
        <v>23</v>
      </c>
      <c r="AJ792" t="s">
        <v>23</v>
      </c>
    </row>
    <row r="793" spans="1:36" x14ac:dyDescent="0.35">
      <c r="A793" s="2">
        <v>1791</v>
      </c>
      <c r="B793" s="4">
        <v>45128</v>
      </c>
      <c r="C793" s="1" t="s">
        <v>30</v>
      </c>
      <c r="D793" s="1" t="s">
        <v>25</v>
      </c>
      <c r="E793">
        <v>607940</v>
      </c>
      <c r="F793">
        <v>18</v>
      </c>
      <c r="G793" s="1" t="s">
        <v>39</v>
      </c>
      <c r="H793">
        <v>42910</v>
      </c>
      <c r="I793">
        <v>46795</v>
      </c>
      <c r="J793" s="1" t="s">
        <v>27</v>
      </c>
      <c r="K793" s="3">
        <v>2</v>
      </c>
      <c r="L793" s="1" t="s">
        <v>40</v>
      </c>
      <c r="M793" s="1" t="s">
        <v>37</v>
      </c>
      <c r="N793" s="3">
        <v>2024010123</v>
      </c>
      <c r="O793" s="3">
        <f t="shared" si="108"/>
        <v>1.23</v>
      </c>
      <c r="P793" s="6">
        <f t="shared" si="109"/>
        <v>747766.2</v>
      </c>
      <c r="Q793" s="3" t="str">
        <f t="shared" si="110"/>
        <v>Excellent</v>
      </c>
      <c r="R793" s="3">
        <f t="shared" si="111"/>
        <v>3885</v>
      </c>
      <c r="S793" s="7">
        <f t="shared" si="112"/>
        <v>69930</v>
      </c>
      <c r="T793" s="3" t="str">
        <f t="shared" si="113"/>
        <v>High Profit</v>
      </c>
      <c r="U793" s="3" t="str">
        <f t="shared" si="114"/>
        <v>Low Discount</v>
      </c>
      <c r="V793" s="3" t="str">
        <f t="shared" si="115"/>
        <v>Priority C</v>
      </c>
      <c r="W793">
        <f t="shared" si="116"/>
        <v>91191</v>
      </c>
      <c r="X793" t="s">
        <v>23</v>
      </c>
      <c r="Y793" t="s">
        <v>23</v>
      </c>
      <c r="Z793" t="s">
        <v>23</v>
      </c>
      <c r="AA793" t="s">
        <v>23</v>
      </c>
      <c r="AB793" t="s">
        <v>23</v>
      </c>
      <c r="AC793" t="s">
        <v>23</v>
      </c>
      <c r="AD793" t="s">
        <v>23</v>
      </c>
      <c r="AE793" t="s">
        <v>23</v>
      </c>
      <c r="AF793" t="s">
        <v>23</v>
      </c>
      <c r="AG793" t="s">
        <v>23</v>
      </c>
      <c r="AH793" t="s">
        <v>23</v>
      </c>
      <c r="AI793" t="s">
        <v>23</v>
      </c>
      <c r="AJ793" t="s">
        <v>23</v>
      </c>
    </row>
    <row r="794" spans="1:36" x14ac:dyDescent="0.35">
      <c r="A794" s="2">
        <v>1792</v>
      </c>
      <c r="B794" s="4">
        <v>45286</v>
      </c>
      <c r="C794" s="1" t="s">
        <v>41</v>
      </c>
      <c r="D794" s="1" t="s">
        <v>42</v>
      </c>
      <c r="E794">
        <v>687031</v>
      </c>
      <c r="F794">
        <v>18</v>
      </c>
      <c r="G794" s="1" t="s">
        <v>39</v>
      </c>
      <c r="H794">
        <v>43504</v>
      </c>
      <c r="I794">
        <v>47323</v>
      </c>
      <c r="J794" s="1" t="s">
        <v>33</v>
      </c>
      <c r="K794" s="3">
        <v>2</v>
      </c>
      <c r="L794" s="1" t="s">
        <v>36</v>
      </c>
      <c r="M794" s="1" t="s">
        <v>29</v>
      </c>
      <c r="N794" s="3">
        <v>2024010123</v>
      </c>
      <c r="O794" s="3">
        <f t="shared" si="108"/>
        <v>1.23</v>
      </c>
      <c r="P794" s="6">
        <f t="shared" si="109"/>
        <v>845048.13</v>
      </c>
      <c r="Q794" s="3" t="str">
        <f t="shared" si="110"/>
        <v>Excellent</v>
      </c>
      <c r="R794" s="3">
        <f t="shared" si="111"/>
        <v>3819</v>
      </c>
      <c r="S794" s="7">
        <f t="shared" si="112"/>
        <v>68742</v>
      </c>
      <c r="T794" s="3" t="str">
        <f t="shared" si="113"/>
        <v>High Profit</v>
      </c>
      <c r="U794" s="3" t="str">
        <f t="shared" si="114"/>
        <v>Low Discount</v>
      </c>
      <c r="V794" s="3" t="str">
        <f t="shared" si="115"/>
        <v>Priority C</v>
      </c>
      <c r="W794">
        <f t="shared" si="116"/>
        <v>68703.100000000006</v>
      </c>
      <c r="X794" t="s">
        <v>23</v>
      </c>
      <c r="Y794" t="s">
        <v>23</v>
      </c>
      <c r="Z794" t="s">
        <v>23</v>
      </c>
      <c r="AA794" t="s">
        <v>23</v>
      </c>
      <c r="AB794" t="s">
        <v>23</v>
      </c>
      <c r="AC794" t="s">
        <v>23</v>
      </c>
      <c r="AD794" t="s">
        <v>23</v>
      </c>
      <c r="AE794" t="s">
        <v>23</v>
      </c>
      <c r="AF794" t="s">
        <v>23</v>
      </c>
      <c r="AG794" t="s">
        <v>23</v>
      </c>
      <c r="AH794" t="s">
        <v>23</v>
      </c>
      <c r="AI794" t="s">
        <v>23</v>
      </c>
      <c r="AJ794" t="s">
        <v>23</v>
      </c>
    </row>
    <row r="795" spans="1:36" x14ac:dyDescent="0.35">
      <c r="A795" s="2">
        <v>1793</v>
      </c>
      <c r="B795" s="4">
        <v>45235</v>
      </c>
      <c r="C795" s="1" t="s">
        <v>30</v>
      </c>
      <c r="D795" s="1" t="s">
        <v>25</v>
      </c>
      <c r="E795">
        <v>346191</v>
      </c>
      <c r="F795">
        <v>18</v>
      </c>
      <c r="G795" s="1" t="s">
        <v>39</v>
      </c>
      <c r="H795">
        <v>40957</v>
      </c>
      <c r="I795">
        <v>46539</v>
      </c>
      <c r="J795" s="1" t="s">
        <v>33</v>
      </c>
      <c r="K795" s="3">
        <v>10</v>
      </c>
      <c r="L795" s="1" t="s">
        <v>36</v>
      </c>
      <c r="M795" s="1" t="s">
        <v>29</v>
      </c>
      <c r="N795" s="3">
        <v>2024010123</v>
      </c>
      <c r="O795" s="3">
        <f t="shared" si="108"/>
        <v>1.23</v>
      </c>
      <c r="P795" s="6">
        <f t="shared" si="109"/>
        <v>425814.93</v>
      </c>
      <c r="Q795" s="3" t="str">
        <f t="shared" si="110"/>
        <v>Excellent</v>
      </c>
      <c r="R795" s="3">
        <f t="shared" si="111"/>
        <v>5582</v>
      </c>
      <c r="S795" s="7">
        <f t="shared" si="112"/>
        <v>100476</v>
      </c>
      <c r="T795" s="3" t="str">
        <f t="shared" si="113"/>
        <v>High Profit</v>
      </c>
      <c r="U795" s="3" t="str">
        <f t="shared" si="114"/>
        <v>Medium Discount</v>
      </c>
      <c r="V795" s="3" t="str">
        <f t="shared" si="115"/>
        <v>Priority C</v>
      </c>
      <c r="W795">
        <f t="shared" si="116"/>
        <v>34619.1</v>
      </c>
      <c r="X795" t="s">
        <v>23</v>
      </c>
      <c r="Y795" t="s">
        <v>23</v>
      </c>
      <c r="Z795" t="s">
        <v>23</v>
      </c>
      <c r="AA795" t="s">
        <v>23</v>
      </c>
      <c r="AB795" t="s">
        <v>23</v>
      </c>
      <c r="AC795" t="s">
        <v>23</v>
      </c>
      <c r="AD795" t="s">
        <v>23</v>
      </c>
      <c r="AE795" t="s">
        <v>23</v>
      </c>
      <c r="AF795" t="s">
        <v>23</v>
      </c>
      <c r="AG795" t="s">
        <v>23</v>
      </c>
      <c r="AH795" t="s">
        <v>23</v>
      </c>
      <c r="AI795" t="s">
        <v>23</v>
      </c>
      <c r="AJ795" t="s">
        <v>23</v>
      </c>
    </row>
    <row r="796" spans="1:36" x14ac:dyDescent="0.35">
      <c r="A796" s="2">
        <v>1794</v>
      </c>
      <c r="B796" s="4">
        <v>45089</v>
      </c>
      <c r="C796" s="1" t="s">
        <v>30</v>
      </c>
      <c r="D796" s="1" t="s">
        <v>31</v>
      </c>
      <c r="E796">
        <v>113850</v>
      </c>
      <c r="F796">
        <v>18</v>
      </c>
      <c r="G796" s="1" t="s">
        <v>39</v>
      </c>
      <c r="H796">
        <v>34516</v>
      </c>
      <c r="I796">
        <v>41561</v>
      </c>
      <c r="J796" s="1" t="s">
        <v>27</v>
      </c>
      <c r="K796" s="3">
        <v>8</v>
      </c>
      <c r="L796" s="1" t="s">
        <v>36</v>
      </c>
      <c r="M796" s="1" t="s">
        <v>37</v>
      </c>
      <c r="N796" s="3">
        <v>2024010123</v>
      </c>
      <c r="O796" s="3">
        <f t="shared" si="108"/>
        <v>1.23</v>
      </c>
      <c r="P796" s="6">
        <f t="shared" si="109"/>
        <v>140035.5</v>
      </c>
      <c r="Q796" s="3" t="str">
        <f t="shared" si="110"/>
        <v>Excellent</v>
      </c>
      <c r="R796" s="3">
        <f t="shared" si="111"/>
        <v>7045</v>
      </c>
      <c r="S796" s="7">
        <f t="shared" si="112"/>
        <v>126810</v>
      </c>
      <c r="T796" s="3" t="str">
        <f t="shared" si="113"/>
        <v>High Profit</v>
      </c>
      <c r="U796" s="3" t="str">
        <f t="shared" si="114"/>
        <v>Medium Discount</v>
      </c>
      <c r="V796" s="3" t="str">
        <f t="shared" si="115"/>
        <v>Priority C</v>
      </c>
      <c r="W796">
        <f t="shared" si="116"/>
        <v>17077.5</v>
      </c>
      <c r="X796" t="s">
        <v>23</v>
      </c>
      <c r="Y796" t="s">
        <v>23</v>
      </c>
      <c r="Z796" t="s">
        <v>23</v>
      </c>
      <c r="AA796" t="s">
        <v>23</v>
      </c>
      <c r="AB796" t="s">
        <v>23</v>
      </c>
      <c r="AC796" t="s">
        <v>23</v>
      </c>
      <c r="AD796" t="s">
        <v>23</v>
      </c>
      <c r="AE796" t="s">
        <v>23</v>
      </c>
      <c r="AF796" t="s">
        <v>23</v>
      </c>
      <c r="AG796" t="s">
        <v>23</v>
      </c>
      <c r="AH796" t="s">
        <v>23</v>
      </c>
      <c r="AI796" t="s">
        <v>23</v>
      </c>
      <c r="AJ796" t="s">
        <v>23</v>
      </c>
    </row>
    <row r="797" spans="1:36" x14ac:dyDescent="0.35">
      <c r="A797" s="2">
        <v>1795</v>
      </c>
      <c r="B797" s="4">
        <v>45057</v>
      </c>
      <c r="C797" s="1" t="s">
        <v>30</v>
      </c>
      <c r="D797" s="1" t="s">
        <v>25</v>
      </c>
      <c r="E797">
        <v>120224</v>
      </c>
      <c r="F797">
        <v>18</v>
      </c>
      <c r="G797" s="1" t="s">
        <v>26</v>
      </c>
      <c r="H797">
        <v>28220</v>
      </c>
      <c r="I797">
        <v>35673</v>
      </c>
      <c r="J797" s="1" t="s">
        <v>33</v>
      </c>
      <c r="K797" s="3">
        <v>7</v>
      </c>
      <c r="L797" s="1" t="s">
        <v>40</v>
      </c>
      <c r="M797" s="1" t="s">
        <v>29</v>
      </c>
      <c r="N797" s="3">
        <v>2024010123</v>
      </c>
      <c r="O797" s="3">
        <f t="shared" si="108"/>
        <v>1.23</v>
      </c>
      <c r="P797" s="6">
        <f t="shared" si="109"/>
        <v>147875.51999999999</v>
      </c>
      <c r="Q797" s="3" t="str">
        <f t="shared" si="110"/>
        <v>Excellent</v>
      </c>
      <c r="R797" s="3">
        <f t="shared" si="111"/>
        <v>7453</v>
      </c>
      <c r="S797" s="7">
        <f t="shared" si="112"/>
        <v>134154</v>
      </c>
      <c r="T797" s="3" t="str">
        <f t="shared" si="113"/>
        <v>High Profit</v>
      </c>
      <c r="U797" s="3" t="str">
        <f t="shared" si="114"/>
        <v>Medium Discount</v>
      </c>
      <c r="V797" s="3" t="str">
        <f t="shared" si="115"/>
        <v>Priority C</v>
      </c>
      <c r="W797">
        <f t="shared" si="116"/>
        <v>12022.400000000001</v>
      </c>
      <c r="X797" t="s">
        <v>23</v>
      </c>
      <c r="Y797" t="s">
        <v>23</v>
      </c>
      <c r="Z797" t="s">
        <v>23</v>
      </c>
      <c r="AA797" t="s">
        <v>23</v>
      </c>
      <c r="AB797" t="s">
        <v>23</v>
      </c>
      <c r="AC797" t="s">
        <v>23</v>
      </c>
      <c r="AD797" t="s">
        <v>23</v>
      </c>
      <c r="AE797" t="s">
        <v>23</v>
      </c>
      <c r="AF797" t="s">
        <v>23</v>
      </c>
      <c r="AG797" t="s">
        <v>23</v>
      </c>
      <c r="AH797" t="s">
        <v>23</v>
      </c>
      <c r="AI797" t="s">
        <v>23</v>
      </c>
      <c r="AJ797" t="s">
        <v>23</v>
      </c>
    </row>
    <row r="798" spans="1:36" x14ac:dyDescent="0.35">
      <c r="A798" s="2">
        <v>1796</v>
      </c>
      <c r="B798" s="4">
        <v>45195</v>
      </c>
      <c r="C798" s="1" t="s">
        <v>34</v>
      </c>
      <c r="D798" s="1" t="s">
        <v>25</v>
      </c>
      <c r="E798">
        <v>833612</v>
      </c>
      <c r="F798">
        <v>18</v>
      </c>
      <c r="G798" s="1" t="s">
        <v>26</v>
      </c>
      <c r="H798">
        <v>41526</v>
      </c>
      <c r="I798">
        <v>48560</v>
      </c>
      <c r="J798" s="1" t="s">
        <v>27</v>
      </c>
      <c r="K798" s="3">
        <v>25</v>
      </c>
      <c r="L798" s="1" t="s">
        <v>36</v>
      </c>
      <c r="M798" s="1" t="s">
        <v>29</v>
      </c>
      <c r="N798" s="3">
        <v>2024010123</v>
      </c>
      <c r="O798" s="3">
        <f t="shared" si="108"/>
        <v>1.23</v>
      </c>
      <c r="P798" s="6">
        <f t="shared" si="109"/>
        <v>1025342.76</v>
      </c>
      <c r="Q798" s="3" t="str">
        <f t="shared" si="110"/>
        <v>Excellent</v>
      </c>
      <c r="R798" s="3">
        <f t="shared" si="111"/>
        <v>7034</v>
      </c>
      <c r="S798" s="7">
        <f t="shared" si="112"/>
        <v>126612</v>
      </c>
      <c r="T798" s="3" t="str">
        <f t="shared" si="113"/>
        <v>High Profit</v>
      </c>
      <c r="U798" s="3" t="str">
        <f t="shared" si="114"/>
        <v>High Discount</v>
      </c>
      <c r="V798" s="3" t="str">
        <f t="shared" si="115"/>
        <v>Priority C</v>
      </c>
      <c r="W798">
        <f t="shared" si="116"/>
        <v>125041.79999999999</v>
      </c>
      <c r="X798" t="s">
        <v>23</v>
      </c>
      <c r="Y798" t="s">
        <v>23</v>
      </c>
      <c r="Z798" t="s">
        <v>23</v>
      </c>
      <c r="AA798" t="s">
        <v>23</v>
      </c>
      <c r="AB798" t="s">
        <v>23</v>
      </c>
      <c r="AC798" t="s">
        <v>23</v>
      </c>
      <c r="AD798" t="s">
        <v>23</v>
      </c>
      <c r="AE798" t="s">
        <v>23</v>
      </c>
      <c r="AF798" t="s">
        <v>23</v>
      </c>
      <c r="AG798" t="s">
        <v>23</v>
      </c>
      <c r="AH798" t="s">
        <v>23</v>
      </c>
      <c r="AI798" t="s">
        <v>23</v>
      </c>
      <c r="AJ798" t="s">
        <v>23</v>
      </c>
    </row>
    <row r="799" spans="1:36" x14ac:dyDescent="0.35">
      <c r="A799" s="2">
        <v>1797</v>
      </c>
      <c r="B799" s="4">
        <v>45232</v>
      </c>
      <c r="C799" s="1" t="s">
        <v>34</v>
      </c>
      <c r="D799" s="1" t="s">
        <v>31</v>
      </c>
      <c r="E799">
        <v>726157</v>
      </c>
      <c r="F799">
        <v>18</v>
      </c>
      <c r="G799" s="1" t="s">
        <v>39</v>
      </c>
      <c r="H799">
        <v>25999</v>
      </c>
      <c r="I799">
        <v>32610</v>
      </c>
      <c r="J799" s="1" t="s">
        <v>27</v>
      </c>
      <c r="K799" s="3">
        <v>27</v>
      </c>
      <c r="L799" s="1" t="s">
        <v>36</v>
      </c>
      <c r="M799" s="1" t="s">
        <v>29</v>
      </c>
      <c r="N799" s="3">
        <v>2024010123</v>
      </c>
      <c r="O799" s="3">
        <f t="shared" si="108"/>
        <v>1.23</v>
      </c>
      <c r="P799" s="6">
        <f t="shared" si="109"/>
        <v>893173.11</v>
      </c>
      <c r="Q799" s="3" t="str">
        <f t="shared" si="110"/>
        <v>Excellent</v>
      </c>
      <c r="R799" s="3">
        <f t="shared" si="111"/>
        <v>6611</v>
      </c>
      <c r="S799" s="7">
        <f t="shared" si="112"/>
        <v>118998</v>
      </c>
      <c r="T799" s="3" t="str">
        <f t="shared" si="113"/>
        <v>High Profit</v>
      </c>
      <c r="U799" s="3" t="str">
        <f t="shared" si="114"/>
        <v>High Discount</v>
      </c>
      <c r="V799" s="3" t="str">
        <f t="shared" si="115"/>
        <v>Priority C</v>
      </c>
      <c r="W799">
        <f t="shared" si="116"/>
        <v>108923.55</v>
      </c>
      <c r="X799" t="s">
        <v>23</v>
      </c>
      <c r="Y799" t="s">
        <v>23</v>
      </c>
      <c r="Z799" t="s">
        <v>23</v>
      </c>
      <c r="AA799" t="s">
        <v>23</v>
      </c>
      <c r="AB799" t="s">
        <v>23</v>
      </c>
      <c r="AC799" t="s">
        <v>23</v>
      </c>
      <c r="AD799" t="s">
        <v>23</v>
      </c>
      <c r="AE799" t="s">
        <v>23</v>
      </c>
      <c r="AF799" t="s">
        <v>23</v>
      </c>
      <c r="AG799" t="s">
        <v>23</v>
      </c>
      <c r="AH799" t="s">
        <v>23</v>
      </c>
      <c r="AI799" t="s">
        <v>23</v>
      </c>
      <c r="AJ799" t="s">
        <v>23</v>
      </c>
    </row>
    <row r="800" spans="1:36" x14ac:dyDescent="0.35">
      <c r="A800" s="2">
        <v>1798</v>
      </c>
      <c r="B800" s="4">
        <v>45051</v>
      </c>
      <c r="C800" s="1" t="s">
        <v>30</v>
      </c>
      <c r="D800" s="1" t="s">
        <v>42</v>
      </c>
      <c r="E800">
        <v>321812</v>
      </c>
      <c r="F800">
        <v>18</v>
      </c>
      <c r="G800" s="1" t="s">
        <v>26</v>
      </c>
      <c r="H800">
        <v>37469</v>
      </c>
      <c r="I800">
        <v>42687</v>
      </c>
      <c r="J800" s="1" t="s">
        <v>33</v>
      </c>
      <c r="K800" s="3">
        <v>28</v>
      </c>
      <c r="L800" s="1" t="s">
        <v>28</v>
      </c>
      <c r="M800" s="1" t="s">
        <v>29</v>
      </c>
      <c r="N800" s="3">
        <v>2024010123</v>
      </c>
      <c r="O800" s="3">
        <f t="shared" si="108"/>
        <v>1.23</v>
      </c>
      <c r="P800" s="6">
        <f t="shared" si="109"/>
        <v>395828.76</v>
      </c>
      <c r="Q800" s="3" t="str">
        <f t="shared" si="110"/>
        <v>Excellent</v>
      </c>
      <c r="R800" s="3">
        <f t="shared" si="111"/>
        <v>5218</v>
      </c>
      <c r="S800" s="7">
        <f t="shared" si="112"/>
        <v>93924</v>
      </c>
      <c r="T800" s="3" t="str">
        <f t="shared" si="113"/>
        <v>High Profit</v>
      </c>
      <c r="U800" s="3" t="str">
        <f t="shared" si="114"/>
        <v>High Discount</v>
      </c>
      <c r="V800" s="3" t="str">
        <f t="shared" si="115"/>
        <v>Priority C</v>
      </c>
      <c r="W800">
        <f t="shared" si="116"/>
        <v>32181.200000000001</v>
      </c>
      <c r="X800" t="s">
        <v>23</v>
      </c>
      <c r="Y800" t="s">
        <v>23</v>
      </c>
      <c r="Z800" t="s">
        <v>23</v>
      </c>
      <c r="AA800" t="s">
        <v>23</v>
      </c>
      <c r="AB800" t="s">
        <v>23</v>
      </c>
      <c r="AC800" t="s">
        <v>23</v>
      </c>
      <c r="AD800" t="s">
        <v>23</v>
      </c>
      <c r="AE800" t="s">
        <v>23</v>
      </c>
      <c r="AF800" t="s">
        <v>23</v>
      </c>
      <c r="AG800" t="s">
        <v>23</v>
      </c>
      <c r="AH800" t="s">
        <v>23</v>
      </c>
      <c r="AI800" t="s">
        <v>23</v>
      </c>
      <c r="AJ800" t="s">
        <v>23</v>
      </c>
    </row>
    <row r="801" spans="1:36" x14ac:dyDescent="0.35">
      <c r="A801" s="2">
        <v>1799</v>
      </c>
      <c r="B801" s="4">
        <v>45075</v>
      </c>
      <c r="C801" s="1" t="s">
        <v>30</v>
      </c>
      <c r="D801" s="1" t="s">
        <v>25</v>
      </c>
      <c r="E801">
        <v>497114</v>
      </c>
      <c r="F801">
        <v>8</v>
      </c>
      <c r="G801" s="1" t="s">
        <v>39</v>
      </c>
      <c r="H801">
        <v>40957</v>
      </c>
      <c r="I801">
        <v>44617</v>
      </c>
      <c r="J801" s="1" t="s">
        <v>33</v>
      </c>
      <c r="K801" s="3">
        <v>18</v>
      </c>
      <c r="L801" s="1" t="s">
        <v>36</v>
      </c>
      <c r="M801" s="1" t="s">
        <v>29</v>
      </c>
      <c r="N801" s="3">
        <v>2024010123</v>
      </c>
      <c r="O801" s="3">
        <f t="shared" si="108"/>
        <v>1.23</v>
      </c>
      <c r="P801" s="6">
        <f t="shared" si="109"/>
        <v>611450.22</v>
      </c>
      <c r="Q801" s="3" t="str">
        <f t="shared" si="110"/>
        <v>Excellent</v>
      </c>
      <c r="R801" s="3">
        <f t="shared" si="111"/>
        <v>3660</v>
      </c>
      <c r="S801" s="7">
        <f t="shared" si="112"/>
        <v>29280</v>
      </c>
      <c r="T801" s="3" t="str">
        <f t="shared" si="113"/>
        <v>High Profit</v>
      </c>
      <c r="U801" s="3" t="str">
        <f t="shared" si="114"/>
        <v>High Discount</v>
      </c>
      <c r="V801" s="3" t="str">
        <f t="shared" si="115"/>
        <v>Priority D</v>
      </c>
      <c r="W801">
        <f t="shared" si="116"/>
        <v>49711.4</v>
      </c>
      <c r="X801" t="s">
        <v>23</v>
      </c>
      <c r="Y801" t="s">
        <v>23</v>
      </c>
      <c r="Z801" t="s">
        <v>23</v>
      </c>
      <c r="AA801" t="s">
        <v>23</v>
      </c>
      <c r="AB801" t="s">
        <v>23</v>
      </c>
      <c r="AC801" t="s">
        <v>23</v>
      </c>
      <c r="AD801" t="s">
        <v>23</v>
      </c>
      <c r="AE801" t="s">
        <v>23</v>
      </c>
      <c r="AF801" t="s">
        <v>23</v>
      </c>
      <c r="AG801" t="s">
        <v>23</v>
      </c>
      <c r="AH801" t="s">
        <v>23</v>
      </c>
      <c r="AI801" t="s">
        <v>23</v>
      </c>
      <c r="AJ801" t="s">
        <v>23</v>
      </c>
    </row>
    <row r="802" spans="1:36" x14ac:dyDescent="0.35">
      <c r="A802" s="2">
        <v>1800</v>
      </c>
      <c r="B802" s="4">
        <v>45042</v>
      </c>
      <c r="C802" s="1" t="s">
        <v>41</v>
      </c>
      <c r="D802" s="1" t="s">
        <v>42</v>
      </c>
      <c r="E802">
        <v>855293</v>
      </c>
      <c r="F802">
        <v>12</v>
      </c>
      <c r="G802" s="1" t="s">
        <v>39</v>
      </c>
      <c r="H802">
        <v>12000</v>
      </c>
      <c r="I802">
        <v>23000</v>
      </c>
      <c r="J802" s="1" t="s">
        <v>27</v>
      </c>
      <c r="K802" s="3">
        <v>0</v>
      </c>
      <c r="L802" s="1" t="s">
        <v>36</v>
      </c>
      <c r="M802" s="1" t="s">
        <v>37</v>
      </c>
      <c r="N802" s="3">
        <v>2024010123</v>
      </c>
      <c r="O802" s="3">
        <f t="shared" si="108"/>
        <v>1.23</v>
      </c>
      <c r="P802" s="6">
        <f t="shared" si="109"/>
        <v>1052010.3899999999</v>
      </c>
      <c r="Q802" s="3" t="str">
        <f t="shared" si="110"/>
        <v>Excellent</v>
      </c>
      <c r="R802" s="3">
        <f t="shared" si="111"/>
        <v>11000</v>
      </c>
      <c r="S802" s="7">
        <f t="shared" si="112"/>
        <v>132000</v>
      </c>
      <c r="T802" s="3" t="str">
        <f t="shared" si="113"/>
        <v>High Profit</v>
      </c>
      <c r="U802" s="3" t="str">
        <f t="shared" si="114"/>
        <v>No Discount</v>
      </c>
      <c r="V802" s="3" t="str">
        <f t="shared" si="115"/>
        <v>Priority C</v>
      </c>
      <c r="W802">
        <f t="shared" si="116"/>
        <v>128293.95</v>
      </c>
      <c r="X802" t="s">
        <v>23</v>
      </c>
      <c r="Y802" t="s">
        <v>23</v>
      </c>
      <c r="Z802" t="s">
        <v>23</v>
      </c>
      <c r="AA802" t="s">
        <v>23</v>
      </c>
      <c r="AB802" t="s">
        <v>23</v>
      </c>
      <c r="AC802" t="s">
        <v>23</v>
      </c>
      <c r="AD802" t="s">
        <v>23</v>
      </c>
      <c r="AE802" t="s">
        <v>23</v>
      </c>
      <c r="AF802" t="s">
        <v>23</v>
      </c>
      <c r="AG802" t="s">
        <v>23</v>
      </c>
      <c r="AH802" t="s">
        <v>23</v>
      </c>
      <c r="AI802" t="s">
        <v>23</v>
      </c>
      <c r="AJ802" t="s">
        <v>23</v>
      </c>
    </row>
    <row r="803" spans="1:36" x14ac:dyDescent="0.35">
      <c r="A803" s="2">
        <v>1801</v>
      </c>
      <c r="B803" s="4">
        <v>44992</v>
      </c>
      <c r="C803" s="1" t="s">
        <v>24</v>
      </c>
      <c r="D803" s="1" t="s">
        <v>31</v>
      </c>
      <c r="E803">
        <v>931923</v>
      </c>
      <c r="F803">
        <v>12</v>
      </c>
      <c r="G803" s="1" t="s">
        <v>35</v>
      </c>
      <c r="H803">
        <v>41896</v>
      </c>
      <c r="I803">
        <v>46355</v>
      </c>
      <c r="J803" s="1" t="s">
        <v>27</v>
      </c>
      <c r="K803" s="3">
        <v>2</v>
      </c>
      <c r="L803" s="1" t="s">
        <v>40</v>
      </c>
      <c r="M803" s="1" t="s">
        <v>29</v>
      </c>
      <c r="N803" s="3">
        <v>2024010123</v>
      </c>
      <c r="O803" s="3">
        <f t="shared" si="108"/>
        <v>1.23</v>
      </c>
      <c r="P803" s="6">
        <f t="shared" si="109"/>
        <v>1146265.29</v>
      </c>
      <c r="Q803" s="3" t="str">
        <f t="shared" si="110"/>
        <v>Excellent</v>
      </c>
      <c r="R803" s="3">
        <f t="shared" si="111"/>
        <v>4459</v>
      </c>
      <c r="S803" s="7">
        <f t="shared" si="112"/>
        <v>53508</v>
      </c>
      <c r="T803" s="3" t="str">
        <f t="shared" si="113"/>
        <v>High Profit</v>
      </c>
      <c r="U803" s="3" t="str">
        <f t="shared" si="114"/>
        <v>Low Discount</v>
      </c>
      <c r="V803" s="3" t="str">
        <f t="shared" si="115"/>
        <v>Priority D</v>
      </c>
      <c r="W803">
        <f t="shared" si="116"/>
        <v>139788.44999999998</v>
      </c>
      <c r="X803" t="s">
        <v>23</v>
      </c>
      <c r="Y803" t="s">
        <v>23</v>
      </c>
      <c r="Z803" t="s">
        <v>23</v>
      </c>
      <c r="AA803" t="s">
        <v>23</v>
      </c>
      <c r="AB803" t="s">
        <v>23</v>
      </c>
      <c r="AC803" t="s">
        <v>23</v>
      </c>
      <c r="AD803" t="s">
        <v>23</v>
      </c>
      <c r="AE803" t="s">
        <v>23</v>
      </c>
      <c r="AF803" t="s">
        <v>23</v>
      </c>
      <c r="AG803" t="s">
        <v>23</v>
      </c>
      <c r="AH803" t="s">
        <v>23</v>
      </c>
      <c r="AI803" t="s">
        <v>23</v>
      </c>
      <c r="AJ803" t="s">
        <v>23</v>
      </c>
    </row>
    <row r="804" spans="1:36" x14ac:dyDescent="0.35">
      <c r="A804" s="2">
        <v>1802</v>
      </c>
      <c r="B804" s="4">
        <v>45140</v>
      </c>
      <c r="C804" s="1" t="s">
        <v>41</v>
      </c>
      <c r="D804" s="1" t="s">
        <v>31</v>
      </c>
      <c r="E804">
        <v>789560</v>
      </c>
      <c r="F804">
        <v>12</v>
      </c>
      <c r="G804" s="1" t="s">
        <v>26</v>
      </c>
      <c r="H804">
        <v>41830</v>
      </c>
      <c r="I804">
        <v>44875</v>
      </c>
      <c r="J804" s="1" t="s">
        <v>33</v>
      </c>
      <c r="K804" s="3">
        <v>2</v>
      </c>
      <c r="L804" s="1" t="s">
        <v>40</v>
      </c>
      <c r="M804" s="1" t="s">
        <v>29</v>
      </c>
      <c r="N804" s="3">
        <v>2024010123</v>
      </c>
      <c r="O804" s="3">
        <f t="shared" si="108"/>
        <v>1.23</v>
      </c>
      <c r="P804" s="6">
        <f t="shared" si="109"/>
        <v>971158.79999999993</v>
      </c>
      <c r="Q804" s="3" t="str">
        <f t="shared" si="110"/>
        <v>Excellent</v>
      </c>
      <c r="R804" s="3">
        <f t="shared" si="111"/>
        <v>3045</v>
      </c>
      <c r="S804" s="7">
        <f t="shared" si="112"/>
        <v>36540</v>
      </c>
      <c r="T804" s="3" t="str">
        <f t="shared" si="113"/>
        <v>High Profit</v>
      </c>
      <c r="U804" s="3" t="str">
        <f t="shared" si="114"/>
        <v>Low Discount</v>
      </c>
      <c r="V804" s="3" t="str">
        <f t="shared" si="115"/>
        <v>Priority D</v>
      </c>
      <c r="W804">
        <f t="shared" si="116"/>
        <v>78956</v>
      </c>
      <c r="X804" t="s">
        <v>23</v>
      </c>
      <c r="Y804" t="s">
        <v>23</v>
      </c>
      <c r="Z804" t="s">
        <v>23</v>
      </c>
      <c r="AA804" t="s">
        <v>23</v>
      </c>
      <c r="AB804" t="s">
        <v>23</v>
      </c>
      <c r="AC804" t="s">
        <v>23</v>
      </c>
      <c r="AD804" t="s">
        <v>23</v>
      </c>
      <c r="AE804" t="s">
        <v>23</v>
      </c>
      <c r="AF804" t="s">
        <v>23</v>
      </c>
      <c r="AG804" t="s">
        <v>23</v>
      </c>
      <c r="AH804" t="s">
        <v>23</v>
      </c>
      <c r="AI804" t="s">
        <v>23</v>
      </c>
      <c r="AJ804" t="s">
        <v>23</v>
      </c>
    </row>
    <row r="805" spans="1:36" x14ac:dyDescent="0.35">
      <c r="A805" s="2">
        <v>1803</v>
      </c>
      <c r="B805" s="4">
        <v>45100</v>
      </c>
      <c r="C805" s="1" t="s">
        <v>24</v>
      </c>
      <c r="D805" s="1" t="s">
        <v>25</v>
      </c>
      <c r="E805">
        <v>807264</v>
      </c>
      <c r="F805">
        <v>12</v>
      </c>
      <c r="G805" s="1" t="s">
        <v>39</v>
      </c>
      <c r="H805">
        <v>54398</v>
      </c>
      <c r="I805">
        <v>57883</v>
      </c>
      <c r="J805" s="1" t="s">
        <v>27</v>
      </c>
      <c r="K805" s="3">
        <v>13</v>
      </c>
      <c r="L805" s="1" t="s">
        <v>40</v>
      </c>
      <c r="M805" s="1" t="s">
        <v>29</v>
      </c>
      <c r="N805" s="3">
        <v>2024010123</v>
      </c>
      <c r="O805" s="3">
        <f t="shared" si="108"/>
        <v>1.23</v>
      </c>
      <c r="P805" s="6">
        <f t="shared" si="109"/>
        <v>992934.72</v>
      </c>
      <c r="Q805" s="3" t="str">
        <f t="shared" si="110"/>
        <v>Excellent</v>
      </c>
      <c r="R805" s="3">
        <f t="shared" si="111"/>
        <v>3485</v>
      </c>
      <c r="S805" s="7">
        <f t="shared" si="112"/>
        <v>41820</v>
      </c>
      <c r="T805" s="3" t="str">
        <f t="shared" si="113"/>
        <v>High Profit</v>
      </c>
      <c r="U805" s="3" t="str">
        <f t="shared" si="114"/>
        <v>Medium Discount</v>
      </c>
      <c r="V805" s="3" t="str">
        <f t="shared" si="115"/>
        <v>Priority D</v>
      </c>
      <c r="W805">
        <f t="shared" si="116"/>
        <v>121089.59999999999</v>
      </c>
      <c r="X805" t="s">
        <v>23</v>
      </c>
      <c r="Y805" t="s">
        <v>23</v>
      </c>
      <c r="Z805" t="s">
        <v>23</v>
      </c>
      <c r="AA805" t="s">
        <v>23</v>
      </c>
      <c r="AB805" t="s">
        <v>23</v>
      </c>
      <c r="AC805" t="s">
        <v>23</v>
      </c>
      <c r="AD805" t="s">
        <v>23</v>
      </c>
      <c r="AE805" t="s">
        <v>23</v>
      </c>
      <c r="AF805" t="s">
        <v>23</v>
      </c>
      <c r="AG805" t="s">
        <v>23</v>
      </c>
      <c r="AH805" t="s">
        <v>23</v>
      </c>
      <c r="AI805" t="s">
        <v>23</v>
      </c>
      <c r="AJ805" t="s">
        <v>23</v>
      </c>
    </row>
    <row r="806" spans="1:36" x14ac:dyDescent="0.35">
      <c r="A806" s="2">
        <v>1804</v>
      </c>
      <c r="B806" s="4">
        <v>45194</v>
      </c>
      <c r="C806" s="1" t="s">
        <v>34</v>
      </c>
      <c r="D806" s="1" t="s">
        <v>43</v>
      </c>
      <c r="E806">
        <v>993869</v>
      </c>
      <c r="F806">
        <v>12</v>
      </c>
      <c r="G806" s="1" t="s">
        <v>39</v>
      </c>
      <c r="H806">
        <v>30606</v>
      </c>
      <c r="I806">
        <v>35447</v>
      </c>
      <c r="J806" s="1" t="s">
        <v>27</v>
      </c>
      <c r="K806" s="3">
        <v>11</v>
      </c>
      <c r="L806" s="1" t="s">
        <v>40</v>
      </c>
      <c r="M806" s="1" t="s">
        <v>37</v>
      </c>
      <c r="N806" s="3">
        <v>2024010123</v>
      </c>
      <c r="O806" s="3">
        <f t="shared" si="108"/>
        <v>1.23</v>
      </c>
      <c r="P806" s="6">
        <f t="shared" si="109"/>
        <v>1222458.8699999999</v>
      </c>
      <c r="Q806" s="3" t="str">
        <f t="shared" si="110"/>
        <v>Excellent</v>
      </c>
      <c r="R806" s="3">
        <f t="shared" si="111"/>
        <v>4841</v>
      </c>
      <c r="S806" s="7">
        <f t="shared" si="112"/>
        <v>58092</v>
      </c>
      <c r="T806" s="3" t="str">
        <f t="shared" si="113"/>
        <v>High Profit</v>
      </c>
      <c r="U806" s="3" t="str">
        <f t="shared" si="114"/>
        <v>Medium Discount</v>
      </c>
      <c r="V806" s="3" t="str">
        <f t="shared" si="115"/>
        <v>Priority C</v>
      </c>
      <c r="W806">
        <f t="shared" si="116"/>
        <v>149080.35</v>
      </c>
      <c r="X806" t="s">
        <v>23</v>
      </c>
      <c r="Y806" t="s">
        <v>23</v>
      </c>
      <c r="Z806" t="s">
        <v>23</v>
      </c>
      <c r="AA806" t="s">
        <v>23</v>
      </c>
      <c r="AB806" t="s">
        <v>23</v>
      </c>
      <c r="AC806" t="s">
        <v>23</v>
      </c>
      <c r="AD806" t="s">
        <v>23</v>
      </c>
      <c r="AE806" t="s">
        <v>23</v>
      </c>
      <c r="AF806" t="s">
        <v>23</v>
      </c>
      <c r="AG806" t="s">
        <v>23</v>
      </c>
      <c r="AH806" t="s">
        <v>23</v>
      </c>
      <c r="AI806" t="s">
        <v>23</v>
      </c>
      <c r="AJ806" t="s">
        <v>23</v>
      </c>
    </row>
    <row r="807" spans="1:36" x14ac:dyDescent="0.35">
      <c r="A807" s="2">
        <v>1805</v>
      </c>
      <c r="B807" s="4">
        <v>45107</v>
      </c>
      <c r="C807" s="1" t="s">
        <v>30</v>
      </c>
      <c r="D807" s="1" t="s">
        <v>42</v>
      </c>
      <c r="E807">
        <v>720474</v>
      </c>
      <c r="F807">
        <v>12</v>
      </c>
      <c r="G807" s="1" t="s">
        <v>26</v>
      </c>
      <c r="H807">
        <v>22635</v>
      </c>
      <c r="I807">
        <v>26388</v>
      </c>
      <c r="J807" s="1" t="s">
        <v>27</v>
      </c>
      <c r="K807" s="3">
        <v>5</v>
      </c>
      <c r="L807" s="1" t="s">
        <v>36</v>
      </c>
      <c r="M807" s="1" t="s">
        <v>29</v>
      </c>
      <c r="N807" s="3">
        <v>2024010123</v>
      </c>
      <c r="O807" s="3">
        <f t="shared" si="108"/>
        <v>1.23</v>
      </c>
      <c r="P807" s="6">
        <f t="shared" si="109"/>
        <v>886183.02</v>
      </c>
      <c r="Q807" s="3" t="str">
        <f t="shared" si="110"/>
        <v>Excellent</v>
      </c>
      <c r="R807" s="3">
        <f t="shared" si="111"/>
        <v>3753</v>
      </c>
      <c r="S807" s="7">
        <f t="shared" si="112"/>
        <v>45036</v>
      </c>
      <c r="T807" s="3" t="str">
        <f t="shared" si="113"/>
        <v>High Profit</v>
      </c>
      <c r="U807" s="3" t="str">
        <f t="shared" si="114"/>
        <v>Medium Discount</v>
      </c>
      <c r="V807" s="3" t="str">
        <f t="shared" si="115"/>
        <v>Priority D</v>
      </c>
      <c r="W807">
        <f t="shared" si="116"/>
        <v>108071.09999999999</v>
      </c>
      <c r="X807" t="s">
        <v>23</v>
      </c>
      <c r="Y807" t="s">
        <v>23</v>
      </c>
      <c r="Z807" t="s">
        <v>23</v>
      </c>
      <c r="AA807" t="s">
        <v>23</v>
      </c>
      <c r="AB807" t="s">
        <v>23</v>
      </c>
      <c r="AC807" t="s">
        <v>23</v>
      </c>
      <c r="AD807" t="s">
        <v>23</v>
      </c>
      <c r="AE807" t="s">
        <v>23</v>
      </c>
      <c r="AF807" t="s">
        <v>23</v>
      </c>
      <c r="AG807" t="s">
        <v>23</v>
      </c>
      <c r="AH807" t="s">
        <v>23</v>
      </c>
      <c r="AI807" t="s">
        <v>23</v>
      </c>
      <c r="AJ807" t="s">
        <v>23</v>
      </c>
    </row>
    <row r="808" spans="1:36" x14ac:dyDescent="0.35">
      <c r="A808" s="2">
        <v>1806</v>
      </c>
      <c r="B808" s="4">
        <v>45046</v>
      </c>
      <c r="C808" s="1" t="s">
        <v>41</v>
      </c>
      <c r="D808" s="1" t="s">
        <v>31</v>
      </c>
      <c r="E808">
        <v>580921</v>
      </c>
      <c r="F808">
        <v>12</v>
      </c>
      <c r="G808" s="1" t="s">
        <v>35</v>
      </c>
      <c r="H808">
        <v>53301</v>
      </c>
      <c r="I808">
        <v>55275</v>
      </c>
      <c r="J808" s="1" t="s">
        <v>27</v>
      </c>
      <c r="K808" s="3">
        <v>29</v>
      </c>
      <c r="L808" s="1" t="s">
        <v>28</v>
      </c>
      <c r="M808" s="1" t="s">
        <v>29</v>
      </c>
      <c r="N808" s="3">
        <v>2024010123</v>
      </c>
      <c r="O808" s="3">
        <f t="shared" si="108"/>
        <v>1.23</v>
      </c>
      <c r="P808" s="6">
        <f t="shared" si="109"/>
        <v>714532.83</v>
      </c>
      <c r="Q808" s="3" t="str">
        <f t="shared" si="110"/>
        <v>Excellent</v>
      </c>
      <c r="R808" s="3">
        <f t="shared" si="111"/>
        <v>1974</v>
      </c>
      <c r="S808" s="7">
        <f t="shared" si="112"/>
        <v>23688</v>
      </c>
      <c r="T808" s="3" t="str">
        <f t="shared" si="113"/>
        <v>High Profit</v>
      </c>
      <c r="U808" s="3" t="str">
        <f t="shared" si="114"/>
        <v>High Discount</v>
      </c>
      <c r="V808" s="3" t="str">
        <f t="shared" si="115"/>
        <v>Priority D</v>
      </c>
      <c r="W808">
        <f t="shared" si="116"/>
        <v>87138.15</v>
      </c>
      <c r="X808" t="s">
        <v>23</v>
      </c>
      <c r="Y808" t="s">
        <v>23</v>
      </c>
      <c r="Z808" t="s">
        <v>23</v>
      </c>
      <c r="AA808" t="s">
        <v>23</v>
      </c>
      <c r="AB808" t="s">
        <v>23</v>
      </c>
      <c r="AC808" t="s">
        <v>23</v>
      </c>
      <c r="AD808" t="s">
        <v>23</v>
      </c>
      <c r="AE808" t="s">
        <v>23</v>
      </c>
      <c r="AF808" t="s">
        <v>23</v>
      </c>
      <c r="AG808" t="s">
        <v>23</v>
      </c>
      <c r="AH808" t="s">
        <v>23</v>
      </c>
      <c r="AI808" t="s">
        <v>23</v>
      </c>
      <c r="AJ808" t="s">
        <v>23</v>
      </c>
    </row>
    <row r="809" spans="1:36" x14ac:dyDescent="0.35">
      <c r="A809" s="2">
        <v>1807</v>
      </c>
      <c r="B809" s="4">
        <v>45067</v>
      </c>
      <c r="C809" s="1" t="s">
        <v>41</v>
      </c>
      <c r="D809" s="1" t="s">
        <v>42</v>
      </c>
      <c r="E809">
        <v>531871</v>
      </c>
      <c r="F809">
        <v>12</v>
      </c>
      <c r="G809" s="1" t="s">
        <v>35</v>
      </c>
      <c r="H809">
        <v>24250</v>
      </c>
      <c r="I809">
        <v>26479</v>
      </c>
      <c r="J809" s="1" t="s">
        <v>27</v>
      </c>
      <c r="K809" s="3">
        <v>25</v>
      </c>
      <c r="L809" s="1" t="s">
        <v>28</v>
      </c>
      <c r="M809" s="1" t="s">
        <v>29</v>
      </c>
      <c r="N809" s="3">
        <v>2024010123</v>
      </c>
      <c r="O809" s="3">
        <f t="shared" si="108"/>
        <v>1.23</v>
      </c>
      <c r="P809" s="6">
        <f t="shared" si="109"/>
        <v>654201.32999999996</v>
      </c>
      <c r="Q809" s="3" t="str">
        <f t="shared" si="110"/>
        <v>Excellent</v>
      </c>
      <c r="R809" s="3">
        <f t="shared" si="111"/>
        <v>2229</v>
      </c>
      <c r="S809" s="7">
        <f t="shared" si="112"/>
        <v>26748</v>
      </c>
      <c r="T809" s="3" t="str">
        <f t="shared" si="113"/>
        <v>High Profit</v>
      </c>
      <c r="U809" s="3" t="str">
        <f t="shared" si="114"/>
        <v>High Discount</v>
      </c>
      <c r="V809" s="3" t="str">
        <f t="shared" si="115"/>
        <v>Priority D</v>
      </c>
      <c r="W809">
        <f t="shared" si="116"/>
        <v>79780.649999999994</v>
      </c>
      <c r="X809" t="s">
        <v>23</v>
      </c>
      <c r="Y809" t="s">
        <v>23</v>
      </c>
      <c r="Z809" t="s">
        <v>23</v>
      </c>
      <c r="AA809" t="s">
        <v>23</v>
      </c>
      <c r="AB809" t="s">
        <v>23</v>
      </c>
      <c r="AC809" t="s">
        <v>23</v>
      </c>
      <c r="AD809" t="s">
        <v>23</v>
      </c>
      <c r="AE809" t="s">
        <v>23</v>
      </c>
      <c r="AF809" t="s">
        <v>23</v>
      </c>
      <c r="AG809" t="s">
        <v>23</v>
      </c>
      <c r="AH809" t="s">
        <v>23</v>
      </c>
      <c r="AI809" t="s">
        <v>23</v>
      </c>
      <c r="AJ809" t="s">
        <v>23</v>
      </c>
    </row>
    <row r="810" spans="1:36" x14ac:dyDescent="0.35">
      <c r="A810" s="2">
        <v>1808</v>
      </c>
      <c r="B810" s="4">
        <v>45116</v>
      </c>
      <c r="C810" s="1" t="s">
        <v>30</v>
      </c>
      <c r="D810" s="1" t="s">
        <v>25</v>
      </c>
      <c r="E810">
        <v>402795</v>
      </c>
      <c r="F810">
        <v>12</v>
      </c>
      <c r="G810" s="1" t="s">
        <v>32</v>
      </c>
      <c r="H810">
        <v>59967</v>
      </c>
      <c r="I810">
        <v>64886</v>
      </c>
      <c r="J810" s="1" t="s">
        <v>33</v>
      </c>
      <c r="K810" s="3">
        <v>26</v>
      </c>
      <c r="L810" s="1" t="s">
        <v>28</v>
      </c>
      <c r="M810" s="1" t="s">
        <v>37</v>
      </c>
      <c r="N810" s="3">
        <v>2024010123</v>
      </c>
      <c r="O810" s="3">
        <f t="shared" si="108"/>
        <v>1.23</v>
      </c>
      <c r="P810" s="6">
        <f t="shared" si="109"/>
        <v>495437.85</v>
      </c>
      <c r="Q810" s="3" t="str">
        <f t="shared" si="110"/>
        <v>Excellent</v>
      </c>
      <c r="R810" s="3">
        <f t="shared" si="111"/>
        <v>4919</v>
      </c>
      <c r="S810" s="7">
        <f t="shared" si="112"/>
        <v>59028</v>
      </c>
      <c r="T810" s="3" t="str">
        <f t="shared" si="113"/>
        <v>High Profit</v>
      </c>
      <c r="U810" s="3" t="str">
        <f t="shared" si="114"/>
        <v>High Discount</v>
      </c>
      <c r="V810" s="3" t="str">
        <f t="shared" si="115"/>
        <v>Priority C</v>
      </c>
      <c r="W810">
        <f t="shared" si="116"/>
        <v>40279.5</v>
      </c>
      <c r="X810" t="s">
        <v>23</v>
      </c>
      <c r="Y810" t="s">
        <v>23</v>
      </c>
      <c r="Z810" t="s">
        <v>23</v>
      </c>
      <c r="AA810" t="s">
        <v>23</v>
      </c>
      <c r="AB810" t="s">
        <v>23</v>
      </c>
      <c r="AC810" t="s">
        <v>23</v>
      </c>
      <c r="AD810" t="s">
        <v>23</v>
      </c>
      <c r="AE810" t="s">
        <v>23</v>
      </c>
      <c r="AF810" t="s">
        <v>23</v>
      </c>
      <c r="AG810" t="s">
        <v>23</v>
      </c>
      <c r="AH810" t="s">
        <v>23</v>
      </c>
      <c r="AI810" t="s">
        <v>23</v>
      </c>
      <c r="AJ810" t="s">
        <v>23</v>
      </c>
    </row>
    <row r="811" spans="1:36" x14ac:dyDescent="0.35">
      <c r="A811" s="2">
        <v>1809</v>
      </c>
      <c r="B811" s="4">
        <v>45091</v>
      </c>
      <c r="C811" s="1" t="s">
        <v>24</v>
      </c>
      <c r="D811" s="1" t="s">
        <v>25</v>
      </c>
      <c r="E811">
        <v>707620</v>
      </c>
      <c r="F811">
        <v>12</v>
      </c>
      <c r="G811" s="1" t="s">
        <v>35</v>
      </c>
      <c r="H811">
        <v>59357</v>
      </c>
      <c r="I811">
        <v>61906</v>
      </c>
      <c r="J811" s="1" t="s">
        <v>33</v>
      </c>
      <c r="K811" s="3">
        <v>15</v>
      </c>
      <c r="L811" s="1" t="s">
        <v>28</v>
      </c>
      <c r="M811" s="1" t="s">
        <v>37</v>
      </c>
      <c r="N811" s="3">
        <v>2024010123</v>
      </c>
      <c r="O811" s="3">
        <f t="shared" si="108"/>
        <v>1.23</v>
      </c>
      <c r="P811" s="6">
        <f t="shared" si="109"/>
        <v>870372.6</v>
      </c>
      <c r="Q811" s="3" t="str">
        <f t="shared" si="110"/>
        <v>Excellent</v>
      </c>
      <c r="R811" s="3">
        <f t="shared" si="111"/>
        <v>2549</v>
      </c>
      <c r="S811" s="7">
        <f t="shared" si="112"/>
        <v>30588</v>
      </c>
      <c r="T811" s="3" t="str">
        <f t="shared" si="113"/>
        <v>High Profit</v>
      </c>
      <c r="U811" s="3" t="str">
        <f t="shared" si="114"/>
        <v>High Discount</v>
      </c>
      <c r="V811" s="3" t="str">
        <f t="shared" si="115"/>
        <v>Priority C</v>
      </c>
      <c r="W811">
        <f t="shared" si="116"/>
        <v>70762</v>
      </c>
      <c r="X811" t="s">
        <v>23</v>
      </c>
      <c r="Y811" t="s">
        <v>23</v>
      </c>
      <c r="Z811" t="s">
        <v>23</v>
      </c>
      <c r="AA811" t="s">
        <v>23</v>
      </c>
      <c r="AB811" t="s">
        <v>23</v>
      </c>
      <c r="AC811" t="s">
        <v>23</v>
      </c>
      <c r="AD811" t="s">
        <v>23</v>
      </c>
      <c r="AE811" t="s">
        <v>23</v>
      </c>
      <c r="AF811" t="s">
        <v>23</v>
      </c>
      <c r="AG811" t="s">
        <v>23</v>
      </c>
      <c r="AH811" t="s">
        <v>23</v>
      </c>
      <c r="AI811" t="s">
        <v>23</v>
      </c>
      <c r="AJ811" t="s">
        <v>23</v>
      </c>
    </row>
    <row r="812" spans="1:36" x14ac:dyDescent="0.35">
      <c r="A812" s="2">
        <v>1810</v>
      </c>
      <c r="B812" s="4">
        <v>45282</v>
      </c>
      <c r="C812" s="1" t="s">
        <v>30</v>
      </c>
      <c r="D812" s="1" t="s">
        <v>25</v>
      </c>
      <c r="E812">
        <v>317386</v>
      </c>
      <c r="F812">
        <v>24</v>
      </c>
      <c r="G812" s="1" t="s">
        <v>39</v>
      </c>
      <c r="H812">
        <v>27164</v>
      </c>
      <c r="I812">
        <v>35543</v>
      </c>
      <c r="J812" s="1" t="s">
        <v>27</v>
      </c>
      <c r="K812" s="3">
        <v>0</v>
      </c>
      <c r="L812" s="1" t="s">
        <v>36</v>
      </c>
      <c r="M812" s="1" t="s">
        <v>29</v>
      </c>
      <c r="N812" s="3">
        <v>2024010123</v>
      </c>
      <c r="O812" s="3">
        <f t="shared" si="108"/>
        <v>1.23</v>
      </c>
      <c r="P812" s="6">
        <f t="shared" si="109"/>
        <v>390384.77999999997</v>
      </c>
      <c r="Q812" s="3" t="str">
        <f t="shared" si="110"/>
        <v>Excellent</v>
      </c>
      <c r="R812" s="3">
        <f t="shared" si="111"/>
        <v>8379</v>
      </c>
      <c r="S812" s="7">
        <f t="shared" si="112"/>
        <v>201096</v>
      </c>
      <c r="T812" s="3" t="str">
        <f t="shared" si="113"/>
        <v>High Profit</v>
      </c>
      <c r="U812" s="3" t="str">
        <f t="shared" si="114"/>
        <v>No Discount</v>
      </c>
      <c r="V812" s="3" t="str">
        <f t="shared" si="115"/>
        <v>Priority B</v>
      </c>
      <c r="W812">
        <f t="shared" si="116"/>
        <v>47607.9</v>
      </c>
      <c r="X812" t="s">
        <v>23</v>
      </c>
      <c r="Y812" t="s">
        <v>23</v>
      </c>
      <c r="Z812" t="s">
        <v>23</v>
      </c>
      <c r="AA812" t="s">
        <v>23</v>
      </c>
      <c r="AB812" t="s">
        <v>23</v>
      </c>
      <c r="AC812" t="s">
        <v>23</v>
      </c>
      <c r="AD812" t="s">
        <v>23</v>
      </c>
      <c r="AE812" t="s">
        <v>23</v>
      </c>
      <c r="AF812" t="s">
        <v>23</v>
      </c>
      <c r="AG812" t="s">
        <v>23</v>
      </c>
      <c r="AH812" t="s">
        <v>23</v>
      </c>
      <c r="AI812" t="s">
        <v>23</v>
      </c>
      <c r="AJ812" t="s">
        <v>23</v>
      </c>
    </row>
    <row r="813" spans="1:36" x14ac:dyDescent="0.35">
      <c r="A813" s="2">
        <v>1811</v>
      </c>
      <c r="B813" s="4">
        <v>44976</v>
      </c>
      <c r="C813" s="1" t="s">
        <v>41</v>
      </c>
      <c r="D813" s="1" t="s">
        <v>43</v>
      </c>
      <c r="E813">
        <v>75536</v>
      </c>
      <c r="F813">
        <v>22</v>
      </c>
      <c r="G813" s="1" t="s">
        <v>39</v>
      </c>
      <c r="H813">
        <v>18521</v>
      </c>
      <c r="I813">
        <v>30057</v>
      </c>
      <c r="J813" s="1" t="s">
        <v>27</v>
      </c>
      <c r="K813" s="3">
        <v>2</v>
      </c>
      <c r="L813" s="1" t="s">
        <v>40</v>
      </c>
      <c r="M813" s="1" t="s">
        <v>29</v>
      </c>
      <c r="N813" s="3">
        <v>2024010123</v>
      </c>
      <c r="O813" s="3">
        <f t="shared" si="108"/>
        <v>1.23</v>
      </c>
      <c r="P813" s="6">
        <f t="shared" si="109"/>
        <v>92909.28</v>
      </c>
      <c r="Q813" s="3" t="str">
        <f t="shared" si="110"/>
        <v>Excellent</v>
      </c>
      <c r="R813" s="3">
        <f t="shared" si="111"/>
        <v>11536</v>
      </c>
      <c r="S813" s="7">
        <f t="shared" si="112"/>
        <v>253792</v>
      </c>
      <c r="T813" s="3" t="str">
        <f t="shared" si="113"/>
        <v>High Profit</v>
      </c>
      <c r="U813" s="3" t="str">
        <f t="shared" si="114"/>
        <v>Low Discount</v>
      </c>
      <c r="V813" s="3" t="str">
        <f t="shared" si="115"/>
        <v>Priority B</v>
      </c>
      <c r="W813">
        <f t="shared" si="116"/>
        <v>11330.4</v>
      </c>
      <c r="X813" t="s">
        <v>23</v>
      </c>
      <c r="Y813" t="s">
        <v>23</v>
      </c>
      <c r="Z813" t="s">
        <v>23</v>
      </c>
      <c r="AA813" t="s">
        <v>23</v>
      </c>
      <c r="AB813" t="s">
        <v>23</v>
      </c>
      <c r="AC813" t="s">
        <v>23</v>
      </c>
      <c r="AD813" t="s">
        <v>23</v>
      </c>
      <c r="AE813" t="s">
        <v>23</v>
      </c>
      <c r="AF813" t="s">
        <v>23</v>
      </c>
      <c r="AG813" t="s">
        <v>23</v>
      </c>
      <c r="AH813" t="s">
        <v>23</v>
      </c>
      <c r="AI813" t="s">
        <v>23</v>
      </c>
      <c r="AJ813" t="s">
        <v>23</v>
      </c>
    </row>
    <row r="814" spans="1:36" x14ac:dyDescent="0.35">
      <c r="A814" s="2">
        <v>1812</v>
      </c>
      <c r="B814" s="4">
        <v>44934</v>
      </c>
      <c r="C814" s="1" t="s">
        <v>30</v>
      </c>
      <c r="D814" s="1" t="s">
        <v>25</v>
      </c>
      <c r="E814">
        <v>213718</v>
      </c>
      <c r="F814">
        <v>37</v>
      </c>
      <c r="G814" s="1" t="s">
        <v>32</v>
      </c>
      <c r="H814">
        <v>18808</v>
      </c>
      <c r="I814">
        <v>26800</v>
      </c>
      <c r="J814" s="1" t="s">
        <v>33</v>
      </c>
      <c r="K814" s="3">
        <v>2</v>
      </c>
      <c r="L814" s="1" t="s">
        <v>40</v>
      </c>
      <c r="M814" s="1" t="s">
        <v>29</v>
      </c>
      <c r="N814" s="3">
        <v>2024010123</v>
      </c>
      <c r="O814" s="3">
        <f t="shared" si="108"/>
        <v>1.23</v>
      </c>
      <c r="P814" s="6">
        <f t="shared" si="109"/>
        <v>262873.14</v>
      </c>
      <c r="Q814" s="3" t="str">
        <f t="shared" si="110"/>
        <v>Excellent</v>
      </c>
      <c r="R814" s="3">
        <f t="shared" si="111"/>
        <v>7992</v>
      </c>
      <c r="S814" s="7">
        <f t="shared" si="112"/>
        <v>295704</v>
      </c>
      <c r="T814" s="3" t="str">
        <f t="shared" si="113"/>
        <v>High Profit</v>
      </c>
      <c r="U814" s="3" t="str">
        <f t="shared" si="114"/>
        <v>Low Discount</v>
      </c>
      <c r="V814" s="3" t="str">
        <f t="shared" si="115"/>
        <v>Priority B</v>
      </c>
      <c r="W814">
        <f t="shared" si="116"/>
        <v>21371.800000000003</v>
      </c>
      <c r="X814" t="s">
        <v>23</v>
      </c>
      <c r="Y814" t="s">
        <v>23</v>
      </c>
      <c r="Z814" t="s">
        <v>23</v>
      </c>
      <c r="AA814" t="s">
        <v>23</v>
      </c>
      <c r="AB814" t="s">
        <v>23</v>
      </c>
      <c r="AC814" t="s">
        <v>23</v>
      </c>
      <c r="AD814" t="s">
        <v>23</v>
      </c>
      <c r="AE814" t="s">
        <v>23</v>
      </c>
      <c r="AF814" t="s">
        <v>23</v>
      </c>
      <c r="AG814" t="s">
        <v>23</v>
      </c>
      <c r="AH814" t="s">
        <v>23</v>
      </c>
      <c r="AI814" t="s">
        <v>23</v>
      </c>
      <c r="AJ814" t="s">
        <v>23</v>
      </c>
    </row>
    <row r="815" spans="1:36" x14ac:dyDescent="0.35">
      <c r="A815" s="2">
        <v>1813</v>
      </c>
      <c r="B815" s="4">
        <v>45126</v>
      </c>
      <c r="C815" s="1" t="s">
        <v>24</v>
      </c>
      <c r="D815" s="1" t="s">
        <v>31</v>
      </c>
      <c r="E815">
        <v>486002</v>
      </c>
      <c r="F815">
        <v>17</v>
      </c>
      <c r="G815" s="1" t="s">
        <v>39</v>
      </c>
      <c r="H815">
        <v>22016</v>
      </c>
      <c r="I815">
        <v>30930</v>
      </c>
      <c r="J815" s="1" t="s">
        <v>27</v>
      </c>
      <c r="K815" s="3">
        <v>9</v>
      </c>
      <c r="L815" s="1" t="s">
        <v>40</v>
      </c>
      <c r="M815" s="1" t="s">
        <v>37</v>
      </c>
      <c r="N815" s="3">
        <v>2024010123</v>
      </c>
      <c r="O815" s="3">
        <f t="shared" si="108"/>
        <v>1.23</v>
      </c>
      <c r="P815" s="6">
        <f t="shared" si="109"/>
        <v>597782.46</v>
      </c>
      <c r="Q815" s="3" t="str">
        <f t="shared" si="110"/>
        <v>Excellent</v>
      </c>
      <c r="R815" s="3">
        <f t="shared" si="111"/>
        <v>8914</v>
      </c>
      <c r="S815" s="7">
        <f t="shared" si="112"/>
        <v>151538</v>
      </c>
      <c r="T815" s="3" t="str">
        <f t="shared" si="113"/>
        <v>High Profit</v>
      </c>
      <c r="U815" s="3" t="str">
        <f t="shared" si="114"/>
        <v>Medium Discount</v>
      </c>
      <c r="V815" s="3" t="str">
        <f t="shared" si="115"/>
        <v>Priority C</v>
      </c>
      <c r="W815">
        <f t="shared" si="116"/>
        <v>72900.3</v>
      </c>
      <c r="X815" t="s">
        <v>23</v>
      </c>
      <c r="Y815" t="s">
        <v>23</v>
      </c>
      <c r="Z815" t="s">
        <v>23</v>
      </c>
      <c r="AA815" t="s">
        <v>23</v>
      </c>
      <c r="AB815" t="s">
        <v>23</v>
      </c>
      <c r="AC815" t="s">
        <v>23</v>
      </c>
      <c r="AD815" t="s">
        <v>23</v>
      </c>
      <c r="AE815" t="s">
        <v>23</v>
      </c>
      <c r="AF815" t="s">
        <v>23</v>
      </c>
      <c r="AG815" t="s">
        <v>23</v>
      </c>
      <c r="AH815" t="s">
        <v>23</v>
      </c>
      <c r="AI815" t="s">
        <v>23</v>
      </c>
      <c r="AJ815" t="s">
        <v>23</v>
      </c>
    </row>
    <row r="816" spans="1:36" x14ac:dyDescent="0.35">
      <c r="A816" s="2">
        <v>1814</v>
      </c>
      <c r="B816" s="4">
        <v>45152</v>
      </c>
      <c r="C816" s="1" t="s">
        <v>38</v>
      </c>
      <c r="D816" s="1" t="s">
        <v>42</v>
      </c>
      <c r="E816">
        <v>254757</v>
      </c>
      <c r="F816">
        <v>14</v>
      </c>
      <c r="G816" s="1" t="s">
        <v>35</v>
      </c>
      <c r="H816">
        <v>21580</v>
      </c>
      <c r="I816">
        <v>30573</v>
      </c>
      <c r="J816" s="1" t="s">
        <v>27</v>
      </c>
      <c r="K816" s="3">
        <v>11</v>
      </c>
      <c r="L816" s="1" t="s">
        <v>40</v>
      </c>
      <c r="M816" s="1" t="s">
        <v>29</v>
      </c>
      <c r="N816" s="3">
        <v>2024010123</v>
      </c>
      <c r="O816" s="3">
        <f t="shared" si="108"/>
        <v>1.23</v>
      </c>
      <c r="P816" s="6">
        <f t="shared" si="109"/>
        <v>313351.11</v>
      </c>
      <c r="Q816" s="3" t="str">
        <f t="shared" si="110"/>
        <v>Excellent</v>
      </c>
      <c r="R816" s="3">
        <f t="shared" si="111"/>
        <v>8993</v>
      </c>
      <c r="S816" s="7">
        <f t="shared" si="112"/>
        <v>125902</v>
      </c>
      <c r="T816" s="3" t="str">
        <f t="shared" si="113"/>
        <v>High Profit</v>
      </c>
      <c r="U816" s="3" t="str">
        <f t="shared" si="114"/>
        <v>Medium Discount</v>
      </c>
      <c r="V816" s="3" t="str">
        <f t="shared" si="115"/>
        <v>Priority D</v>
      </c>
      <c r="W816">
        <f t="shared" si="116"/>
        <v>38213.549999999996</v>
      </c>
      <c r="X816" t="s">
        <v>23</v>
      </c>
      <c r="Y816" t="s">
        <v>23</v>
      </c>
      <c r="Z816" t="s">
        <v>23</v>
      </c>
      <c r="AA816" t="s">
        <v>23</v>
      </c>
      <c r="AB816" t="s">
        <v>23</v>
      </c>
      <c r="AC816" t="s">
        <v>23</v>
      </c>
      <c r="AD816" t="s">
        <v>23</v>
      </c>
      <c r="AE816" t="s">
        <v>23</v>
      </c>
      <c r="AF816" t="s">
        <v>23</v>
      </c>
      <c r="AG816" t="s">
        <v>23</v>
      </c>
      <c r="AH816" t="s">
        <v>23</v>
      </c>
      <c r="AI816" t="s">
        <v>23</v>
      </c>
      <c r="AJ816" t="s">
        <v>23</v>
      </c>
    </row>
    <row r="817" spans="1:36" x14ac:dyDescent="0.35">
      <c r="A817" s="2">
        <v>1815</v>
      </c>
      <c r="B817" s="4">
        <v>45209</v>
      </c>
      <c r="C817" s="1" t="s">
        <v>38</v>
      </c>
      <c r="D817" s="1" t="s">
        <v>31</v>
      </c>
      <c r="E817">
        <v>290840</v>
      </c>
      <c r="F817">
        <v>50</v>
      </c>
      <c r="G817" s="1" t="s">
        <v>32</v>
      </c>
      <c r="H817">
        <v>13110</v>
      </c>
      <c r="I817">
        <v>21491</v>
      </c>
      <c r="J817" s="1" t="s">
        <v>27</v>
      </c>
      <c r="K817" s="3">
        <v>7</v>
      </c>
      <c r="L817" s="1" t="s">
        <v>40</v>
      </c>
      <c r="M817" s="1" t="s">
        <v>37</v>
      </c>
      <c r="N817" s="3">
        <v>2024010123</v>
      </c>
      <c r="O817" s="3">
        <f t="shared" si="108"/>
        <v>1.23</v>
      </c>
      <c r="P817" s="6">
        <f t="shared" si="109"/>
        <v>357733.2</v>
      </c>
      <c r="Q817" s="3" t="str">
        <f t="shared" si="110"/>
        <v>Excellent</v>
      </c>
      <c r="R817" s="3">
        <f t="shared" si="111"/>
        <v>8381</v>
      </c>
      <c r="S817" s="7">
        <f t="shared" si="112"/>
        <v>419050</v>
      </c>
      <c r="T817" s="3" t="str">
        <f t="shared" si="113"/>
        <v>High Profit</v>
      </c>
      <c r="U817" s="3" t="str">
        <f t="shared" si="114"/>
        <v>Medium Discount</v>
      </c>
      <c r="V817" s="3" t="str">
        <f t="shared" si="115"/>
        <v>Priority B</v>
      </c>
      <c r="W817">
        <f t="shared" si="116"/>
        <v>43626</v>
      </c>
      <c r="X817" t="s">
        <v>23</v>
      </c>
      <c r="Y817" t="s">
        <v>23</v>
      </c>
      <c r="Z817" t="s">
        <v>23</v>
      </c>
      <c r="AA817" t="s">
        <v>23</v>
      </c>
      <c r="AB817" t="s">
        <v>23</v>
      </c>
      <c r="AC817" t="s">
        <v>23</v>
      </c>
      <c r="AD817" t="s">
        <v>23</v>
      </c>
      <c r="AE817" t="s">
        <v>23</v>
      </c>
      <c r="AF817" t="s">
        <v>23</v>
      </c>
      <c r="AG817" t="s">
        <v>23</v>
      </c>
      <c r="AH817" t="s">
        <v>23</v>
      </c>
      <c r="AI817" t="s">
        <v>23</v>
      </c>
      <c r="AJ817" t="s">
        <v>23</v>
      </c>
    </row>
    <row r="818" spans="1:36" x14ac:dyDescent="0.35">
      <c r="A818" s="2">
        <v>1816</v>
      </c>
      <c r="B818" s="4">
        <v>45275</v>
      </c>
      <c r="C818" s="1" t="s">
        <v>34</v>
      </c>
      <c r="D818" s="1" t="s">
        <v>43</v>
      </c>
      <c r="E818">
        <v>692758</v>
      </c>
      <c r="F818">
        <v>48</v>
      </c>
      <c r="G818" s="1" t="s">
        <v>35</v>
      </c>
      <c r="H818">
        <v>15752</v>
      </c>
      <c r="I818">
        <v>26747</v>
      </c>
      <c r="J818" s="1" t="s">
        <v>33</v>
      </c>
      <c r="K818" s="3">
        <v>26</v>
      </c>
      <c r="L818" s="1" t="s">
        <v>40</v>
      </c>
      <c r="M818" s="1" t="s">
        <v>37</v>
      </c>
      <c r="N818" s="3">
        <v>2024010123</v>
      </c>
      <c r="O818" s="3">
        <f t="shared" si="108"/>
        <v>1.23</v>
      </c>
      <c r="P818" s="6">
        <f t="shared" si="109"/>
        <v>852092.34</v>
      </c>
      <c r="Q818" s="3" t="str">
        <f t="shared" si="110"/>
        <v>Excellent</v>
      </c>
      <c r="R818" s="3">
        <f t="shared" si="111"/>
        <v>10995</v>
      </c>
      <c r="S818" s="7">
        <f t="shared" si="112"/>
        <v>527760</v>
      </c>
      <c r="T818" s="3" t="str">
        <f t="shared" si="113"/>
        <v>High Profit</v>
      </c>
      <c r="U818" s="3" t="str">
        <f t="shared" si="114"/>
        <v>High Discount</v>
      </c>
      <c r="V818" s="3" t="str">
        <f t="shared" si="115"/>
        <v>Priority C</v>
      </c>
      <c r="W818">
        <f t="shared" si="116"/>
        <v>69275.8</v>
      </c>
      <c r="X818" t="s">
        <v>23</v>
      </c>
      <c r="Y818" t="s">
        <v>23</v>
      </c>
      <c r="Z818" t="s">
        <v>23</v>
      </c>
      <c r="AA818" t="s">
        <v>23</v>
      </c>
      <c r="AB818" t="s">
        <v>23</v>
      </c>
      <c r="AC818" t="s">
        <v>23</v>
      </c>
      <c r="AD818" t="s">
        <v>23</v>
      </c>
      <c r="AE818" t="s">
        <v>23</v>
      </c>
      <c r="AF818" t="s">
        <v>23</v>
      </c>
      <c r="AG818" t="s">
        <v>23</v>
      </c>
      <c r="AH818" t="s">
        <v>23</v>
      </c>
      <c r="AI818" t="s">
        <v>23</v>
      </c>
      <c r="AJ818" t="s">
        <v>23</v>
      </c>
    </row>
    <row r="819" spans="1:36" x14ac:dyDescent="0.35">
      <c r="A819" s="2">
        <v>1817</v>
      </c>
      <c r="B819" s="4">
        <v>45154</v>
      </c>
      <c r="C819" s="1" t="s">
        <v>34</v>
      </c>
      <c r="D819" s="1" t="s">
        <v>43</v>
      </c>
      <c r="E819">
        <v>861891</v>
      </c>
      <c r="F819">
        <v>12</v>
      </c>
      <c r="G819" s="1" t="s">
        <v>39</v>
      </c>
      <c r="H819">
        <v>26211</v>
      </c>
      <c r="I819">
        <v>33631</v>
      </c>
      <c r="J819" s="1" t="s">
        <v>27</v>
      </c>
      <c r="K819" s="3">
        <v>26</v>
      </c>
      <c r="L819" s="1" t="s">
        <v>40</v>
      </c>
      <c r="M819" s="1" t="s">
        <v>29</v>
      </c>
      <c r="N819" s="3">
        <v>2024010123</v>
      </c>
      <c r="O819" s="3">
        <f t="shared" si="108"/>
        <v>1.23</v>
      </c>
      <c r="P819" s="6">
        <f t="shared" si="109"/>
        <v>1060125.93</v>
      </c>
      <c r="Q819" s="3" t="str">
        <f t="shared" si="110"/>
        <v>Excellent</v>
      </c>
      <c r="R819" s="3">
        <f t="shared" si="111"/>
        <v>7420</v>
      </c>
      <c r="S819" s="7">
        <f t="shared" si="112"/>
        <v>89040</v>
      </c>
      <c r="T819" s="3" t="str">
        <f t="shared" si="113"/>
        <v>High Profit</v>
      </c>
      <c r="U819" s="3" t="str">
        <f t="shared" si="114"/>
        <v>High Discount</v>
      </c>
      <c r="V819" s="3" t="str">
        <f t="shared" si="115"/>
        <v>Priority D</v>
      </c>
      <c r="W819">
        <f t="shared" si="116"/>
        <v>129283.65</v>
      </c>
      <c r="X819" t="s">
        <v>23</v>
      </c>
      <c r="Y819" t="s">
        <v>23</v>
      </c>
      <c r="Z819" t="s">
        <v>23</v>
      </c>
      <c r="AA819" t="s">
        <v>23</v>
      </c>
      <c r="AB819" t="s">
        <v>23</v>
      </c>
      <c r="AC819" t="s">
        <v>23</v>
      </c>
      <c r="AD819" t="s">
        <v>23</v>
      </c>
      <c r="AE819" t="s">
        <v>23</v>
      </c>
      <c r="AF819" t="s">
        <v>23</v>
      </c>
      <c r="AG819" t="s">
        <v>23</v>
      </c>
      <c r="AH819" t="s">
        <v>23</v>
      </c>
      <c r="AI819" t="s">
        <v>23</v>
      </c>
      <c r="AJ819" t="s">
        <v>23</v>
      </c>
    </row>
    <row r="820" spans="1:36" x14ac:dyDescent="0.35">
      <c r="A820" s="2">
        <v>1818</v>
      </c>
      <c r="B820" s="4">
        <v>45147</v>
      </c>
      <c r="C820" s="1" t="s">
        <v>30</v>
      </c>
      <c r="D820" s="1" t="s">
        <v>31</v>
      </c>
      <c r="E820">
        <v>174547</v>
      </c>
      <c r="F820">
        <v>12</v>
      </c>
      <c r="G820" s="1" t="s">
        <v>26</v>
      </c>
      <c r="H820">
        <v>27079</v>
      </c>
      <c r="I820">
        <v>39950</v>
      </c>
      <c r="J820" s="1" t="s">
        <v>27</v>
      </c>
      <c r="K820" s="3">
        <v>25</v>
      </c>
      <c r="L820" s="1" t="s">
        <v>40</v>
      </c>
      <c r="M820" s="1" t="s">
        <v>29</v>
      </c>
      <c r="N820" s="3">
        <v>2024010123</v>
      </c>
      <c r="O820" s="3">
        <f t="shared" si="108"/>
        <v>1.23</v>
      </c>
      <c r="P820" s="6">
        <f t="shared" si="109"/>
        <v>214692.81</v>
      </c>
      <c r="Q820" s="3" t="str">
        <f t="shared" si="110"/>
        <v>Excellent</v>
      </c>
      <c r="R820" s="3">
        <f t="shared" si="111"/>
        <v>12871</v>
      </c>
      <c r="S820" s="7">
        <f t="shared" si="112"/>
        <v>154452</v>
      </c>
      <c r="T820" s="3" t="str">
        <f t="shared" si="113"/>
        <v>High Profit</v>
      </c>
      <c r="U820" s="3" t="str">
        <f t="shared" si="114"/>
        <v>High Discount</v>
      </c>
      <c r="V820" s="3" t="str">
        <f t="shared" si="115"/>
        <v>Priority D</v>
      </c>
      <c r="W820">
        <f t="shared" si="116"/>
        <v>26182.05</v>
      </c>
      <c r="X820" t="s">
        <v>23</v>
      </c>
      <c r="Y820" t="s">
        <v>23</v>
      </c>
      <c r="Z820" t="s">
        <v>23</v>
      </c>
      <c r="AA820" t="s">
        <v>23</v>
      </c>
      <c r="AB820" t="s">
        <v>23</v>
      </c>
      <c r="AC820" t="s">
        <v>23</v>
      </c>
      <c r="AD820" t="s">
        <v>23</v>
      </c>
      <c r="AE820" t="s">
        <v>23</v>
      </c>
      <c r="AF820" t="s">
        <v>23</v>
      </c>
      <c r="AG820" t="s">
        <v>23</v>
      </c>
      <c r="AH820" t="s">
        <v>23</v>
      </c>
      <c r="AI820" t="s">
        <v>23</v>
      </c>
      <c r="AJ820" t="s">
        <v>23</v>
      </c>
    </row>
    <row r="821" spans="1:36" x14ac:dyDescent="0.35">
      <c r="A821" s="2">
        <v>1819</v>
      </c>
      <c r="B821" s="4">
        <v>45244</v>
      </c>
      <c r="C821" s="1" t="s">
        <v>30</v>
      </c>
      <c r="D821" s="1" t="s">
        <v>42</v>
      </c>
      <c r="E821">
        <v>676690</v>
      </c>
      <c r="F821">
        <v>45</v>
      </c>
      <c r="G821" s="1" t="s">
        <v>39</v>
      </c>
      <c r="H821">
        <v>15461</v>
      </c>
      <c r="I821">
        <v>22120</v>
      </c>
      <c r="J821" s="1" t="s">
        <v>27</v>
      </c>
      <c r="K821" s="3">
        <v>17</v>
      </c>
      <c r="L821" s="1" t="s">
        <v>40</v>
      </c>
      <c r="M821" s="1" t="s">
        <v>29</v>
      </c>
      <c r="N821" s="3">
        <v>2024010123</v>
      </c>
      <c r="O821" s="3">
        <f t="shared" si="108"/>
        <v>1.23</v>
      </c>
      <c r="P821" s="6">
        <f t="shared" si="109"/>
        <v>832328.7</v>
      </c>
      <c r="Q821" s="3" t="str">
        <f t="shared" si="110"/>
        <v>Excellent</v>
      </c>
      <c r="R821" s="3">
        <f t="shared" si="111"/>
        <v>6659</v>
      </c>
      <c r="S821" s="7">
        <f t="shared" si="112"/>
        <v>299655</v>
      </c>
      <c r="T821" s="3" t="str">
        <f t="shared" si="113"/>
        <v>High Profit</v>
      </c>
      <c r="U821" s="3" t="str">
        <f t="shared" si="114"/>
        <v>High Discount</v>
      </c>
      <c r="V821" s="3" t="str">
        <f t="shared" si="115"/>
        <v>Priority B</v>
      </c>
      <c r="W821">
        <f t="shared" si="116"/>
        <v>101503.5</v>
      </c>
      <c r="X821" t="s">
        <v>23</v>
      </c>
      <c r="Y821" t="s">
        <v>23</v>
      </c>
      <c r="Z821" t="s">
        <v>23</v>
      </c>
      <c r="AA821" t="s">
        <v>23</v>
      </c>
      <c r="AB821" t="s">
        <v>23</v>
      </c>
      <c r="AC821" t="s">
        <v>23</v>
      </c>
      <c r="AD821" t="s">
        <v>23</v>
      </c>
      <c r="AE821" t="s">
        <v>23</v>
      </c>
      <c r="AF821" t="s">
        <v>23</v>
      </c>
      <c r="AG821" t="s">
        <v>23</v>
      </c>
      <c r="AH821" t="s">
        <v>23</v>
      </c>
      <c r="AI821" t="s">
        <v>23</v>
      </c>
      <c r="AJ821" t="s">
        <v>23</v>
      </c>
    </row>
    <row r="822" spans="1:36" x14ac:dyDescent="0.35">
      <c r="A822" s="2">
        <v>1820</v>
      </c>
      <c r="B822" s="4">
        <v>45178</v>
      </c>
      <c r="C822" s="1" t="s">
        <v>34</v>
      </c>
      <c r="D822" s="1" t="s">
        <v>43</v>
      </c>
      <c r="E822">
        <v>830899</v>
      </c>
      <c r="F822">
        <v>18</v>
      </c>
      <c r="G822" s="1" t="s">
        <v>26</v>
      </c>
      <c r="H822">
        <v>43309</v>
      </c>
      <c r="I822">
        <v>50429</v>
      </c>
      <c r="J822" s="1" t="s">
        <v>33</v>
      </c>
      <c r="K822" s="3">
        <v>0</v>
      </c>
      <c r="L822" s="1" t="s">
        <v>40</v>
      </c>
      <c r="M822" s="1" t="s">
        <v>37</v>
      </c>
      <c r="N822" s="3">
        <v>2024010123</v>
      </c>
      <c r="O822" s="3">
        <f t="shared" si="108"/>
        <v>1.23</v>
      </c>
      <c r="P822" s="6">
        <f t="shared" si="109"/>
        <v>1022005.77</v>
      </c>
      <c r="Q822" s="3" t="str">
        <f t="shared" si="110"/>
        <v>Excellent</v>
      </c>
      <c r="R822" s="3">
        <f t="shared" si="111"/>
        <v>7120</v>
      </c>
      <c r="S822" s="7">
        <f t="shared" si="112"/>
        <v>128160</v>
      </c>
      <c r="T822" s="3" t="str">
        <f t="shared" si="113"/>
        <v>High Profit</v>
      </c>
      <c r="U822" s="3" t="str">
        <f t="shared" si="114"/>
        <v>No Discount</v>
      </c>
      <c r="V822" s="3" t="str">
        <f t="shared" si="115"/>
        <v>Priority C</v>
      </c>
      <c r="W822">
        <f t="shared" si="116"/>
        <v>83089.900000000009</v>
      </c>
      <c r="X822" t="s">
        <v>23</v>
      </c>
      <c r="Y822" t="s">
        <v>23</v>
      </c>
      <c r="Z822" t="s">
        <v>23</v>
      </c>
      <c r="AA822" t="s">
        <v>23</v>
      </c>
      <c r="AB822" t="s">
        <v>23</v>
      </c>
      <c r="AC822" t="s">
        <v>23</v>
      </c>
      <c r="AD822" t="s">
        <v>23</v>
      </c>
      <c r="AE822" t="s">
        <v>23</v>
      </c>
      <c r="AF822" t="s">
        <v>23</v>
      </c>
      <c r="AG822" t="s">
        <v>23</v>
      </c>
      <c r="AH822" t="s">
        <v>23</v>
      </c>
      <c r="AI822" t="s">
        <v>23</v>
      </c>
      <c r="AJ822" t="s">
        <v>23</v>
      </c>
    </row>
    <row r="823" spans="1:36" x14ac:dyDescent="0.35">
      <c r="A823" s="2">
        <v>1821</v>
      </c>
      <c r="B823" s="4">
        <v>45229</v>
      </c>
      <c r="C823" s="1" t="s">
        <v>30</v>
      </c>
      <c r="D823" s="1" t="s">
        <v>43</v>
      </c>
      <c r="E823">
        <v>332468</v>
      </c>
      <c r="F823">
        <v>11</v>
      </c>
      <c r="G823" s="1" t="s">
        <v>39</v>
      </c>
      <c r="H823">
        <v>44732</v>
      </c>
      <c r="I823">
        <v>51484</v>
      </c>
      <c r="J823" s="1" t="s">
        <v>33</v>
      </c>
      <c r="K823" s="3">
        <v>4</v>
      </c>
      <c r="L823" s="1" t="s">
        <v>36</v>
      </c>
      <c r="M823" s="1" t="s">
        <v>29</v>
      </c>
      <c r="N823" s="3">
        <v>2024010123</v>
      </c>
      <c r="O823" s="3">
        <f t="shared" si="108"/>
        <v>1.23</v>
      </c>
      <c r="P823" s="6">
        <f t="shared" si="109"/>
        <v>408935.64</v>
      </c>
      <c r="Q823" s="3" t="str">
        <f t="shared" si="110"/>
        <v>Excellent</v>
      </c>
      <c r="R823" s="3">
        <f t="shared" si="111"/>
        <v>6752</v>
      </c>
      <c r="S823" s="7">
        <f t="shared" si="112"/>
        <v>74272</v>
      </c>
      <c r="T823" s="3" t="str">
        <f t="shared" si="113"/>
        <v>High Profit</v>
      </c>
      <c r="U823" s="3" t="str">
        <f t="shared" si="114"/>
        <v>Low Discount</v>
      </c>
      <c r="V823" s="3" t="str">
        <f t="shared" si="115"/>
        <v>Priority D</v>
      </c>
      <c r="W823">
        <f t="shared" si="116"/>
        <v>33246.800000000003</v>
      </c>
      <c r="X823" t="s">
        <v>23</v>
      </c>
      <c r="Y823" t="s">
        <v>23</v>
      </c>
      <c r="Z823" t="s">
        <v>23</v>
      </c>
      <c r="AA823" t="s">
        <v>23</v>
      </c>
      <c r="AB823" t="s">
        <v>23</v>
      </c>
      <c r="AC823" t="s">
        <v>23</v>
      </c>
      <c r="AD823" t="s">
        <v>23</v>
      </c>
      <c r="AE823" t="s">
        <v>23</v>
      </c>
      <c r="AF823" t="s">
        <v>23</v>
      </c>
      <c r="AG823" t="s">
        <v>23</v>
      </c>
      <c r="AH823" t="s">
        <v>23</v>
      </c>
      <c r="AI823" t="s">
        <v>23</v>
      </c>
      <c r="AJ823" t="s">
        <v>23</v>
      </c>
    </row>
    <row r="824" spans="1:36" x14ac:dyDescent="0.35">
      <c r="A824" s="2">
        <v>1822</v>
      </c>
      <c r="B824" s="4">
        <v>44951</v>
      </c>
      <c r="C824" s="1" t="s">
        <v>30</v>
      </c>
      <c r="D824" s="1" t="s">
        <v>43</v>
      </c>
      <c r="E824">
        <v>949385</v>
      </c>
      <c r="F824">
        <v>18</v>
      </c>
      <c r="G824" s="1" t="s">
        <v>26</v>
      </c>
      <c r="H824">
        <v>39515</v>
      </c>
      <c r="I824">
        <v>47285</v>
      </c>
      <c r="J824" s="1" t="s">
        <v>33</v>
      </c>
      <c r="K824" s="3">
        <v>4</v>
      </c>
      <c r="L824" s="1" t="s">
        <v>40</v>
      </c>
      <c r="M824" s="1" t="s">
        <v>29</v>
      </c>
      <c r="N824" s="3">
        <v>2024010123</v>
      </c>
      <c r="O824" s="3">
        <f t="shared" si="108"/>
        <v>1.23</v>
      </c>
      <c r="P824" s="6">
        <f t="shared" si="109"/>
        <v>1167743.55</v>
      </c>
      <c r="Q824" s="3" t="str">
        <f t="shared" si="110"/>
        <v>Excellent</v>
      </c>
      <c r="R824" s="3">
        <f t="shared" si="111"/>
        <v>7770</v>
      </c>
      <c r="S824" s="7">
        <f t="shared" si="112"/>
        <v>139860</v>
      </c>
      <c r="T824" s="3" t="str">
        <f t="shared" si="113"/>
        <v>High Profit</v>
      </c>
      <c r="U824" s="3" t="str">
        <f t="shared" si="114"/>
        <v>Low Discount</v>
      </c>
      <c r="V824" s="3" t="str">
        <f t="shared" si="115"/>
        <v>Priority C</v>
      </c>
      <c r="W824">
        <f t="shared" si="116"/>
        <v>94938.5</v>
      </c>
      <c r="X824" t="s">
        <v>23</v>
      </c>
      <c r="Y824" t="s">
        <v>23</v>
      </c>
      <c r="Z824" t="s">
        <v>23</v>
      </c>
      <c r="AA824" t="s">
        <v>23</v>
      </c>
      <c r="AB824" t="s">
        <v>23</v>
      </c>
      <c r="AC824" t="s">
        <v>23</v>
      </c>
      <c r="AD824" t="s">
        <v>23</v>
      </c>
      <c r="AE824" t="s">
        <v>23</v>
      </c>
      <c r="AF824" t="s">
        <v>23</v>
      </c>
      <c r="AG824" t="s">
        <v>23</v>
      </c>
      <c r="AH824" t="s">
        <v>23</v>
      </c>
      <c r="AI824" t="s">
        <v>23</v>
      </c>
      <c r="AJ824" t="s">
        <v>23</v>
      </c>
    </row>
    <row r="825" spans="1:36" x14ac:dyDescent="0.35">
      <c r="A825" s="2">
        <v>1823</v>
      </c>
      <c r="B825" s="4">
        <v>45012</v>
      </c>
      <c r="C825" s="1" t="s">
        <v>41</v>
      </c>
      <c r="D825" s="1" t="s">
        <v>42</v>
      </c>
      <c r="E825">
        <v>864576</v>
      </c>
      <c r="F825">
        <v>8</v>
      </c>
      <c r="G825" s="1" t="s">
        <v>39</v>
      </c>
      <c r="H825">
        <v>31962</v>
      </c>
      <c r="I825">
        <v>37885</v>
      </c>
      <c r="J825" s="1" t="s">
        <v>33</v>
      </c>
      <c r="K825" s="3">
        <v>12</v>
      </c>
      <c r="L825" s="1" t="s">
        <v>36</v>
      </c>
      <c r="M825" s="1" t="s">
        <v>37</v>
      </c>
      <c r="N825" s="3">
        <v>2024010123</v>
      </c>
      <c r="O825" s="3">
        <f t="shared" si="108"/>
        <v>1.23</v>
      </c>
      <c r="P825" s="6">
        <f t="shared" si="109"/>
        <v>1063428.48</v>
      </c>
      <c r="Q825" s="3" t="str">
        <f t="shared" si="110"/>
        <v>Excellent</v>
      </c>
      <c r="R825" s="3">
        <f t="shared" si="111"/>
        <v>5923</v>
      </c>
      <c r="S825" s="7">
        <f t="shared" si="112"/>
        <v>47384</v>
      </c>
      <c r="T825" s="3" t="str">
        <f t="shared" si="113"/>
        <v>High Profit</v>
      </c>
      <c r="U825" s="3" t="str">
        <f t="shared" si="114"/>
        <v>Medium Discount</v>
      </c>
      <c r="V825" s="3" t="str">
        <f t="shared" si="115"/>
        <v>Priority C</v>
      </c>
      <c r="W825">
        <f t="shared" si="116"/>
        <v>86457.600000000006</v>
      </c>
      <c r="X825" t="s">
        <v>23</v>
      </c>
      <c r="Y825" t="s">
        <v>23</v>
      </c>
      <c r="Z825" t="s">
        <v>23</v>
      </c>
      <c r="AA825" t="s">
        <v>23</v>
      </c>
      <c r="AB825" t="s">
        <v>23</v>
      </c>
      <c r="AC825" t="s">
        <v>23</v>
      </c>
      <c r="AD825" t="s">
        <v>23</v>
      </c>
      <c r="AE825" t="s">
        <v>23</v>
      </c>
      <c r="AF825" t="s">
        <v>23</v>
      </c>
      <c r="AG825" t="s">
        <v>23</v>
      </c>
      <c r="AH825" t="s">
        <v>23</v>
      </c>
      <c r="AI825" t="s">
        <v>23</v>
      </c>
      <c r="AJ825" t="s">
        <v>23</v>
      </c>
    </row>
    <row r="826" spans="1:36" x14ac:dyDescent="0.35">
      <c r="A826" s="2">
        <v>1824</v>
      </c>
      <c r="B826" s="4">
        <v>45025</v>
      </c>
      <c r="C826" s="1" t="s">
        <v>41</v>
      </c>
      <c r="D826" s="1" t="s">
        <v>43</v>
      </c>
      <c r="E826">
        <v>761312</v>
      </c>
      <c r="F826">
        <v>10</v>
      </c>
      <c r="G826" s="1" t="s">
        <v>26</v>
      </c>
      <c r="H826">
        <v>31364</v>
      </c>
      <c r="I826">
        <v>35575</v>
      </c>
      <c r="J826" s="1" t="s">
        <v>33</v>
      </c>
      <c r="K826" s="3">
        <v>9</v>
      </c>
      <c r="L826" s="1" t="s">
        <v>28</v>
      </c>
      <c r="M826" s="1" t="s">
        <v>29</v>
      </c>
      <c r="N826" s="3">
        <v>2024010123</v>
      </c>
      <c r="O826" s="3">
        <f t="shared" si="108"/>
        <v>1.23</v>
      </c>
      <c r="P826" s="6">
        <f t="shared" si="109"/>
        <v>936413.76</v>
      </c>
      <c r="Q826" s="3" t="str">
        <f t="shared" si="110"/>
        <v>Excellent</v>
      </c>
      <c r="R826" s="3">
        <f t="shared" si="111"/>
        <v>4211</v>
      </c>
      <c r="S826" s="7">
        <f t="shared" si="112"/>
        <v>42110</v>
      </c>
      <c r="T826" s="3" t="str">
        <f t="shared" si="113"/>
        <v>High Profit</v>
      </c>
      <c r="U826" s="3" t="str">
        <f t="shared" si="114"/>
        <v>Medium Discount</v>
      </c>
      <c r="V826" s="3" t="str">
        <f t="shared" si="115"/>
        <v>Priority D</v>
      </c>
      <c r="W826">
        <f t="shared" si="116"/>
        <v>76131.199999999997</v>
      </c>
      <c r="X826" t="s">
        <v>23</v>
      </c>
      <c r="Y826" t="s">
        <v>23</v>
      </c>
      <c r="Z826" t="s">
        <v>23</v>
      </c>
      <c r="AA826" t="s">
        <v>23</v>
      </c>
      <c r="AB826" t="s">
        <v>23</v>
      </c>
      <c r="AC826" t="s">
        <v>23</v>
      </c>
      <c r="AD826" t="s">
        <v>23</v>
      </c>
      <c r="AE826" t="s">
        <v>23</v>
      </c>
      <c r="AF826" t="s">
        <v>23</v>
      </c>
      <c r="AG826" t="s">
        <v>23</v>
      </c>
      <c r="AH826" t="s">
        <v>23</v>
      </c>
      <c r="AI826" t="s">
        <v>23</v>
      </c>
      <c r="AJ826" t="s">
        <v>23</v>
      </c>
    </row>
    <row r="827" spans="1:36" x14ac:dyDescent="0.35">
      <c r="A827" s="2">
        <v>1825</v>
      </c>
      <c r="B827" s="4">
        <v>45108</v>
      </c>
      <c r="C827" s="1" t="s">
        <v>38</v>
      </c>
      <c r="D827" s="1" t="s">
        <v>31</v>
      </c>
      <c r="E827">
        <v>870323</v>
      </c>
      <c r="F827">
        <v>18</v>
      </c>
      <c r="G827" s="1" t="s">
        <v>32</v>
      </c>
      <c r="H827">
        <v>33506</v>
      </c>
      <c r="I827">
        <v>37788</v>
      </c>
      <c r="J827" s="1" t="s">
        <v>33</v>
      </c>
      <c r="K827" s="3">
        <v>12</v>
      </c>
      <c r="L827" s="1" t="s">
        <v>36</v>
      </c>
      <c r="M827" s="1" t="s">
        <v>29</v>
      </c>
      <c r="N827" s="3">
        <v>2024010123</v>
      </c>
      <c r="O827" s="3">
        <f t="shared" si="108"/>
        <v>1.23</v>
      </c>
      <c r="P827" s="6">
        <f t="shared" si="109"/>
        <v>1070497.29</v>
      </c>
      <c r="Q827" s="3" t="str">
        <f t="shared" si="110"/>
        <v>Excellent</v>
      </c>
      <c r="R827" s="3">
        <f t="shared" si="111"/>
        <v>4282</v>
      </c>
      <c r="S827" s="7">
        <f t="shared" si="112"/>
        <v>77076</v>
      </c>
      <c r="T827" s="3" t="str">
        <f t="shared" si="113"/>
        <v>High Profit</v>
      </c>
      <c r="U827" s="3" t="str">
        <f t="shared" si="114"/>
        <v>Medium Discount</v>
      </c>
      <c r="V827" s="3" t="str">
        <f t="shared" si="115"/>
        <v>Priority C</v>
      </c>
      <c r="W827">
        <f t="shared" si="116"/>
        <v>87032.3</v>
      </c>
      <c r="X827" t="s">
        <v>23</v>
      </c>
      <c r="Y827" t="s">
        <v>23</v>
      </c>
      <c r="Z827" t="s">
        <v>23</v>
      </c>
      <c r="AA827" t="s">
        <v>23</v>
      </c>
      <c r="AB827" t="s">
        <v>23</v>
      </c>
      <c r="AC827" t="s">
        <v>23</v>
      </c>
      <c r="AD827" t="s">
        <v>23</v>
      </c>
      <c r="AE827" t="s">
        <v>23</v>
      </c>
      <c r="AF827" t="s">
        <v>23</v>
      </c>
      <c r="AG827" t="s">
        <v>23</v>
      </c>
      <c r="AH827" t="s">
        <v>23</v>
      </c>
      <c r="AI827" t="s">
        <v>23</v>
      </c>
      <c r="AJ827" t="s">
        <v>23</v>
      </c>
    </row>
    <row r="828" spans="1:36" x14ac:dyDescent="0.35">
      <c r="A828" s="2">
        <v>1826</v>
      </c>
      <c r="B828" s="4">
        <v>44998</v>
      </c>
      <c r="C828" s="1" t="s">
        <v>34</v>
      </c>
      <c r="D828" s="1" t="s">
        <v>31</v>
      </c>
      <c r="E828">
        <v>721767</v>
      </c>
      <c r="F828">
        <v>18</v>
      </c>
      <c r="G828" s="1" t="s">
        <v>32</v>
      </c>
      <c r="H828">
        <v>28346</v>
      </c>
      <c r="I828">
        <v>34973</v>
      </c>
      <c r="J828" s="1" t="s">
        <v>33</v>
      </c>
      <c r="K828" s="3">
        <v>29</v>
      </c>
      <c r="L828" s="1" t="s">
        <v>28</v>
      </c>
      <c r="M828" s="1" t="s">
        <v>37</v>
      </c>
      <c r="N828" s="3">
        <v>2024010123</v>
      </c>
      <c r="O828" s="3">
        <f t="shared" si="108"/>
        <v>1.23</v>
      </c>
      <c r="P828" s="6">
        <f t="shared" si="109"/>
        <v>887773.41</v>
      </c>
      <c r="Q828" s="3" t="str">
        <f t="shared" si="110"/>
        <v>Excellent</v>
      </c>
      <c r="R828" s="3">
        <f t="shared" si="111"/>
        <v>6627</v>
      </c>
      <c r="S828" s="7">
        <f t="shared" si="112"/>
        <v>119286</v>
      </c>
      <c r="T828" s="3" t="str">
        <f t="shared" si="113"/>
        <v>High Profit</v>
      </c>
      <c r="U828" s="3" t="str">
        <f t="shared" si="114"/>
        <v>High Discount</v>
      </c>
      <c r="V828" s="3" t="str">
        <f t="shared" si="115"/>
        <v>Priority C</v>
      </c>
      <c r="W828">
        <f t="shared" si="116"/>
        <v>72176.7</v>
      </c>
      <c r="X828" t="s">
        <v>23</v>
      </c>
      <c r="Y828" t="s">
        <v>23</v>
      </c>
      <c r="Z828" t="s">
        <v>23</v>
      </c>
      <c r="AA828" t="s">
        <v>23</v>
      </c>
      <c r="AB828" t="s">
        <v>23</v>
      </c>
      <c r="AC828" t="s">
        <v>23</v>
      </c>
      <c r="AD828" t="s">
        <v>23</v>
      </c>
      <c r="AE828" t="s">
        <v>23</v>
      </c>
      <c r="AF828" t="s">
        <v>23</v>
      </c>
      <c r="AG828" t="s">
        <v>23</v>
      </c>
      <c r="AH828" t="s">
        <v>23</v>
      </c>
      <c r="AI828" t="s">
        <v>23</v>
      </c>
      <c r="AJ828" t="s">
        <v>23</v>
      </c>
    </row>
    <row r="829" spans="1:36" x14ac:dyDescent="0.35">
      <c r="A829" s="2">
        <v>1827</v>
      </c>
      <c r="B829" s="4">
        <v>45026</v>
      </c>
      <c r="C829" s="1" t="s">
        <v>34</v>
      </c>
      <c r="D829" s="1" t="s">
        <v>43</v>
      </c>
      <c r="E829">
        <v>429133</v>
      </c>
      <c r="F829">
        <v>18</v>
      </c>
      <c r="G829" s="1" t="s">
        <v>35</v>
      </c>
      <c r="H829">
        <v>31942</v>
      </c>
      <c r="I829">
        <v>37103</v>
      </c>
      <c r="J829" s="1" t="s">
        <v>33</v>
      </c>
      <c r="K829" s="3">
        <v>18</v>
      </c>
      <c r="L829" s="1" t="s">
        <v>40</v>
      </c>
      <c r="M829" s="1" t="s">
        <v>37</v>
      </c>
      <c r="N829" s="3">
        <v>2024010123</v>
      </c>
      <c r="O829" s="3">
        <f t="shared" si="108"/>
        <v>1.23</v>
      </c>
      <c r="P829" s="6">
        <f t="shared" si="109"/>
        <v>527833.59</v>
      </c>
      <c r="Q829" s="3" t="str">
        <f t="shared" si="110"/>
        <v>Excellent</v>
      </c>
      <c r="R829" s="3">
        <f t="shared" si="111"/>
        <v>5161</v>
      </c>
      <c r="S829" s="7">
        <f t="shared" si="112"/>
        <v>92898</v>
      </c>
      <c r="T829" s="3" t="str">
        <f t="shared" si="113"/>
        <v>High Profit</v>
      </c>
      <c r="U829" s="3" t="str">
        <f t="shared" si="114"/>
        <v>High Discount</v>
      </c>
      <c r="V829" s="3" t="str">
        <f t="shared" si="115"/>
        <v>Priority C</v>
      </c>
      <c r="W829">
        <f t="shared" si="116"/>
        <v>42913.3</v>
      </c>
      <c r="X829" t="s">
        <v>23</v>
      </c>
      <c r="Y829" t="s">
        <v>23</v>
      </c>
      <c r="Z829" t="s">
        <v>23</v>
      </c>
      <c r="AA829" t="s">
        <v>23</v>
      </c>
      <c r="AB829" t="s">
        <v>23</v>
      </c>
      <c r="AC829" t="s">
        <v>23</v>
      </c>
      <c r="AD829" t="s">
        <v>23</v>
      </c>
      <c r="AE829" t="s">
        <v>23</v>
      </c>
      <c r="AF829" t="s">
        <v>23</v>
      </c>
      <c r="AG829" t="s">
        <v>23</v>
      </c>
      <c r="AH829" t="s">
        <v>23</v>
      </c>
      <c r="AI829" t="s">
        <v>23</v>
      </c>
      <c r="AJ829" t="s">
        <v>23</v>
      </c>
    </row>
    <row r="830" spans="1:36" x14ac:dyDescent="0.35">
      <c r="A830" s="2">
        <v>1828</v>
      </c>
      <c r="B830" s="4">
        <v>45182</v>
      </c>
      <c r="C830" s="1" t="s">
        <v>38</v>
      </c>
      <c r="D830" s="1" t="s">
        <v>42</v>
      </c>
      <c r="E830">
        <v>508532</v>
      </c>
      <c r="F830">
        <v>18</v>
      </c>
      <c r="G830" s="1" t="s">
        <v>35</v>
      </c>
      <c r="H830">
        <v>33635</v>
      </c>
      <c r="I830">
        <v>39254</v>
      </c>
      <c r="J830" s="1" t="s">
        <v>33</v>
      </c>
      <c r="K830" s="3">
        <v>21</v>
      </c>
      <c r="L830" s="1" t="s">
        <v>40</v>
      </c>
      <c r="M830" s="1" t="s">
        <v>29</v>
      </c>
      <c r="N830" s="3">
        <v>2024010123</v>
      </c>
      <c r="O830" s="3">
        <f t="shared" si="108"/>
        <v>1.23</v>
      </c>
      <c r="P830" s="6">
        <f t="shared" si="109"/>
        <v>625494.36</v>
      </c>
      <c r="Q830" s="3" t="str">
        <f t="shared" si="110"/>
        <v>Excellent</v>
      </c>
      <c r="R830" s="3">
        <f t="shared" si="111"/>
        <v>5619</v>
      </c>
      <c r="S830" s="7">
        <f t="shared" si="112"/>
        <v>101142</v>
      </c>
      <c r="T830" s="3" t="str">
        <f t="shared" si="113"/>
        <v>High Profit</v>
      </c>
      <c r="U830" s="3" t="str">
        <f t="shared" si="114"/>
        <v>High Discount</v>
      </c>
      <c r="V830" s="3" t="str">
        <f t="shared" si="115"/>
        <v>Priority C</v>
      </c>
      <c r="W830">
        <f t="shared" si="116"/>
        <v>50853.200000000004</v>
      </c>
      <c r="X830" t="s">
        <v>23</v>
      </c>
      <c r="Y830" t="s">
        <v>23</v>
      </c>
      <c r="Z830" t="s">
        <v>23</v>
      </c>
      <c r="AA830" t="s">
        <v>23</v>
      </c>
      <c r="AB830" t="s">
        <v>23</v>
      </c>
      <c r="AC830" t="s">
        <v>23</v>
      </c>
      <c r="AD830" t="s">
        <v>23</v>
      </c>
      <c r="AE830" t="s">
        <v>23</v>
      </c>
      <c r="AF830" t="s">
        <v>23</v>
      </c>
      <c r="AG830" t="s">
        <v>23</v>
      </c>
      <c r="AH830" t="s">
        <v>23</v>
      </c>
      <c r="AI830" t="s">
        <v>23</v>
      </c>
      <c r="AJ830" t="s">
        <v>23</v>
      </c>
    </row>
    <row r="831" spans="1:36" x14ac:dyDescent="0.35">
      <c r="A831" s="2">
        <v>1829</v>
      </c>
      <c r="B831" s="4">
        <v>45030</v>
      </c>
      <c r="C831" s="1" t="s">
        <v>34</v>
      </c>
      <c r="D831" s="1" t="s">
        <v>42</v>
      </c>
      <c r="E831">
        <v>17444</v>
      </c>
      <c r="F831">
        <v>18</v>
      </c>
      <c r="G831" s="1" t="s">
        <v>26</v>
      </c>
      <c r="H831">
        <v>34845</v>
      </c>
      <c r="I831">
        <v>42737</v>
      </c>
      <c r="J831" s="1" t="s">
        <v>27</v>
      </c>
      <c r="K831" s="3">
        <v>20</v>
      </c>
      <c r="L831" s="1" t="s">
        <v>40</v>
      </c>
      <c r="M831" s="1" t="s">
        <v>29</v>
      </c>
      <c r="N831" s="3">
        <v>2024010123</v>
      </c>
      <c r="O831" s="3">
        <f t="shared" si="108"/>
        <v>1.23</v>
      </c>
      <c r="P831" s="6">
        <f t="shared" si="109"/>
        <v>21456.12</v>
      </c>
      <c r="Q831" s="3" t="str">
        <f t="shared" si="110"/>
        <v>Excellent</v>
      </c>
      <c r="R831" s="3">
        <f t="shared" si="111"/>
        <v>7892</v>
      </c>
      <c r="S831" s="7">
        <f t="shared" si="112"/>
        <v>142056</v>
      </c>
      <c r="T831" s="3" t="str">
        <f t="shared" si="113"/>
        <v>High Profit</v>
      </c>
      <c r="U831" s="3" t="str">
        <f t="shared" si="114"/>
        <v>High Discount</v>
      </c>
      <c r="V831" s="3" t="str">
        <f t="shared" si="115"/>
        <v>Priority C</v>
      </c>
      <c r="W831">
        <f t="shared" si="116"/>
        <v>2616.6</v>
      </c>
      <c r="X831" t="s">
        <v>23</v>
      </c>
      <c r="Y831" t="s">
        <v>23</v>
      </c>
      <c r="Z831" t="s">
        <v>23</v>
      </c>
      <c r="AA831" t="s">
        <v>23</v>
      </c>
      <c r="AB831" t="s">
        <v>23</v>
      </c>
      <c r="AC831" t="s">
        <v>23</v>
      </c>
      <c r="AD831" t="s">
        <v>23</v>
      </c>
      <c r="AE831" t="s">
        <v>23</v>
      </c>
      <c r="AF831" t="s">
        <v>23</v>
      </c>
      <c r="AG831" t="s">
        <v>23</v>
      </c>
      <c r="AH831" t="s">
        <v>23</v>
      </c>
      <c r="AI831" t="s">
        <v>23</v>
      </c>
      <c r="AJ831" t="s">
        <v>23</v>
      </c>
    </row>
    <row r="832" spans="1:36" x14ac:dyDescent="0.35">
      <c r="A832" s="2">
        <v>1830</v>
      </c>
      <c r="B832" s="4">
        <v>45116</v>
      </c>
      <c r="C832" s="1" t="s">
        <v>24</v>
      </c>
      <c r="D832" s="1" t="s">
        <v>42</v>
      </c>
      <c r="E832">
        <v>22051</v>
      </c>
      <c r="F832">
        <v>10</v>
      </c>
      <c r="G832" s="1" t="s">
        <v>32</v>
      </c>
      <c r="H832">
        <v>23908</v>
      </c>
      <c r="I832">
        <v>26172</v>
      </c>
      <c r="J832" s="1" t="s">
        <v>27</v>
      </c>
      <c r="K832" s="3">
        <v>0</v>
      </c>
      <c r="L832" s="1" t="s">
        <v>36</v>
      </c>
      <c r="M832" s="1" t="s">
        <v>37</v>
      </c>
      <c r="N832" s="3">
        <v>2024010123</v>
      </c>
      <c r="O832" s="3">
        <f t="shared" si="108"/>
        <v>1.23</v>
      </c>
      <c r="P832" s="6">
        <f t="shared" si="109"/>
        <v>27122.73</v>
      </c>
      <c r="Q832" s="3" t="str">
        <f t="shared" si="110"/>
        <v>Excellent</v>
      </c>
      <c r="R832" s="3">
        <f t="shared" si="111"/>
        <v>2264</v>
      </c>
      <c r="S832" s="7">
        <f t="shared" si="112"/>
        <v>22640</v>
      </c>
      <c r="T832" s="3" t="str">
        <f t="shared" si="113"/>
        <v>High Profit</v>
      </c>
      <c r="U832" s="3" t="str">
        <f t="shared" si="114"/>
        <v>No Discount</v>
      </c>
      <c r="V832" s="3" t="str">
        <f t="shared" si="115"/>
        <v>Priority C</v>
      </c>
      <c r="W832">
        <f t="shared" si="116"/>
        <v>3307.65</v>
      </c>
      <c r="X832" t="s">
        <v>23</v>
      </c>
      <c r="Y832" t="s">
        <v>23</v>
      </c>
      <c r="Z832" t="s">
        <v>23</v>
      </c>
      <c r="AA832" t="s">
        <v>23</v>
      </c>
      <c r="AB832" t="s">
        <v>23</v>
      </c>
      <c r="AC832" t="s">
        <v>23</v>
      </c>
      <c r="AD832" t="s">
        <v>23</v>
      </c>
      <c r="AE832" t="s">
        <v>23</v>
      </c>
      <c r="AF832" t="s">
        <v>23</v>
      </c>
      <c r="AG832" t="s">
        <v>23</v>
      </c>
      <c r="AH832" t="s">
        <v>23</v>
      </c>
      <c r="AI832" t="s">
        <v>23</v>
      </c>
      <c r="AJ832" t="s">
        <v>23</v>
      </c>
    </row>
    <row r="833" spans="1:36" x14ac:dyDescent="0.35">
      <c r="A833" s="2">
        <v>1831</v>
      </c>
      <c r="B833" s="4">
        <v>45245</v>
      </c>
      <c r="C833" s="1" t="s">
        <v>34</v>
      </c>
      <c r="D833" s="1" t="s">
        <v>43</v>
      </c>
      <c r="E833">
        <v>265406</v>
      </c>
      <c r="F833">
        <v>9</v>
      </c>
      <c r="G833" s="1" t="s">
        <v>32</v>
      </c>
      <c r="H833">
        <v>20605</v>
      </c>
      <c r="I833">
        <v>24525</v>
      </c>
      <c r="J833" s="1" t="s">
        <v>27</v>
      </c>
      <c r="K833" s="3">
        <v>1</v>
      </c>
      <c r="L833" s="1" t="s">
        <v>36</v>
      </c>
      <c r="M833" s="1" t="s">
        <v>29</v>
      </c>
      <c r="N833" s="3">
        <v>2024010123</v>
      </c>
      <c r="O833" s="3">
        <f t="shared" si="108"/>
        <v>1.23</v>
      </c>
      <c r="P833" s="6">
        <f t="shared" si="109"/>
        <v>326449.38</v>
      </c>
      <c r="Q833" s="3" t="str">
        <f t="shared" si="110"/>
        <v>Excellent</v>
      </c>
      <c r="R833" s="3">
        <f t="shared" si="111"/>
        <v>3920</v>
      </c>
      <c r="S833" s="7">
        <f t="shared" si="112"/>
        <v>35280</v>
      </c>
      <c r="T833" s="3" t="str">
        <f t="shared" si="113"/>
        <v>High Profit</v>
      </c>
      <c r="U833" s="3" t="str">
        <f t="shared" si="114"/>
        <v>Low Discount</v>
      </c>
      <c r="V833" s="3" t="str">
        <f t="shared" si="115"/>
        <v>Priority D</v>
      </c>
      <c r="W833">
        <f t="shared" si="116"/>
        <v>39810.9</v>
      </c>
      <c r="X833" t="s">
        <v>23</v>
      </c>
      <c r="Y833" t="s">
        <v>23</v>
      </c>
      <c r="Z833" t="s">
        <v>23</v>
      </c>
      <c r="AA833" t="s">
        <v>23</v>
      </c>
      <c r="AB833" t="s">
        <v>23</v>
      </c>
      <c r="AC833" t="s">
        <v>23</v>
      </c>
      <c r="AD833" t="s">
        <v>23</v>
      </c>
      <c r="AE833" t="s">
        <v>23</v>
      </c>
      <c r="AF833" t="s">
        <v>23</v>
      </c>
      <c r="AG833" t="s">
        <v>23</v>
      </c>
      <c r="AH833" t="s">
        <v>23</v>
      </c>
      <c r="AI833" t="s">
        <v>23</v>
      </c>
      <c r="AJ833" t="s">
        <v>23</v>
      </c>
    </row>
    <row r="834" spans="1:36" x14ac:dyDescent="0.35">
      <c r="A834" s="2">
        <v>1832</v>
      </c>
      <c r="B834" s="4">
        <v>45253</v>
      </c>
      <c r="C834" s="1" t="s">
        <v>30</v>
      </c>
      <c r="D834" s="1" t="s">
        <v>31</v>
      </c>
      <c r="E834">
        <v>557141</v>
      </c>
      <c r="F834">
        <v>12</v>
      </c>
      <c r="G834" s="1" t="s">
        <v>26</v>
      </c>
      <c r="H834">
        <v>50806</v>
      </c>
      <c r="I834">
        <v>53365</v>
      </c>
      <c r="J834" s="1" t="s">
        <v>33</v>
      </c>
      <c r="K834" s="3">
        <v>4</v>
      </c>
      <c r="L834" s="1" t="s">
        <v>36</v>
      </c>
      <c r="M834" s="1" t="s">
        <v>29</v>
      </c>
      <c r="N834" s="3">
        <v>2024010123</v>
      </c>
      <c r="O834" s="3">
        <f t="shared" si="108"/>
        <v>1.23</v>
      </c>
      <c r="P834" s="6">
        <f t="shared" si="109"/>
        <v>685283.42999999993</v>
      </c>
      <c r="Q834" s="3" t="str">
        <f t="shared" si="110"/>
        <v>Excellent</v>
      </c>
      <c r="R834" s="3">
        <f t="shared" si="111"/>
        <v>2559</v>
      </c>
      <c r="S834" s="7">
        <f t="shared" si="112"/>
        <v>30708</v>
      </c>
      <c r="T834" s="3" t="str">
        <f t="shared" si="113"/>
        <v>High Profit</v>
      </c>
      <c r="U834" s="3" t="str">
        <f t="shared" si="114"/>
        <v>Low Discount</v>
      </c>
      <c r="V834" s="3" t="str">
        <f t="shared" si="115"/>
        <v>Priority D</v>
      </c>
      <c r="W834">
        <f t="shared" si="116"/>
        <v>55714.100000000006</v>
      </c>
      <c r="X834" t="s">
        <v>23</v>
      </c>
      <c r="Y834" t="s">
        <v>23</v>
      </c>
      <c r="Z834" t="s">
        <v>23</v>
      </c>
      <c r="AA834" t="s">
        <v>23</v>
      </c>
      <c r="AB834" t="s">
        <v>23</v>
      </c>
      <c r="AC834" t="s">
        <v>23</v>
      </c>
      <c r="AD834" t="s">
        <v>23</v>
      </c>
      <c r="AE834" t="s">
        <v>23</v>
      </c>
      <c r="AF834" t="s">
        <v>23</v>
      </c>
      <c r="AG834" t="s">
        <v>23</v>
      </c>
      <c r="AH834" t="s">
        <v>23</v>
      </c>
      <c r="AI834" t="s">
        <v>23</v>
      </c>
      <c r="AJ834" t="s">
        <v>23</v>
      </c>
    </row>
    <row r="835" spans="1:36" x14ac:dyDescent="0.35">
      <c r="A835" s="2">
        <v>1833</v>
      </c>
      <c r="B835" s="4">
        <v>44959</v>
      </c>
      <c r="C835" s="1" t="s">
        <v>38</v>
      </c>
      <c r="D835" s="1" t="s">
        <v>42</v>
      </c>
      <c r="E835">
        <v>838495</v>
      </c>
      <c r="F835">
        <v>12</v>
      </c>
      <c r="G835" s="1" t="s">
        <v>32</v>
      </c>
      <c r="H835">
        <v>30442</v>
      </c>
      <c r="I835">
        <v>33164</v>
      </c>
      <c r="J835" s="1" t="s">
        <v>33</v>
      </c>
      <c r="K835" s="3">
        <v>8</v>
      </c>
      <c r="L835" s="1" t="s">
        <v>40</v>
      </c>
      <c r="M835" s="1" t="s">
        <v>37</v>
      </c>
      <c r="N835" s="3">
        <v>2024010123</v>
      </c>
      <c r="O835" s="3">
        <f t="shared" ref="O835:O898" si="117">VALUE(RIGHT($N$2,3))/100</f>
        <v>1.23</v>
      </c>
      <c r="P835" s="6">
        <f t="shared" ref="P835:P898" si="118">E835*$O835</f>
        <v>1031348.85</v>
      </c>
      <c r="Q835" s="3" t="str">
        <f t="shared" ref="Q835:Q898" si="119">IF(P835&gt;=5000,"Excellent",
   IF(P835&gt;=3000,"Good",
      IF(P835&gt;=1500,"Average","Below Average")))</f>
        <v>Excellent</v>
      </c>
      <c r="R835" s="3">
        <f t="shared" ref="R835:R898" si="120">I835-H835</f>
        <v>2722</v>
      </c>
      <c r="S835" s="7">
        <f t="shared" ref="S835:S898" si="121">R835*F835</f>
        <v>32664</v>
      </c>
      <c r="T835" s="3" t="str">
        <f t="shared" ref="T835:T898" si="122">IF(S835&gt;=1000,"High Profit",
   IF(S835&gt;=500,"Medium Profit","Low Profit"))</f>
        <v>High Profit</v>
      </c>
      <c r="U835" s="3" t="str">
        <f t="shared" ref="U835:U898" si="123">_xlfn.LET(
  _xlpm.d0, K835,
  _xlpm.d, IF(_xlpm.d0&gt;=1, _xlpm.d0/100, _xlpm.d0),
  IF(_xlpm.d&gt;=0.15, "High Discount",
     IF(_xlpm.d&gt;=0.05, "Medium Discount",
        IF(_xlpm.d&gt;0, "Low Discount", "No Discount")))
)</f>
        <v>Medium Discount</v>
      </c>
      <c r="V835" s="3" t="str">
        <f t="shared" ref="V835:V898" si="124">IF(AND(G835="Electronics",F835&gt;=30,M835="Online"),"Priority A",
   IF(AND(OR(G835="Furniture",G835="Electronics"),F835&gt;=20),"Priority B",
      IF(OR(M835="Online",F835&gt;=15),"Priority C","Priority D")))</f>
        <v>Priority C</v>
      </c>
      <c r="W835">
        <f t="shared" ref="W835:W898" si="125">IF(AND(Q835="Excellent",J835="Returning",T835="High Profit"),E835*0.15,
   IF(AND(Q835="Excellent",J835="New"),E835*0.1,
      IF(AND(OR(Q835="Good",Q835="Excellent"),L835="Cash"),E835*0.08,
         IF(AND(Q835="Good",T835="High Profit"),E835*0.06,
            IF(Q835="Average",E835*0.03,
               IF(Q835="Below Average",E835*0.01,0))))))</f>
        <v>83849.5</v>
      </c>
      <c r="X835" t="s">
        <v>23</v>
      </c>
      <c r="Y835" t="s">
        <v>23</v>
      </c>
      <c r="Z835" t="s">
        <v>23</v>
      </c>
      <c r="AA835" t="s">
        <v>23</v>
      </c>
      <c r="AB835" t="s">
        <v>23</v>
      </c>
      <c r="AC835" t="s">
        <v>23</v>
      </c>
      <c r="AD835" t="s">
        <v>23</v>
      </c>
      <c r="AE835" t="s">
        <v>23</v>
      </c>
      <c r="AF835" t="s">
        <v>23</v>
      </c>
      <c r="AG835" t="s">
        <v>23</v>
      </c>
      <c r="AH835" t="s">
        <v>23</v>
      </c>
      <c r="AI835" t="s">
        <v>23</v>
      </c>
      <c r="AJ835" t="s">
        <v>23</v>
      </c>
    </row>
    <row r="836" spans="1:36" x14ac:dyDescent="0.35">
      <c r="A836" s="2">
        <v>1834</v>
      </c>
      <c r="B836" s="4">
        <v>44955</v>
      </c>
      <c r="C836" s="1" t="s">
        <v>41</v>
      </c>
      <c r="D836" s="1" t="s">
        <v>43</v>
      </c>
      <c r="E836">
        <v>805659</v>
      </c>
      <c r="F836">
        <v>12</v>
      </c>
      <c r="G836" s="1" t="s">
        <v>35</v>
      </c>
      <c r="H836">
        <v>20673</v>
      </c>
      <c r="I836">
        <v>22408</v>
      </c>
      <c r="J836" s="1" t="s">
        <v>27</v>
      </c>
      <c r="K836" s="3">
        <v>13</v>
      </c>
      <c r="L836" s="1" t="s">
        <v>40</v>
      </c>
      <c r="M836" s="1" t="s">
        <v>37</v>
      </c>
      <c r="N836" s="3">
        <v>2024010123</v>
      </c>
      <c r="O836" s="3">
        <f t="shared" si="117"/>
        <v>1.23</v>
      </c>
      <c r="P836" s="6">
        <f t="shared" si="118"/>
        <v>990960.57</v>
      </c>
      <c r="Q836" s="3" t="str">
        <f t="shared" si="119"/>
        <v>Excellent</v>
      </c>
      <c r="R836" s="3">
        <f t="shared" si="120"/>
        <v>1735</v>
      </c>
      <c r="S836" s="7">
        <f t="shared" si="121"/>
        <v>20820</v>
      </c>
      <c r="T836" s="3" t="str">
        <f t="shared" si="122"/>
        <v>High Profit</v>
      </c>
      <c r="U836" s="3" t="str">
        <f t="shared" si="123"/>
        <v>Medium Discount</v>
      </c>
      <c r="V836" s="3" t="str">
        <f t="shared" si="124"/>
        <v>Priority C</v>
      </c>
      <c r="W836">
        <f t="shared" si="125"/>
        <v>120848.84999999999</v>
      </c>
      <c r="X836" t="s">
        <v>23</v>
      </c>
      <c r="Y836" t="s">
        <v>23</v>
      </c>
      <c r="Z836" t="s">
        <v>23</v>
      </c>
      <c r="AA836" t="s">
        <v>23</v>
      </c>
      <c r="AB836" t="s">
        <v>23</v>
      </c>
      <c r="AC836" t="s">
        <v>23</v>
      </c>
      <c r="AD836" t="s">
        <v>23</v>
      </c>
      <c r="AE836" t="s">
        <v>23</v>
      </c>
      <c r="AF836" t="s">
        <v>23</v>
      </c>
      <c r="AG836" t="s">
        <v>23</v>
      </c>
      <c r="AH836" t="s">
        <v>23</v>
      </c>
      <c r="AI836" t="s">
        <v>23</v>
      </c>
      <c r="AJ836" t="s">
        <v>23</v>
      </c>
    </row>
    <row r="837" spans="1:36" x14ac:dyDescent="0.35">
      <c r="A837" s="2">
        <v>1835</v>
      </c>
      <c r="B837" s="4">
        <v>44977</v>
      </c>
      <c r="C837" s="1" t="s">
        <v>24</v>
      </c>
      <c r="D837" s="1" t="s">
        <v>42</v>
      </c>
      <c r="E837">
        <v>230760</v>
      </c>
      <c r="F837">
        <v>12</v>
      </c>
      <c r="G837" s="1" t="s">
        <v>39</v>
      </c>
      <c r="H837">
        <v>59849</v>
      </c>
      <c r="I837">
        <v>62112</v>
      </c>
      <c r="J837" s="1" t="s">
        <v>33</v>
      </c>
      <c r="K837" s="3">
        <v>13</v>
      </c>
      <c r="L837" s="1" t="s">
        <v>36</v>
      </c>
      <c r="M837" s="1" t="s">
        <v>29</v>
      </c>
      <c r="N837" s="3">
        <v>2024010123</v>
      </c>
      <c r="O837" s="3">
        <f t="shared" si="117"/>
        <v>1.23</v>
      </c>
      <c r="P837" s="6">
        <f t="shared" si="118"/>
        <v>283834.8</v>
      </c>
      <c r="Q837" s="3" t="str">
        <f t="shared" si="119"/>
        <v>Excellent</v>
      </c>
      <c r="R837" s="3">
        <f t="shared" si="120"/>
        <v>2263</v>
      </c>
      <c r="S837" s="7">
        <f t="shared" si="121"/>
        <v>27156</v>
      </c>
      <c r="T837" s="3" t="str">
        <f t="shared" si="122"/>
        <v>High Profit</v>
      </c>
      <c r="U837" s="3" t="str">
        <f t="shared" si="123"/>
        <v>Medium Discount</v>
      </c>
      <c r="V837" s="3" t="str">
        <f t="shared" si="124"/>
        <v>Priority D</v>
      </c>
      <c r="W837">
        <f t="shared" si="125"/>
        <v>23076</v>
      </c>
      <c r="X837" t="s">
        <v>23</v>
      </c>
      <c r="Y837" t="s">
        <v>23</v>
      </c>
      <c r="Z837" t="s">
        <v>23</v>
      </c>
      <c r="AA837" t="s">
        <v>23</v>
      </c>
      <c r="AB837" t="s">
        <v>23</v>
      </c>
      <c r="AC837" t="s">
        <v>23</v>
      </c>
      <c r="AD837" t="s">
        <v>23</v>
      </c>
      <c r="AE837" t="s">
        <v>23</v>
      </c>
      <c r="AF837" t="s">
        <v>23</v>
      </c>
      <c r="AG837" t="s">
        <v>23</v>
      </c>
      <c r="AH837" t="s">
        <v>23</v>
      </c>
      <c r="AI837" t="s">
        <v>23</v>
      </c>
      <c r="AJ837" t="s">
        <v>23</v>
      </c>
    </row>
    <row r="838" spans="1:36" x14ac:dyDescent="0.35">
      <c r="A838" s="2">
        <v>1836</v>
      </c>
      <c r="B838" s="4">
        <v>45002</v>
      </c>
      <c r="C838" s="1" t="s">
        <v>34</v>
      </c>
      <c r="D838" s="1" t="s">
        <v>31</v>
      </c>
      <c r="E838">
        <v>205823</v>
      </c>
      <c r="F838">
        <v>8</v>
      </c>
      <c r="G838" s="1" t="s">
        <v>35</v>
      </c>
      <c r="H838">
        <v>41313</v>
      </c>
      <c r="I838">
        <v>46186</v>
      </c>
      <c r="J838" s="1" t="s">
        <v>27</v>
      </c>
      <c r="K838" s="3">
        <v>27</v>
      </c>
      <c r="L838" s="1" t="s">
        <v>40</v>
      </c>
      <c r="M838" s="1" t="s">
        <v>29</v>
      </c>
      <c r="N838" s="3">
        <v>2024010123</v>
      </c>
      <c r="O838" s="3">
        <f t="shared" si="117"/>
        <v>1.23</v>
      </c>
      <c r="P838" s="6">
        <f t="shared" si="118"/>
        <v>253162.29</v>
      </c>
      <c r="Q838" s="3" t="str">
        <f t="shared" si="119"/>
        <v>Excellent</v>
      </c>
      <c r="R838" s="3">
        <f t="shared" si="120"/>
        <v>4873</v>
      </c>
      <c r="S838" s="7">
        <f t="shared" si="121"/>
        <v>38984</v>
      </c>
      <c r="T838" s="3" t="str">
        <f t="shared" si="122"/>
        <v>High Profit</v>
      </c>
      <c r="U838" s="3" t="str">
        <f t="shared" si="123"/>
        <v>High Discount</v>
      </c>
      <c r="V838" s="3" t="str">
        <f t="shared" si="124"/>
        <v>Priority D</v>
      </c>
      <c r="W838">
        <f t="shared" si="125"/>
        <v>30873.449999999997</v>
      </c>
      <c r="X838" t="s">
        <v>23</v>
      </c>
      <c r="Y838" t="s">
        <v>23</v>
      </c>
      <c r="Z838" t="s">
        <v>23</v>
      </c>
      <c r="AA838" t="s">
        <v>23</v>
      </c>
      <c r="AB838" t="s">
        <v>23</v>
      </c>
      <c r="AC838" t="s">
        <v>23</v>
      </c>
      <c r="AD838" t="s">
        <v>23</v>
      </c>
      <c r="AE838" t="s">
        <v>23</v>
      </c>
      <c r="AF838" t="s">
        <v>23</v>
      </c>
      <c r="AG838" t="s">
        <v>23</v>
      </c>
      <c r="AH838" t="s">
        <v>23</v>
      </c>
      <c r="AI838" t="s">
        <v>23</v>
      </c>
      <c r="AJ838" t="s">
        <v>23</v>
      </c>
    </row>
    <row r="839" spans="1:36" x14ac:dyDescent="0.35">
      <c r="A839" s="2">
        <v>1837</v>
      </c>
      <c r="B839" s="4">
        <v>45023</v>
      </c>
      <c r="C839" s="1" t="s">
        <v>38</v>
      </c>
      <c r="D839" s="1" t="s">
        <v>31</v>
      </c>
      <c r="E839">
        <v>534498</v>
      </c>
      <c r="F839">
        <v>4</v>
      </c>
      <c r="G839" s="1" t="s">
        <v>26</v>
      </c>
      <c r="H839">
        <v>33148</v>
      </c>
      <c r="I839">
        <v>36705</v>
      </c>
      <c r="J839" s="1" t="s">
        <v>33</v>
      </c>
      <c r="K839" s="3">
        <v>20</v>
      </c>
      <c r="L839" s="1" t="s">
        <v>40</v>
      </c>
      <c r="M839" s="1" t="s">
        <v>37</v>
      </c>
      <c r="N839" s="3">
        <v>2024010123</v>
      </c>
      <c r="O839" s="3">
        <f t="shared" si="117"/>
        <v>1.23</v>
      </c>
      <c r="P839" s="6">
        <f t="shared" si="118"/>
        <v>657432.54</v>
      </c>
      <c r="Q839" s="3" t="str">
        <f t="shared" si="119"/>
        <v>Excellent</v>
      </c>
      <c r="R839" s="3">
        <f t="shared" si="120"/>
        <v>3557</v>
      </c>
      <c r="S839" s="7">
        <f t="shared" si="121"/>
        <v>14228</v>
      </c>
      <c r="T839" s="3" t="str">
        <f t="shared" si="122"/>
        <v>High Profit</v>
      </c>
      <c r="U839" s="3" t="str">
        <f t="shared" si="123"/>
        <v>High Discount</v>
      </c>
      <c r="V839" s="3" t="str">
        <f t="shared" si="124"/>
        <v>Priority C</v>
      </c>
      <c r="W839">
        <f t="shared" si="125"/>
        <v>53449.8</v>
      </c>
      <c r="X839" t="s">
        <v>23</v>
      </c>
      <c r="Y839" t="s">
        <v>23</v>
      </c>
      <c r="Z839" t="s">
        <v>23</v>
      </c>
      <c r="AA839" t="s">
        <v>23</v>
      </c>
      <c r="AB839" t="s">
        <v>23</v>
      </c>
      <c r="AC839" t="s">
        <v>23</v>
      </c>
      <c r="AD839" t="s">
        <v>23</v>
      </c>
      <c r="AE839" t="s">
        <v>23</v>
      </c>
      <c r="AF839" t="s">
        <v>23</v>
      </c>
      <c r="AG839" t="s">
        <v>23</v>
      </c>
      <c r="AH839" t="s">
        <v>23</v>
      </c>
      <c r="AI839" t="s">
        <v>23</v>
      </c>
      <c r="AJ839" t="s">
        <v>23</v>
      </c>
    </row>
    <row r="840" spans="1:36" x14ac:dyDescent="0.35">
      <c r="A840" s="2">
        <v>1838</v>
      </c>
      <c r="B840" s="4">
        <v>44965</v>
      </c>
      <c r="C840" s="1" t="s">
        <v>30</v>
      </c>
      <c r="D840" s="1" t="s">
        <v>25</v>
      </c>
      <c r="E840">
        <v>247046</v>
      </c>
      <c r="F840">
        <v>12</v>
      </c>
      <c r="G840" s="1" t="s">
        <v>39</v>
      </c>
      <c r="H840">
        <v>26786</v>
      </c>
      <c r="I840">
        <v>29400</v>
      </c>
      <c r="J840" s="1" t="s">
        <v>33</v>
      </c>
      <c r="K840" s="3">
        <v>20</v>
      </c>
      <c r="L840" s="1" t="s">
        <v>28</v>
      </c>
      <c r="M840" s="1" t="s">
        <v>29</v>
      </c>
      <c r="N840" s="3">
        <v>2024010123</v>
      </c>
      <c r="O840" s="3">
        <f t="shared" si="117"/>
        <v>1.23</v>
      </c>
      <c r="P840" s="6">
        <f t="shared" si="118"/>
        <v>303866.58</v>
      </c>
      <c r="Q840" s="3" t="str">
        <f t="shared" si="119"/>
        <v>Excellent</v>
      </c>
      <c r="R840" s="3">
        <f t="shared" si="120"/>
        <v>2614</v>
      </c>
      <c r="S840" s="7">
        <f t="shared" si="121"/>
        <v>31368</v>
      </c>
      <c r="T840" s="3" t="str">
        <f t="shared" si="122"/>
        <v>High Profit</v>
      </c>
      <c r="U840" s="3" t="str">
        <f t="shared" si="123"/>
        <v>High Discount</v>
      </c>
      <c r="V840" s="3" t="str">
        <f t="shared" si="124"/>
        <v>Priority D</v>
      </c>
      <c r="W840">
        <f t="shared" si="125"/>
        <v>24704.600000000002</v>
      </c>
      <c r="X840" t="s">
        <v>23</v>
      </c>
      <c r="Y840" t="s">
        <v>23</v>
      </c>
      <c r="Z840" t="s">
        <v>23</v>
      </c>
      <c r="AA840" t="s">
        <v>23</v>
      </c>
      <c r="AB840" t="s">
        <v>23</v>
      </c>
      <c r="AC840" t="s">
        <v>23</v>
      </c>
      <c r="AD840" t="s">
        <v>23</v>
      </c>
      <c r="AE840" t="s">
        <v>23</v>
      </c>
      <c r="AF840" t="s">
        <v>23</v>
      </c>
      <c r="AG840" t="s">
        <v>23</v>
      </c>
      <c r="AH840" t="s">
        <v>23</v>
      </c>
      <c r="AI840" t="s">
        <v>23</v>
      </c>
      <c r="AJ840" t="s">
        <v>23</v>
      </c>
    </row>
    <row r="841" spans="1:36" x14ac:dyDescent="0.35">
      <c r="A841" s="2">
        <v>1839</v>
      </c>
      <c r="B841" s="4">
        <v>45222</v>
      </c>
      <c r="C841" s="1" t="s">
        <v>30</v>
      </c>
      <c r="D841" s="1" t="s">
        <v>42</v>
      </c>
      <c r="E841">
        <v>19754</v>
      </c>
      <c r="F841">
        <v>12</v>
      </c>
      <c r="G841" s="1" t="s">
        <v>35</v>
      </c>
      <c r="H841">
        <v>41814</v>
      </c>
      <c r="I841">
        <v>46041</v>
      </c>
      <c r="J841" s="1" t="s">
        <v>27</v>
      </c>
      <c r="K841" s="3">
        <v>23</v>
      </c>
      <c r="L841" s="1" t="s">
        <v>28</v>
      </c>
      <c r="M841" s="1" t="s">
        <v>37</v>
      </c>
      <c r="N841" s="3">
        <v>2024010123</v>
      </c>
      <c r="O841" s="3">
        <f t="shared" si="117"/>
        <v>1.23</v>
      </c>
      <c r="P841" s="6">
        <f t="shared" si="118"/>
        <v>24297.42</v>
      </c>
      <c r="Q841" s="3" t="str">
        <f t="shared" si="119"/>
        <v>Excellent</v>
      </c>
      <c r="R841" s="3">
        <f t="shared" si="120"/>
        <v>4227</v>
      </c>
      <c r="S841" s="7">
        <f t="shared" si="121"/>
        <v>50724</v>
      </c>
      <c r="T841" s="3" t="str">
        <f t="shared" si="122"/>
        <v>High Profit</v>
      </c>
      <c r="U841" s="3" t="str">
        <f t="shared" si="123"/>
        <v>High Discount</v>
      </c>
      <c r="V841" s="3" t="str">
        <f t="shared" si="124"/>
        <v>Priority C</v>
      </c>
      <c r="W841">
        <f t="shared" si="125"/>
        <v>2963.1</v>
      </c>
      <c r="X841" t="s">
        <v>23</v>
      </c>
      <c r="Y841" t="s">
        <v>23</v>
      </c>
      <c r="Z841" t="s">
        <v>23</v>
      </c>
      <c r="AA841" t="s">
        <v>23</v>
      </c>
      <c r="AB841" t="s">
        <v>23</v>
      </c>
      <c r="AC841" t="s">
        <v>23</v>
      </c>
      <c r="AD841" t="s">
        <v>23</v>
      </c>
      <c r="AE841" t="s">
        <v>23</v>
      </c>
      <c r="AF841" t="s">
        <v>23</v>
      </c>
      <c r="AG841" t="s">
        <v>23</v>
      </c>
      <c r="AH841" t="s">
        <v>23</v>
      </c>
      <c r="AI841" t="s">
        <v>23</v>
      </c>
      <c r="AJ841" t="s">
        <v>23</v>
      </c>
    </row>
    <row r="842" spans="1:36" x14ac:dyDescent="0.35">
      <c r="A842" s="2">
        <v>1840</v>
      </c>
      <c r="B842" s="4">
        <v>45275</v>
      </c>
      <c r="C842" s="1" t="s">
        <v>38</v>
      </c>
      <c r="D842" s="1" t="s">
        <v>25</v>
      </c>
      <c r="E842">
        <v>204766</v>
      </c>
      <c r="F842">
        <v>32</v>
      </c>
      <c r="G842" s="1" t="s">
        <v>32</v>
      </c>
      <c r="H842">
        <v>27960</v>
      </c>
      <c r="I842">
        <v>36317</v>
      </c>
      <c r="J842" s="1" t="s">
        <v>33</v>
      </c>
      <c r="K842" s="3">
        <v>0</v>
      </c>
      <c r="L842" s="1" t="s">
        <v>36</v>
      </c>
      <c r="M842" s="1" t="s">
        <v>37</v>
      </c>
      <c r="N842" s="3">
        <v>2024010123</v>
      </c>
      <c r="O842" s="3">
        <f t="shared" si="117"/>
        <v>1.23</v>
      </c>
      <c r="P842" s="6">
        <f t="shared" si="118"/>
        <v>251862.18</v>
      </c>
      <c r="Q842" s="3" t="str">
        <f t="shared" si="119"/>
        <v>Excellent</v>
      </c>
      <c r="R842" s="3">
        <f t="shared" si="120"/>
        <v>8357</v>
      </c>
      <c r="S842" s="7">
        <f t="shared" si="121"/>
        <v>267424</v>
      </c>
      <c r="T842" s="3" t="str">
        <f t="shared" si="122"/>
        <v>High Profit</v>
      </c>
      <c r="U842" s="3" t="str">
        <f t="shared" si="123"/>
        <v>No Discount</v>
      </c>
      <c r="V842" s="3" t="str">
        <f t="shared" si="124"/>
        <v>Priority B</v>
      </c>
      <c r="W842">
        <f t="shared" si="125"/>
        <v>20476.600000000002</v>
      </c>
      <c r="X842" t="s">
        <v>23</v>
      </c>
      <c r="Y842" t="s">
        <v>23</v>
      </c>
      <c r="Z842" t="s">
        <v>23</v>
      </c>
      <c r="AA842" t="s">
        <v>23</v>
      </c>
      <c r="AB842" t="s">
        <v>23</v>
      </c>
      <c r="AC842" t="s">
        <v>23</v>
      </c>
      <c r="AD842" t="s">
        <v>23</v>
      </c>
      <c r="AE842" t="s">
        <v>23</v>
      </c>
      <c r="AF842" t="s">
        <v>23</v>
      </c>
      <c r="AG842" t="s">
        <v>23</v>
      </c>
      <c r="AH842" t="s">
        <v>23</v>
      </c>
      <c r="AI842" t="s">
        <v>23</v>
      </c>
      <c r="AJ842" t="s">
        <v>23</v>
      </c>
    </row>
    <row r="843" spans="1:36" x14ac:dyDescent="0.35">
      <c r="A843" s="2">
        <v>1841</v>
      </c>
      <c r="B843" s="4">
        <v>45198</v>
      </c>
      <c r="C843" s="1" t="s">
        <v>24</v>
      </c>
      <c r="D843" s="1" t="s">
        <v>42</v>
      </c>
      <c r="E843">
        <v>502965</v>
      </c>
      <c r="F843">
        <v>41</v>
      </c>
      <c r="G843" s="1" t="s">
        <v>32</v>
      </c>
      <c r="H843">
        <v>22191</v>
      </c>
      <c r="I843">
        <v>28499</v>
      </c>
      <c r="J843" s="1" t="s">
        <v>27</v>
      </c>
      <c r="K843" s="3">
        <v>1</v>
      </c>
      <c r="L843" s="1" t="s">
        <v>36</v>
      </c>
      <c r="M843" s="1" t="s">
        <v>37</v>
      </c>
      <c r="N843" s="3">
        <v>2024010123</v>
      </c>
      <c r="O843" s="3">
        <f t="shared" si="117"/>
        <v>1.23</v>
      </c>
      <c r="P843" s="6">
        <f t="shared" si="118"/>
        <v>618646.94999999995</v>
      </c>
      <c r="Q843" s="3" t="str">
        <f t="shared" si="119"/>
        <v>Excellent</v>
      </c>
      <c r="R843" s="3">
        <f t="shared" si="120"/>
        <v>6308</v>
      </c>
      <c r="S843" s="7">
        <f t="shared" si="121"/>
        <v>258628</v>
      </c>
      <c r="T843" s="3" t="str">
        <f t="shared" si="122"/>
        <v>High Profit</v>
      </c>
      <c r="U843" s="3" t="str">
        <f t="shared" si="123"/>
        <v>Low Discount</v>
      </c>
      <c r="V843" s="3" t="str">
        <f t="shared" si="124"/>
        <v>Priority B</v>
      </c>
      <c r="W843">
        <f t="shared" si="125"/>
        <v>75444.75</v>
      </c>
      <c r="X843" t="s">
        <v>23</v>
      </c>
      <c r="Y843" t="s">
        <v>23</v>
      </c>
      <c r="Z843" t="s">
        <v>23</v>
      </c>
      <c r="AA843" t="s">
        <v>23</v>
      </c>
      <c r="AB843" t="s">
        <v>23</v>
      </c>
      <c r="AC843" t="s">
        <v>23</v>
      </c>
      <c r="AD843" t="s">
        <v>23</v>
      </c>
      <c r="AE843" t="s">
        <v>23</v>
      </c>
      <c r="AF843" t="s">
        <v>23</v>
      </c>
      <c r="AG843" t="s">
        <v>23</v>
      </c>
      <c r="AH843" t="s">
        <v>23</v>
      </c>
      <c r="AI843" t="s">
        <v>23</v>
      </c>
      <c r="AJ843" t="s">
        <v>23</v>
      </c>
    </row>
    <row r="844" spans="1:36" x14ac:dyDescent="0.35">
      <c r="A844" s="2">
        <v>1842</v>
      </c>
      <c r="B844" s="4">
        <v>45161</v>
      </c>
      <c r="C844" s="1" t="s">
        <v>41</v>
      </c>
      <c r="D844" s="1" t="s">
        <v>31</v>
      </c>
      <c r="E844">
        <v>128919</v>
      </c>
      <c r="F844">
        <v>14</v>
      </c>
      <c r="G844" s="1" t="s">
        <v>35</v>
      </c>
      <c r="H844">
        <v>20004</v>
      </c>
      <c r="I844">
        <v>26959</v>
      </c>
      <c r="J844" s="1" t="s">
        <v>27</v>
      </c>
      <c r="K844" s="3">
        <v>3</v>
      </c>
      <c r="L844" s="1" t="s">
        <v>36</v>
      </c>
      <c r="M844" s="1" t="s">
        <v>37</v>
      </c>
      <c r="N844" s="3">
        <v>2024010123</v>
      </c>
      <c r="O844" s="3">
        <f t="shared" si="117"/>
        <v>1.23</v>
      </c>
      <c r="P844" s="6">
        <f t="shared" si="118"/>
        <v>158570.37</v>
      </c>
      <c r="Q844" s="3" t="str">
        <f t="shared" si="119"/>
        <v>Excellent</v>
      </c>
      <c r="R844" s="3">
        <f t="shared" si="120"/>
        <v>6955</v>
      </c>
      <c r="S844" s="7">
        <f t="shared" si="121"/>
        <v>97370</v>
      </c>
      <c r="T844" s="3" t="str">
        <f t="shared" si="122"/>
        <v>High Profit</v>
      </c>
      <c r="U844" s="3" t="str">
        <f t="shared" si="123"/>
        <v>Low Discount</v>
      </c>
      <c r="V844" s="3" t="str">
        <f t="shared" si="124"/>
        <v>Priority C</v>
      </c>
      <c r="W844">
        <f t="shared" si="125"/>
        <v>19337.849999999999</v>
      </c>
      <c r="X844" t="s">
        <v>23</v>
      </c>
      <c r="Y844" t="s">
        <v>23</v>
      </c>
      <c r="Z844" t="s">
        <v>23</v>
      </c>
      <c r="AA844" t="s">
        <v>23</v>
      </c>
      <c r="AB844" t="s">
        <v>23</v>
      </c>
      <c r="AC844" t="s">
        <v>23</v>
      </c>
      <c r="AD844" t="s">
        <v>23</v>
      </c>
      <c r="AE844" t="s">
        <v>23</v>
      </c>
      <c r="AF844" t="s">
        <v>23</v>
      </c>
      <c r="AG844" t="s">
        <v>23</v>
      </c>
      <c r="AH844" t="s">
        <v>23</v>
      </c>
      <c r="AI844" t="s">
        <v>23</v>
      </c>
      <c r="AJ844" t="s">
        <v>23</v>
      </c>
    </row>
    <row r="845" spans="1:36" x14ac:dyDescent="0.35">
      <c r="A845" s="2">
        <v>1843</v>
      </c>
      <c r="B845" s="4">
        <v>45075</v>
      </c>
      <c r="C845" s="1" t="s">
        <v>24</v>
      </c>
      <c r="D845" s="1" t="s">
        <v>31</v>
      </c>
      <c r="E845">
        <v>110789</v>
      </c>
      <c r="F845">
        <v>12</v>
      </c>
      <c r="G845" s="1" t="s">
        <v>32</v>
      </c>
      <c r="H845">
        <v>12358</v>
      </c>
      <c r="I845">
        <v>24381</v>
      </c>
      <c r="J845" s="1" t="s">
        <v>27</v>
      </c>
      <c r="K845" s="3">
        <v>14</v>
      </c>
      <c r="L845" s="1" t="s">
        <v>36</v>
      </c>
      <c r="M845" s="1" t="s">
        <v>37</v>
      </c>
      <c r="N845" s="3">
        <v>2024010123</v>
      </c>
      <c r="O845" s="3">
        <f t="shared" si="117"/>
        <v>1.23</v>
      </c>
      <c r="P845" s="6">
        <f t="shared" si="118"/>
        <v>136270.47</v>
      </c>
      <c r="Q845" s="3" t="str">
        <f t="shared" si="119"/>
        <v>Excellent</v>
      </c>
      <c r="R845" s="3">
        <f t="shared" si="120"/>
        <v>12023</v>
      </c>
      <c r="S845" s="7">
        <f t="shared" si="121"/>
        <v>144276</v>
      </c>
      <c r="T845" s="3" t="str">
        <f t="shared" si="122"/>
        <v>High Profit</v>
      </c>
      <c r="U845" s="3" t="str">
        <f t="shared" si="123"/>
        <v>Medium Discount</v>
      </c>
      <c r="V845" s="3" t="str">
        <f t="shared" si="124"/>
        <v>Priority C</v>
      </c>
      <c r="W845">
        <f t="shared" si="125"/>
        <v>16618.349999999999</v>
      </c>
      <c r="X845" t="s">
        <v>23</v>
      </c>
      <c r="Y845" t="s">
        <v>23</v>
      </c>
      <c r="Z845" t="s">
        <v>23</v>
      </c>
      <c r="AA845" t="s">
        <v>23</v>
      </c>
      <c r="AB845" t="s">
        <v>23</v>
      </c>
      <c r="AC845" t="s">
        <v>23</v>
      </c>
      <c r="AD845" t="s">
        <v>23</v>
      </c>
      <c r="AE845" t="s">
        <v>23</v>
      </c>
      <c r="AF845" t="s">
        <v>23</v>
      </c>
      <c r="AG845" t="s">
        <v>23</v>
      </c>
      <c r="AH845" t="s">
        <v>23</v>
      </c>
      <c r="AI845" t="s">
        <v>23</v>
      </c>
      <c r="AJ845" t="s">
        <v>23</v>
      </c>
    </row>
    <row r="846" spans="1:36" x14ac:dyDescent="0.35">
      <c r="A846" s="2">
        <v>1844</v>
      </c>
      <c r="B846" s="4">
        <v>45082</v>
      </c>
      <c r="C846" s="1" t="s">
        <v>30</v>
      </c>
      <c r="D846" s="1" t="s">
        <v>43</v>
      </c>
      <c r="E846">
        <v>629302</v>
      </c>
      <c r="F846">
        <v>20</v>
      </c>
      <c r="G846" s="1" t="s">
        <v>26</v>
      </c>
      <c r="H846">
        <v>10955</v>
      </c>
      <c r="I846">
        <v>22482</v>
      </c>
      <c r="J846" s="1" t="s">
        <v>27</v>
      </c>
      <c r="K846" s="3">
        <v>10</v>
      </c>
      <c r="L846" s="1" t="s">
        <v>28</v>
      </c>
      <c r="M846" s="1" t="s">
        <v>37</v>
      </c>
      <c r="N846" s="3">
        <v>2024010123</v>
      </c>
      <c r="O846" s="3">
        <f t="shared" si="117"/>
        <v>1.23</v>
      </c>
      <c r="P846" s="6">
        <f t="shared" si="118"/>
        <v>774041.46</v>
      </c>
      <c r="Q846" s="3" t="str">
        <f t="shared" si="119"/>
        <v>Excellent</v>
      </c>
      <c r="R846" s="3">
        <f t="shared" si="120"/>
        <v>11527</v>
      </c>
      <c r="S846" s="7">
        <f t="shared" si="121"/>
        <v>230540</v>
      </c>
      <c r="T846" s="3" t="str">
        <f t="shared" si="122"/>
        <v>High Profit</v>
      </c>
      <c r="U846" s="3" t="str">
        <f t="shared" si="123"/>
        <v>Medium Discount</v>
      </c>
      <c r="V846" s="3" t="str">
        <f t="shared" si="124"/>
        <v>Priority C</v>
      </c>
      <c r="W846">
        <f t="shared" si="125"/>
        <v>94395.3</v>
      </c>
      <c r="X846" t="s">
        <v>23</v>
      </c>
      <c r="Y846" t="s">
        <v>23</v>
      </c>
      <c r="Z846" t="s">
        <v>23</v>
      </c>
      <c r="AA846" t="s">
        <v>23</v>
      </c>
      <c r="AB846" t="s">
        <v>23</v>
      </c>
      <c r="AC846" t="s">
        <v>23</v>
      </c>
      <c r="AD846" t="s">
        <v>23</v>
      </c>
      <c r="AE846" t="s">
        <v>23</v>
      </c>
      <c r="AF846" t="s">
        <v>23</v>
      </c>
      <c r="AG846" t="s">
        <v>23</v>
      </c>
      <c r="AH846" t="s">
        <v>23</v>
      </c>
      <c r="AI846" t="s">
        <v>23</v>
      </c>
      <c r="AJ846" t="s">
        <v>23</v>
      </c>
    </row>
    <row r="847" spans="1:36" x14ac:dyDescent="0.35">
      <c r="A847" s="2">
        <v>1845</v>
      </c>
      <c r="B847" s="4">
        <v>45050</v>
      </c>
      <c r="C847" s="1" t="s">
        <v>34</v>
      </c>
      <c r="D847" s="1" t="s">
        <v>42</v>
      </c>
      <c r="E847">
        <v>452890</v>
      </c>
      <c r="F847">
        <v>12</v>
      </c>
      <c r="G847" s="1" t="s">
        <v>35</v>
      </c>
      <c r="H847">
        <v>19586</v>
      </c>
      <c r="I847">
        <v>30460</v>
      </c>
      <c r="J847" s="1" t="s">
        <v>27</v>
      </c>
      <c r="K847" s="3">
        <v>9</v>
      </c>
      <c r="L847" s="1" t="s">
        <v>40</v>
      </c>
      <c r="M847" s="1" t="s">
        <v>29</v>
      </c>
      <c r="N847" s="3">
        <v>2024010123</v>
      </c>
      <c r="O847" s="3">
        <f t="shared" si="117"/>
        <v>1.23</v>
      </c>
      <c r="P847" s="6">
        <f t="shared" si="118"/>
        <v>557054.69999999995</v>
      </c>
      <c r="Q847" s="3" t="str">
        <f t="shared" si="119"/>
        <v>Excellent</v>
      </c>
      <c r="R847" s="3">
        <f t="shared" si="120"/>
        <v>10874</v>
      </c>
      <c r="S847" s="7">
        <f t="shared" si="121"/>
        <v>130488</v>
      </c>
      <c r="T847" s="3" t="str">
        <f t="shared" si="122"/>
        <v>High Profit</v>
      </c>
      <c r="U847" s="3" t="str">
        <f t="shared" si="123"/>
        <v>Medium Discount</v>
      </c>
      <c r="V847" s="3" t="str">
        <f t="shared" si="124"/>
        <v>Priority D</v>
      </c>
      <c r="W847">
        <f t="shared" si="125"/>
        <v>67933.5</v>
      </c>
      <c r="X847" t="s">
        <v>23</v>
      </c>
      <c r="Y847" t="s">
        <v>23</v>
      </c>
      <c r="Z847" t="s">
        <v>23</v>
      </c>
      <c r="AA847" t="s">
        <v>23</v>
      </c>
      <c r="AB847" t="s">
        <v>23</v>
      </c>
      <c r="AC847" t="s">
        <v>23</v>
      </c>
      <c r="AD847" t="s">
        <v>23</v>
      </c>
      <c r="AE847" t="s">
        <v>23</v>
      </c>
      <c r="AF847" t="s">
        <v>23</v>
      </c>
      <c r="AG847" t="s">
        <v>23</v>
      </c>
      <c r="AH847" t="s">
        <v>23</v>
      </c>
      <c r="AI847" t="s">
        <v>23</v>
      </c>
      <c r="AJ847" t="s">
        <v>23</v>
      </c>
    </row>
    <row r="848" spans="1:36" x14ac:dyDescent="0.35">
      <c r="A848" s="2">
        <v>1846</v>
      </c>
      <c r="B848" s="4">
        <v>45119</v>
      </c>
      <c r="C848" s="1" t="s">
        <v>24</v>
      </c>
      <c r="D848" s="1" t="s">
        <v>31</v>
      </c>
      <c r="E848">
        <v>55366</v>
      </c>
      <c r="F848">
        <v>41</v>
      </c>
      <c r="G848" s="1" t="s">
        <v>35</v>
      </c>
      <c r="H848">
        <v>26370</v>
      </c>
      <c r="I848">
        <v>33020</v>
      </c>
      <c r="J848" s="1" t="s">
        <v>27</v>
      </c>
      <c r="K848" s="3">
        <v>25</v>
      </c>
      <c r="L848" s="1" t="s">
        <v>40</v>
      </c>
      <c r="M848" s="1" t="s">
        <v>29</v>
      </c>
      <c r="N848" s="3">
        <v>2024010123</v>
      </c>
      <c r="O848" s="3">
        <f t="shared" si="117"/>
        <v>1.23</v>
      </c>
      <c r="P848" s="6">
        <f t="shared" si="118"/>
        <v>68100.179999999993</v>
      </c>
      <c r="Q848" s="3" t="str">
        <f t="shared" si="119"/>
        <v>Excellent</v>
      </c>
      <c r="R848" s="3">
        <f t="shared" si="120"/>
        <v>6650</v>
      </c>
      <c r="S848" s="7">
        <f t="shared" si="121"/>
        <v>272650</v>
      </c>
      <c r="T848" s="3" t="str">
        <f t="shared" si="122"/>
        <v>High Profit</v>
      </c>
      <c r="U848" s="3" t="str">
        <f t="shared" si="123"/>
        <v>High Discount</v>
      </c>
      <c r="V848" s="3" t="str">
        <f t="shared" si="124"/>
        <v>Priority C</v>
      </c>
      <c r="W848">
        <f t="shared" si="125"/>
        <v>8304.9</v>
      </c>
      <c r="X848" t="s">
        <v>23</v>
      </c>
      <c r="Y848" t="s">
        <v>23</v>
      </c>
      <c r="Z848" t="s">
        <v>23</v>
      </c>
      <c r="AA848" t="s">
        <v>23</v>
      </c>
      <c r="AB848" t="s">
        <v>23</v>
      </c>
      <c r="AC848" t="s">
        <v>23</v>
      </c>
      <c r="AD848" t="s">
        <v>23</v>
      </c>
      <c r="AE848" t="s">
        <v>23</v>
      </c>
      <c r="AF848" t="s">
        <v>23</v>
      </c>
      <c r="AG848" t="s">
        <v>23</v>
      </c>
      <c r="AH848" t="s">
        <v>23</v>
      </c>
      <c r="AI848" t="s">
        <v>23</v>
      </c>
      <c r="AJ848" t="s">
        <v>23</v>
      </c>
    </row>
    <row r="849" spans="1:36" x14ac:dyDescent="0.35">
      <c r="A849" s="2">
        <v>1847</v>
      </c>
      <c r="B849" s="4">
        <v>45134</v>
      </c>
      <c r="C849" s="1" t="s">
        <v>24</v>
      </c>
      <c r="D849" s="1" t="s">
        <v>31</v>
      </c>
      <c r="E849">
        <v>619296</v>
      </c>
      <c r="F849">
        <v>44</v>
      </c>
      <c r="G849" s="1" t="s">
        <v>39</v>
      </c>
      <c r="H849">
        <v>25355</v>
      </c>
      <c r="I849">
        <v>32880</v>
      </c>
      <c r="J849" s="1" t="s">
        <v>27</v>
      </c>
      <c r="K849" s="3">
        <v>25</v>
      </c>
      <c r="L849" s="1" t="s">
        <v>36</v>
      </c>
      <c r="M849" s="1" t="s">
        <v>37</v>
      </c>
      <c r="N849" s="3">
        <v>2024010123</v>
      </c>
      <c r="O849" s="3">
        <f t="shared" si="117"/>
        <v>1.23</v>
      </c>
      <c r="P849" s="6">
        <f t="shared" si="118"/>
        <v>761734.08</v>
      </c>
      <c r="Q849" s="3" t="str">
        <f t="shared" si="119"/>
        <v>Excellent</v>
      </c>
      <c r="R849" s="3">
        <f t="shared" si="120"/>
        <v>7525</v>
      </c>
      <c r="S849" s="7">
        <f t="shared" si="121"/>
        <v>331100</v>
      </c>
      <c r="T849" s="3" t="str">
        <f t="shared" si="122"/>
        <v>High Profit</v>
      </c>
      <c r="U849" s="3" t="str">
        <f t="shared" si="123"/>
        <v>High Discount</v>
      </c>
      <c r="V849" s="3" t="str">
        <f t="shared" si="124"/>
        <v>Priority A</v>
      </c>
      <c r="W849">
        <f t="shared" si="125"/>
        <v>92894.399999999994</v>
      </c>
      <c r="X849" t="s">
        <v>23</v>
      </c>
      <c r="Y849" t="s">
        <v>23</v>
      </c>
      <c r="Z849" t="s">
        <v>23</v>
      </c>
      <c r="AA849" t="s">
        <v>23</v>
      </c>
      <c r="AB849" t="s">
        <v>23</v>
      </c>
      <c r="AC849" t="s">
        <v>23</v>
      </c>
      <c r="AD849" t="s">
        <v>23</v>
      </c>
      <c r="AE849" t="s">
        <v>23</v>
      </c>
      <c r="AF849" t="s">
        <v>23</v>
      </c>
      <c r="AG849" t="s">
        <v>23</v>
      </c>
      <c r="AH849" t="s">
        <v>23</v>
      </c>
      <c r="AI849" t="s">
        <v>23</v>
      </c>
      <c r="AJ849" t="s">
        <v>23</v>
      </c>
    </row>
    <row r="850" spans="1:36" x14ac:dyDescent="0.35">
      <c r="A850" s="2">
        <v>1848</v>
      </c>
      <c r="B850" s="4">
        <v>45139</v>
      </c>
      <c r="C850" s="1" t="s">
        <v>38</v>
      </c>
      <c r="D850" s="1" t="s">
        <v>42</v>
      </c>
      <c r="E850">
        <v>519901</v>
      </c>
      <c r="F850">
        <v>22</v>
      </c>
      <c r="G850" s="1" t="s">
        <v>26</v>
      </c>
      <c r="H850">
        <v>15615</v>
      </c>
      <c r="I850">
        <v>26024</v>
      </c>
      <c r="J850" s="1" t="s">
        <v>33</v>
      </c>
      <c r="K850" s="3">
        <v>28</v>
      </c>
      <c r="L850" s="1" t="s">
        <v>36</v>
      </c>
      <c r="M850" s="1" t="s">
        <v>29</v>
      </c>
      <c r="N850" s="3">
        <v>2024010123</v>
      </c>
      <c r="O850" s="3">
        <f t="shared" si="117"/>
        <v>1.23</v>
      </c>
      <c r="P850" s="6">
        <f t="shared" si="118"/>
        <v>639478.23</v>
      </c>
      <c r="Q850" s="3" t="str">
        <f t="shared" si="119"/>
        <v>Excellent</v>
      </c>
      <c r="R850" s="3">
        <f t="shared" si="120"/>
        <v>10409</v>
      </c>
      <c r="S850" s="7">
        <f t="shared" si="121"/>
        <v>228998</v>
      </c>
      <c r="T850" s="3" t="str">
        <f t="shared" si="122"/>
        <v>High Profit</v>
      </c>
      <c r="U850" s="3" t="str">
        <f t="shared" si="123"/>
        <v>High Discount</v>
      </c>
      <c r="V850" s="3" t="str">
        <f t="shared" si="124"/>
        <v>Priority C</v>
      </c>
      <c r="W850">
        <f t="shared" si="125"/>
        <v>51990.100000000006</v>
      </c>
      <c r="X850" t="s">
        <v>23</v>
      </c>
      <c r="Y850" t="s">
        <v>23</v>
      </c>
      <c r="Z850" t="s">
        <v>23</v>
      </c>
      <c r="AA850" t="s">
        <v>23</v>
      </c>
      <c r="AB850" t="s">
        <v>23</v>
      </c>
      <c r="AC850" t="s">
        <v>23</v>
      </c>
      <c r="AD850" t="s">
        <v>23</v>
      </c>
      <c r="AE850" t="s">
        <v>23</v>
      </c>
      <c r="AF850" t="s">
        <v>23</v>
      </c>
      <c r="AG850" t="s">
        <v>23</v>
      </c>
      <c r="AH850" t="s">
        <v>23</v>
      </c>
      <c r="AI850" t="s">
        <v>23</v>
      </c>
      <c r="AJ850" t="s">
        <v>23</v>
      </c>
    </row>
    <row r="851" spans="1:36" x14ac:dyDescent="0.35">
      <c r="A851" s="2">
        <v>1849</v>
      </c>
      <c r="B851" s="4">
        <v>44996</v>
      </c>
      <c r="C851" s="1" t="s">
        <v>38</v>
      </c>
      <c r="D851" s="1" t="s">
        <v>31</v>
      </c>
      <c r="E851">
        <v>133494</v>
      </c>
      <c r="F851">
        <v>49</v>
      </c>
      <c r="G851" s="1" t="s">
        <v>39</v>
      </c>
      <c r="H851">
        <v>20594</v>
      </c>
      <c r="I851">
        <v>33778</v>
      </c>
      <c r="J851" s="1" t="s">
        <v>27</v>
      </c>
      <c r="K851" s="3">
        <v>28</v>
      </c>
      <c r="L851" s="1" t="s">
        <v>40</v>
      </c>
      <c r="M851" s="1" t="s">
        <v>29</v>
      </c>
      <c r="N851" s="3">
        <v>2024010123</v>
      </c>
      <c r="O851" s="3">
        <f t="shared" si="117"/>
        <v>1.23</v>
      </c>
      <c r="P851" s="6">
        <f t="shared" si="118"/>
        <v>164197.62</v>
      </c>
      <c r="Q851" s="3" t="str">
        <f t="shared" si="119"/>
        <v>Excellent</v>
      </c>
      <c r="R851" s="3">
        <f t="shared" si="120"/>
        <v>13184</v>
      </c>
      <c r="S851" s="7">
        <f t="shared" si="121"/>
        <v>646016</v>
      </c>
      <c r="T851" s="3" t="str">
        <f t="shared" si="122"/>
        <v>High Profit</v>
      </c>
      <c r="U851" s="3" t="str">
        <f t="shared" si="123"/>
        <v>High Discount</v>
      </c>
      <c r="V851" s="3" t="str">
        <f t="shared" si="124"/>
        <v>Priority B</v>
      </c>
      <c r="W851">
        <f t="shared" si="125"/>
        <v>20024.099999999999</v>
      </c>
      <c r="X851" t="s">
        <v>23</v>
      </c>
      <c r="Y851" t="s">
        <v>23</v>
      </c>
      <c r="Z851" t="s">
        <v>23</v>
      </c>
      <c r="AA851" t="s">
        <v>23</v>
      </c>
      <c r="AB851" t="s">
        <v>23</v>
      </c>
      <c r="AC851" t="s">
        <v>23</v>
      </c>
      <c r="AD851" t="s">
        <v>23</v>
      </c>
      <c r="AE851" t="s">
        <v>23</v>
      </c>
      <c r="AF851" t="s">
        <v>23</v>
      </c>
      <c r="AG851" t="s">
        <v>23</v>
      </c>
      <c r="AH851" t="s">
        <v>23</v>
      </c>
      <c r="AI851" t="s">
        <v>23</v>
      </c>
      <c r="AJ851" t="s">
        <v>23</v>
      </c>
    </row>
    <row r="852" spans="1:36" x14ac:dyDescent="0.35">
      <c r="A852" s="2">
        <v>1850</v>
      </c>
      <c r="B852" s="4">
        <v>45074</v>
      </c>
      <c r="C852" s="1" t="s">
        <v>34</v>
      </c>
      <c r="D852" s="1" t="s">
        <v>42</v>
      </c>
      <c r="E852">
        <v>398670</v>
      </c>
      <c r="F852">
        <v>18</v>
      </c>
      <c r="G852" s="1" t="s">
        <v>39</v>
      </c>
      <c r="H852">
        <v>21898</v>
      </c>
      <c r="I852">
        <v>26197</v>
      </c>
      <c r="J852" s="1" t="s">
        <v>27</v>
      </c>
      <c r="K852" s="3">
        <v>0</v>
      </c>
      <c r="L852" s="1" t="s">
        <v>28</v>
      </c>
      <c r="M852" s="1" t="s">
        <v>37</v>
      </c>
      <c r="N852" s="3">
        <v>2024010123</v>
      </c>
      <c r="O852" s="3">
        <f t="shared" si="117"/>
        <v>1.23</v>
      </c>
      <c r="P852" s="6">
        <f t="shared" si="118"/>
        <v>490364.1</v>
      </c>
      <c r="Q852" s="3" t="str">
        <f t="shared" si="119"/>
        <v>Excellent</v>
      </c>
      <c r="R852" s="3">
        <f t="shared" si="120"/>
        <v>4299</v>
      </c>
      <c r="S852" s="7">
        <f t="shared" si="121"/>
        <v>77382</v>
      </c>
      <c r="T852" s="3" t="str">
        <f t="shared" si="122"/>
        <v>High Profit</v>
      </c>
      <c r="U852" s="3" t="str">
        <f t="shared" si="123"/>
        <v>No Discount</v>
      </c>
      <c r="V852" s="3" t="str">
        <f t="shared" si="124"/>
        <v>Priority C</v>
      </c>
      <c r="W852">
        <f t="shared" si="125"/>
        <v>59800.5</v>
      </c>
      <c r="X852" t="s">
        <v>23</v>
      </c>
      <c r="Y852" t="s">
        <v>23</v>
      </c>
      <c r="Z852" t="s">
        <v>23</v>
      </c>
      <c r="AA852" t="s">
        <v>23</v>
      </c>
      <c r="AB852" t="s">
        <v>23</v>
      </c>
      <c r="AC852" t="s">
        <v>23</v>
      </c>
      <c r="AD852" t="s">
        <v>23</v>
      </c>
      <c r="AE852" t="s">
        <v>23</v>
      </c>
      <c r="AF852" t="s">
        <v>23</v>
      </c>
      <c r="AG852" t="s">
        <v>23</v>
      </c>
      <c r="AH852" t="s">
        <v>23</v>
      </c>
      <c r="AI852" t="s">
        <v>23</v>
      </c>
      <c r="AJ852" t="s">
        <v>23</v>
      </c>
    </row>
    <row r="853" spans="1:36" x14ac:dyDescent="0.35">
      <c r="A853" s="2">
        <v>1851</v>
      </c>
      <c r="B853" s="4">
        <v>45216</v>
      </c>
      <c r="C853" s="1" t="s">
        <v>41</v>
      </c>
      <c r="D853" s="1" t="s">
        <v>43</v>
      </c>
      <c r="E853">
        <v>621675</v>
      </c>
      <c r="F853">
        <v>14</v>
      </c>
      <c r="G853" s="1" t="s">
        <v>35</v>
      </c>
      <c r="H853">
        <v>41981</v>
      </c>
      <c r="I853">
        <v>46668</v>
      </c>
      <c r="J853" s="1" t="s">
        <v>33</v>
      </c>
      <c r="K853" s="3">
        <v>2</v>
      </c>
      <c r="L853" s="1" t="s">
        <v>36</v>
      </c>
      <c r="M853" s="1" t="s">
        <v>37</v>
      </c>
      <c r="N853" s="3">
        <v>2024010123</v>
      </c>
      <c r="O853" s="3">
        <f t="shared" si="117"/>
        <v>1.23</v>
      </c>
      <c r="P853" s="6">
        <f t="shared" si="118"/>
        <v>764660.25</v>
      </c>
      <c r="Q853" s="3" t="str">
        <f t="shared" si="119"/>
        <v>Excellent</v>
      </c>
      <c r="R853" s="3">
        <f t="shared" si="120"/>
        <v>4687</v>
      </c>
      <c r="S853" s="7">
        <f t="shared" si="121"/>
        <v>65618</v>
      </c>
      <c r="T853" s="3" t="str">
        <f t="shared" si="122"/>
        <v>High Profit</v>
      </c>
      <c r="U853" s="3" t="str">
        <f t="shared" si="123"/>
        <v>Low Discount</v>
      </c>
      <c r="V853" s="3" t="str">
        <f t="shared" si="124"/>
        <v>Priority C</v>
      </c>
      <c r="W853">
        <f t="shared" si="125"/>
        <v>62167.5</v>
      </c>
      <c r="X853" t="s">
        <v>23</v>
      </c>
      <c r="Y853" t="s">
        <v>23</v>
      </c>
      <c r="Z853" t="s">
        <v>23</v>
      </c>
      <c r="AA853" t="s">
        <v>23</v>
      </c>
      <c r="AB853" t="s">
        <v>23</v>
      </c>
      <c r="AC853" t="s">
        <v>23</v>
      </c>
      <c r="AD853" t="s">
        <v>23</v>
      </c>
      <c r="AE853" t="s">
        <v>23</v>
      </c>
      <c r="AF853" t="s">
        <v>23</v>
      </c>
      <c r="AG853" t="s">
        <v>23</v>
      </c>
      <c r="AH853" t="s">
        <v>23</v>
      </c>
      <c r="AI853" t="s">
        <v>23</v>
      </c>
      <c r="AJ853" t="s">
        <v>23</v>
      </c>
    </row>
    <row r="854" spans="1:36" x14ac:dyDescent="0.35">
      <c r="A854" s="2">
        <v>1852</v>
      </c>
      <c r="B854" s="4">
        <v>44949</v>
      </c>
      <c r="C854" s="1" t="s">
        <v>38</v>
      </c>
      <c r="D854" s="1" t="s">
        <v>25</v>
      </c>
      <c r="E854">
        <v>653914</v>
      </c>
      <c r="F854">
        <v>12</v>
      </c>
      <c r="G854" s="1" t="s">
        <v>35</v>
      </c>
      <c r="H854">
        <v>15208</v>
      </c>
      <c r="I854">
        <v>22518</v>
      </c>
      <c r="J854" s="1" t="s">
        <v>27</v>
      </c>
      <c r="K854" s="3">
        <v>2</v>
      </c>
      <c r="L854" s="1" t="s">
        <v>28</v>
      </c>
      <c r="M854" s="1" t="s">
        <v>29</v>
      </c>
      <c r="N854" s="3">
        <v>2024010123</v>
      </c>
      <c r="O854" s="3">
        <f t="shared" si="117"/>
        <v>1.23</v>
      </c>
      <c r="P854" s="6">
        <f t="shared" si="118"/>
        <v>804314.22</v>
      </c>
      <c r="Q854" s="3" t="str">
        <f t="shared" si="119"/>
        <v>Excellent</v>
      </c>
      <c r="R854" s="3">
        <f t="shared" si="120"/>
        <v>7310</v>
      </c>
      <c r="S854" s="7">
        <f t="shared" si="121"/>
        <v>87720</v>
      </c>
      <c r="T854" s="3" t="str">
        <f t="shared" si="122"/>
        <v>High Profit</v>
      </c>
      <c r="U854" s="3" t="str">
        <f t="shared" si="123"/>
        <v>Low Discount</v>
      </c>
      <c r="V854" s="3" t="str">
        <f t="shared" si="124"/>
        <v>Priority D</v>
      </c>
      <c r="W854">
        <f t="shared" si="125"/>
        <v>98087.099999999991</v>
      </c>
      <c r="X854" t="s">
        <v>23</v>
      </c>
      <c r="Y854" t="s">
        <v>23</v>
      </c>
      <c r="Z854" t="s">
        <v>23</v>
      </c>
      <c r="AA854" t="s">
        <v>23</v>
      </c>
      <c r="AB854" t="s">
        <v>23</v>
      </c>
      <c r="AC854" t="s">
        <v>23</v>
      </c>
      <c r="AD854" t="s">
        <v>23</v>
      </c>
      <c r="AE854" t="s">
        <v>23</v>
      </c>
      <c r="AF854" t="s">
        <v>23</v>
      </c>
      <c r="AG854" t="s">
        <v>23</v>
      </c>
      <c r="AH854" t="s">
        <v>23</v>
      </c>
      <c r="AI854" t="s">
        <v>23</v>
      </c>
      <c r="AJ854" t="s">
        <v>23</v>
      </c>
    </row>
    <row r="855" spans="1:36" x14ac:dyDescent="0.35">
      <c r="A855" s="2">
        <v>1853</v>
      </c>
      <c r="B855" s="4">
        <v>45128</v>
      </c>
      <c r="C855" s="1" t="s">
        <v>24</v>
      </c>
      <c r="D855" s="1" t="s">
        <v>42</v>
      </c>
      <c r="E855">
        <v>359830</v>
      </c>
      <c r="F855">
        <v>8</v>
      </c>
      <c r="G855" s="1" t="s">
        <v>35</v>
      </c>
      <c r="H855">
        <v>42988</v>
      </c>
      <c r="I855">
        <v>46859</v>
      </c>
      <c r="J855" s="1" t="s">
        <v>33</v>
      </c>
      <c r="K855" s="3">
        <v>6</v>
      </c>
      <c r="L855" s="1" t="s">
        <v>40</v>
      </c>
      <c r="M855" s="1" t="s">
        <v>29</v>
      </c>
      <c r="N855" s="3">
        <v>2024010123</v>
      </c>
      <c r="O855" s="3">
        <f t="shared" si="117"/>
        <v>1.23</v>
      </c>
      <c r="P855" s="6">
        <f t="shared" si="118"/>
        <v>442590.89999999997</v>
      </c>
      <c r="Q855" s="3" t="str">
        <f t="shared" si="119"/>
        <v>Excellent</v>
      </c>
      <c r="R855" s="3">
        <f t="shared" si="120"/>
        <v>3871</v>
      </c>
      <c r="S855" s="7">
        <f t="shared" si="121"/>
        <v>30968</v>
      </c>
      <c r="T855" s="3" t="str">
        <f t="shared" si="122"/>
        <v>High Profit</v>
      </c>
      <c r="U855" s="3" t="str">
        <f t="shared" si="123"/>
        <v>Medium Discount</v>
      </c>
      <c r="V855" s="3" t="str">
        <f t="shared" si="124"/>
        <v>Priority D</v>
      </c>
      <c r="W855">
        <f t="shared" si="125"/>
        <v>35983</v>
      </c>
      <c r="X855" t="s">
        <v>23</v>
      </c>
      <c r="Y855" t="s">
        <v>23</v>
      </c>
      <c r="Z855" t="s">
        <v>23</v>
      </c>
      <c r="AA855" t="s">
        <v>23</v>
      </c>
      <c r="AB855" t="s">
        <v>23</v>
      </c>
      <c r="AC855" t="s">
        <v>23</v>
      </c>
      <c r="AD855" t="s">
        <v>23</v>
      </c>
      <c r="AE855" t="s">
        <v>23</v>
      </c>
      <c r="AF855" t="s">
        <v>23</v>
      </c>
      <c r="AG855" t="s">
        <v>23</v>
      </c>
      <c r="AH855" t="s">
        <v>23</v>
      </c>
      <c r="AI855" t="s">
        <v>23</v>
      </c>
      <c r="AJ855" t="s">
        <v>23</v>
      </c>
    </row>
    <row r="856" spans="1:36" x14ac:dyDescent="0.35">
      <c r="A856" s="2">
        <v>1854</v>
      </c>
      <c r="B856" s="4">
        <v>44971</v>
      </c>
      <c r="C856" s="1" t="s">
        <v>38</v>
      </c>
      <c r="D856" s="1" t="s">
        <v>42</v>
      </c>
      <c r="E856">
        <v>266549</v>
      </c>
      <c r="F856">
        <v>18</v>
      </c>
      <c r="G856" s="1" t="s">
        <v>39</v>
      </c>
      <c r="H856">
        <v>27266</v>
      </c>
      <c r="I856">
        <v>35087</v>
      </c>
      <c r="J856" s="1" t="s">
        <v>27</v>
      </c>
      <c r="K856" s="3">
        <v>7</v>
      </c>
      <c r="L856" s="1" t="s">
        <v>36</v>
      </c>
      <c r="M856" s="1" t="s">
        <v>37</v>
      </c>
      <c r="N856" s="3">
        <v>2024010123</v>
      </c>
      <c r="O856" s="3">
        <f t="shared" si="117"/>
        <v>1.23</v>
      </c>
      <c r="P856" s="6">
        <f t="shared" si="118"/>
        <v>327855.27</v>
      </c>
      <c r="Q856" s="3" t="str">
        <f t="shared" si="119"/>
        <v>Excellent</v>
      </c>
      <c r="R856" s="3">
        <f t="shared" si="120"/>
        <v>7821</v>
      </c>
      <c r="S856" s="7">
        <f t="shared" si="121"/>
        <v>140778</v>
      </c>
      <c r="T856" s="3" t="str">
        <f t="shared" si="122"/>
        <v>High Profit</v>
      </c>
      <c r="U856" s="3" t="str">
        <f t="shared" si="123"/>
        <v>Medium Discount</v>
      </c>
      <c r="V856" s="3" t="str">
        <f t="shared" si="124"/>
        <v>Priority C</v>
      </c>
      <c r="W856">
        <f t="shared" si="125"/>
        <v>39982.35</v>
      </c>
      <c r="X856" t="s">
        <v>23</v>
      </c>
      <c r="Y856" t="s">
        <v>23</v>
      </c>
      <c r="Z856" t="s">
        <v>23</v>
      </c>
      <c r="AA856" t="s">
        <v>23</v>
      </c>
      <c r="AB856" t="s">
        <v>23</v>
      </c>
      <c r="AC856" t="s">
        <v>23</v>
      </c>
      <c r="AD856" t="s">
        <v>23</v>
      </c>
      <c r="AE856" t="s">
        <v>23</v>
      </c>
      <c r="AF856" t="s">
        <v>23</v>
      </c>
      <c r="AG856" t="s">
        <v>23</v>
      </c>
      <c r="AH856" t="s">
        <v>23</v>
      </c>
      <c r="AI856" t="s">
        <v>23</v>
      </c>
      <c r="AJ856" t="s">
        <v>23</v>
      </c>
    </row>
    <row r="857" spans="1:36" x14ac:dyDescent="0.35">
      <c r="A857" s="2">
        <v>1855</v>
      </c>
      <c r="B857" s="4">
        <v>45242</v>
      </c>
      <c r="C857" s="1" t="s">
        <v>34</v>
      </c>
      <c r="D857" s="1" t="s">
        <v>43</v>
      </c>
      <c r="E857">
        <v>631906</v>
      </c>
      <c r="F857">
        <v>18</v>
      </c>
      <c r="G857" s="1" t="s">
        <v>26</v>
      </c>
      <c r="H857">
        <v>43083</v>
      </c>
      <c r="I857">
        <v>47085</v>
      </c>
      <c r="J857" s="1" t="s">
        <v>27</v>
      </c>
      <c r="K857" s="3">
        <v>6</v>
      </c>
      <c r="L857" s="1" t="s">
        <v>36</v>
      </c>
      <c r="M857" s="1" t="s">
        <v>37</v>
      </c>
      <c r="N857" s="3">
        <v>2024010123</v>
      </c>
      <c r="O857" s="3">
        <f t="shared" si="117"/>
        <v>1.23</v>
      </c>
      <c r="P857" s="6">
        <f t="shared" si="118"/>
        <v>777244.38</v>
      </c>
      <c r="Q857" s="3" t="str">
        <f t="shared" si="119"/>
        <v>Excellent</v>
      </c>
      <c r="R857" s="3">
        <f t="shared" si="120"/>
        <v>4002</v>
      </c>
      <c r="S857" s="7">
        <f t="shared" si="121"/>
        <v>72036</v>
      </c>
      <c r="T857" s="3" t="str">
        <f t="shared" si="122"/>
        <v>High Profit</v>
      </c>
      <c r="U857" s="3" t="str">
        <f t="shared" si="123"/>
        <v>Medium Discount</v>
      </c>
      <c r="V857" s="3" t="str">
        <f t="shared" si="124"/>
        <v>Priority C</v>
      </c>
      <c r="W857">
        <f t="shared" si="125"/>
        <v>94785.9</v>
      </c>
      <c r="X857" t="s">
        <v>23</v>
      </c>
      <c r="Y857" t="s">
        <v>23</v>
      </c>
      <c r="Z857" t="s">
        <v>23</v>
      </c>
      <c r="AA857" t="s">
        <v>23</v>
      </c>
      <c r="AB857" t="s">
        <v>23</v>
      </c>
      <c r="AC857" t="s">
        <v>23</v>
      </c>
      <c r="AD857" t="s">
        <v>23</v>
      </c>
      <c r="AE857" t="s">
        <v>23</v>
      </c>
      <c r="AF857" t="s">
        <v>23</v>
      </c>
      <c r="AG857" t="s">
        <v>23</v>
      </c>
      <c r="AH857" t="s">
        <v>23</v>
      </c>
      <c r="AI857" t="s">
        <v>23</v>
      </c>
      <c r="AJ857" t="s">
        <v>23</v>
      </c>
    </row>
    <row r="858" spans="1:36" x14ac:dyDescent="0.35">
      <c r="A858" s="2">
        <v>1856</v>
      </c>
      <c r="B858" s="4">
        <v>44970</v>
      </c>
      <c r="C858" s="1" t="s">
        <v>41</v>
      </c>
      <c r="D858" s="1" t="s">
        <v>43</v>
      </c>
      <c r="E858">
        <v>491349</v>
      </c>
      <c r="F858">
        <v>8</v>
      </c>
      <c r="G858" s="1" t="s">
        <v>26</v>
      </c>
      <c r="H858">
        <v>35613</v>
      </c>
      <c r="I858">
        <v>42005</v>
      </c>
      <c r="J858" s="1" t="s">
        <v>33</v>
      </c>
      <c r="K858" s="3">
        <v>16</v>
      </c>
      <c r="L858" s="1" t="s">
        <v>36</v>
      </c>
      <c r="M858" s="1" t="s">
        <v>29</v>
      </c>
      <c r="N858" s="3">
        <v>2024010123</v>
      </c>
      <c r="O858" s="3">
        <f t="shared" si="117"/>
        <v>1.23</v>
      </c>
      <c r="P858" s="6">
        <f t="shared" si="118"/>
        <v>604359.27</v>
      </c>
      <c r="Q858" s="3" t="str">
        <f t="shared" si="119"/>
        <v>Excellent</v>
      </c>
      <c r="R858" s="3">
        <f t="shared" si="120"/>
        <v>6392</v>
      </c>
      <c r="S858" s="7">
        <f t="shared" si="121"/>
        <v>51136</v>
      </c>
      <c r="T858" s="3" t="str">
        <f t="shared" si="122"/>
        <v>High Profit</v>
      </c>
      <c r="U858" s="3" t="str">
        <f t="shared" si="123"/>
        <v>High Discount</v>
      </c>
      <c r="V858" s="3" t="str">
        <f t="shared" si="124"/>
        <v>Priority D</v>
      </c>
      <c r="W858">
        <f t="shared" si="125"/>
        <v>49134.9</v>
      </c>
      <c r="X858" t="s">
        <v>23</v>
      </c>
      <c r="Y858" t="s">
        <v>23</v>
      </c>
      <c r="Z858" t="s">
        <v>23</v>
      </c>
      <c r="AA858" t="s">
        <v>23</v>
      </c>
      <c r="AB858" t="s">
        <v>23</v>
      </c>
      <c r="AC858" t="s">
        <v>23</v>
      </c>
      <c r="AD858" t="s">
        <v>23</v>
      </c>
      <c r="AE858" t="s">
        <v>23</v>
      </c>
      <c r="AF858" t="s">
        <v>23</v>
      </c>
      <c r="AG858" t="s">
        <v>23</v>
      </c>
      <c r="AH858" t="s">
        <v>23</v>
      </c>
      <c r="AI858" t="s">
        <v>23</v>
      </c>
      <c r="AJ858" t="s">
        <v>23</v>
      </c>
    </row>
    <row r="859" spans="1:36" x14ac:dyDescent="0.35">
      <c r="A859" s="2">
        <v>1857</v>
      </c>
      <c r="B859" s="4">
        <v>44965</v>
      </c>
      <c r="C859" s="1" t="s">
        <v>38</v>
      </c>
      <c r="D859" s="1" t="s">
        <v>25</v>
      </c>
      <c r="E859">
        <v>320811</v>
      </c>
      <c r="F859">
        <v>12</v>
      </c>
      <c r="G859" s="1" t="s">
        <v>35</v>
      </c>
      <c r="H859">
        <v>44180</v>
      </c>
      <c r="I859">
        <v>51954</v>
      </c>
      <c r="J859" s="1" t="s">
        <v>33</v>
      </c>
      <c r="K859" s="3">
        <v>22</v>
      </c>
      <c r="L859" s="1" t="s">
        <v>28</v>
      </c>
      <c r="M859" s="1" t="s">
        <v>37</v>
      </c>
      <c r="N859" s="3">
        <v>2024010123</v>
      </c>
      <c r="O859" s="3">
        <f t="shared" si="117"/>
        <v>1.23</v>
      </c>
      <c r="P859" s="6">
        <f t="shared" si="118"/>
        <v>394597.52999999997</v>
      </c>
      <c r="Q859" s="3" t="str">
        <f t="shared" si="119"/>
        <v>Excellent</v>
      </c>
      <c r="R859" s="3">
        <f t="shared" si="120"/>
        <v>7774</v>
      </c>
      <c r="S859" s="7">
        <f t="shared" si="121"/>
        <v>93288</v>
      </c>
      <c r="T859" s="3" t="str">
        <f t="shared" si="122"/>
        <v>High Profit</v>
      </c>
      <c r="U859" s="3" t="str">
        <f t="shared" si="123"/>
        <v>High Discount</v>
      </c>
      <c r="V859" s="3" t="str">
        <f t="shared" si="124"/>
        <v>Priority C</v>
      </c>
      <c r="W859">
        <f t="shared" si="125"/>
        <v>32081.100000000002</v>
      </c>
      <c r="X859" t="s">
        <v>23</v>
      </c>
      <c r="Y859" t="s">
        <v>23</v>
      </c>
      <c r="Z859" t="s">
        <v>23</v>
      </c>
      <c r="AA859" t="s">
        <v>23</v>
      </c>
      <c r="AB859" t="s">
        <v>23</v>
      </c>
      <c r="AC859" t="s">
        <v>23</v>
      </c>
      <c r="AD859" t="s">
        <v>23</v>
      </c>
      <c r="AE859" t="s">
        <v>23</v>
      </c>
      <c r="AF859" t="s">
        <v>23</v>
      </c>
      <c r="AG859" t="s">
        <v>23</v>
      </c>
      <c r="AH859" t="s">
        <v>23</v>
      </c>
      <c r="AI859" t="s">
        <v>23</v>
      </c>
      <c r="AJ859" t="s">
        <v>23</v>
      </c>
    </row>
    <row r="860" spans="1:36" x14ac:dyDescent="0.35">
      <c r="A860" s="2">
        <v>1858</v>
      </c>
      <c r="B860" s="4">
        <v>45245</v>
      </c>
      <c r="C860" s="1" t="s">
        <v>30</v>
      </c>
      <c r="D860" s="1" t="s">
        <v>31</v>
      </c>
      <c r="E860">
        <v>726587</v>
      </c>
      <c r="F860">
        <v>18</v>
      </c>
      <c r="G860" s="1" t="s">
        <v>32</v>
      </c>
      <c r="H860">
        <v>30865</v>
      </c>
      <c r="I860">
        <v>36438</v>
      </c>
      <c r="J860" s="1" t="s">
        <v>27</v>
      </c>
      <c r="K860" s="3">
        <v>15</v>
      </c>
      <c r="L860" s="1" t="s">
        <v>28</v>
      </c>
      <c r="M860" s="1" t="s">
        <v>37</v>
      </c>
      <c r="N860" s="3">
        <v>2024010123</v>
      </c>
      <c r="O860" s="3">
        <f t="shared" si="117"/>
        <v>1.23</v>
      </c>
      <c r="P860" s="6">
        <f t="shared" si="118"/>
        <v>893702.01</v>
      </c>
      <c r="Q860" s="3" t="str">
        <f t="shared" si="119"/>
        <v>Excellent</v>
      </c>
      <c r="R860" s="3">
        <f t="shared" si="120"/>
        <v>5573</v>
      </c>
      <c r="S860" s="7">
        <f t="shared" si="121"/>
        <v>100314</v>
      </c>
      <c r="T860" s="3" t="str">
        <f t="shared" si="122"/>
        <v>High Profit</v>
      </c>
      <c r="U860" s="3" t="str">
        <f t="shared" si="123"/>
        <v>High Discount</v>
      </c>
      <c r="V860" s="3" t="str">
        <f t="shared" si="124"/>
        <v>Priority C</v>
      </c>
      <c r="W860">
        <f t="shared" si="125"/>
        <v>108988.05</v>
      </c>
      <c r="X860" t="s">
        <v>23</v>
      </c>
      <c r="Y860" t="s">
        <v>23</v>
      </c>
      <c r="Z860" t="s">
        <v>23</v>
      </c>
      <c r="AA860" t="s">
        <v>23</v>
      </c>
      <c r="AB860" t="s">
        <v>23</v>
      </c>
      <c r="AC860" t="s">
        <v>23</v>
      </c>
      <c r="AD860" t="s">
        <v>23</v>
      </c>
      <c r="AE860" t="s">
        <v>23</v>
      </c>
      <c r="AF860" t="s">
        <v>23</v>
      </c>
      <c r="AG860" t="s">
        <v>23</v>
      </c>
      <c r="AH860" t="s">
        <v>23</v>
      </c>
      <c r="AI860" t="s">
        <v>23</v>
      </c>
      <c r="AJ860" t="s">
        <v>23</v>
      </c>
    </row>
    <row r="861" spans="1:36" x14ac:dyDescent="0.35">
      <c r="A861" s="2">
        <v>1859</v>
      </c>
      <c r="B861" s="4">
        <v>45018</v>
      </c>
      <c r="C861" s="1" t="s">
        <v>41</v>
      </c>
      <c r="D861" s="1" t="s">
        <v>43</v>
      </c>
      <c r="E861">
        <v>639203</v>
      </c>
      <c r="F861">
        <v>18</v>
      </c>
      <c r="G861" s="1" t="s">
        <v>26</v>
      </c>
      <c r="H861">
        <v>25953</v>
      </c>
      <c r="I861">
        <v>29622</v>
      </c>
      <c r="J861" s="1" t="s">
        <v>27</v>
      </c>
      <c r="K861" s="3">
        <v>19</v>
      </c>
      <c r="L861" s="1" t="s">
        <v>40</v>
      </c>
      <c r="M861" s="1" t="s">
        <v>37</v>
      </c>
      <c r="N861" s="3">
        <v>2024010123</v>
      </c>
      <c r="O861" s="3">
        <f t="shared" si="117"/>
        <v>1.23</v>
      </c>
      <c r="P861" s="6">
        <f t="shared" si="118"/>
        <v>786219.69</v>
      </c>
      <c r="Q861" s="3" t="str">
        <f t="shared" si="119"/>
        <v>Excellent</v>
      </c>
      <c r="R861" s="3">
        <f t="shared" si="120"/>
        <v>3669</v>
      </c>
      <c r="S861" s="7">
        <f t="shared" si="121"/>
        <v>66042</v>
      </c>
      <c r="T861" s="3" t="str">
        <f t="shared" si="122"/>
        <v>High Profit</v>
      </c>
      <c r="U861" s="3" t="str">
        <f t="shared" si="123"/>
        <v>High Discount</v>
      </c>
      <c r="V861" s="3" t="str">
        <f t="shared" si="124"/>
        <v>Priority C</v>
      </c>
      <c r="W861">
        <f t="shared" si="125"/>
        <v>95880.45</v>
      </c>
      <c r="X861" t="s">
        <v>23</v>
      </c>
      <c r="Y861" t="s">
        <v>23</v>
      </c>
      <c r="Z861" t="s">
        <v>23</v>
      </c>
      <c r="AA861" t="s">
        <v>23</v>
      </c>
      <c r="AB861" t="s">
        <v>23</v>
      </c>
      <c r="AC861" t="s">
        <v>23</v>
      </c>
      <c r="AD861" t="s">
        <v>23</v>
      </c>
      <c r="AE861" t="s">
        <v>23</v>
      </c>
      <c r="AF861" t="s">
        <v>23</v>
      </c>
      <c r="AG861" t="s">
        <v>23</v>
      </c>
      <c r="AH861" t="s">
        <v>23</v>
      </c>
      <c r="AI861" t="s">
        <v>23</v>
      </c>
      <c r="AJ861" t="s">
        <v>23</v>
      </c>
    </row>
    <row r="862" spans="1:36" x14ac:dyDescent="0.35">
      <c r="A862" s="2">
        <v>1860</v>
      </c>
      <c r="B862" s="4">
        <v>45161</v>
      </c>
      <c r="C862" s="1" t="s">
        <v>38</v>
      </c>
      <c r="D862" s="1" t="s">
        <v>42</v>
      </c>
      <c r="E862">
        <v>320523</v>
      </c>
      <c r="F862">
        <v>12</v>
      </c>
      <c r="G862" s="1" t="s">
        <v>39</v>
      </c>
      <c r="H862">
        <v>23310</v>
      </c>
      <c r="I862">
        <v>27115</v>
      </c>
      <c r="J862" s="1" t="s">
        <v>33</v>
      </c>
      <c r="K862" s="3">
        <v>0</v>
      </c>
      <c r="L862" s="1" t="s">
        <v>28</v>
      </c>
      <c r="M862" s="1" t="s">
        <v>37</v>
      </c>
      <c r="N862" s="3">
        <v>2024010123</v>
      </c>
      <c r="O862" s="3">
        <f t="shared" si="117"/>
        <v>1.23</v>
      </c>
      <c r="P862" s="6">
        <f t="shared" si="118"/>
        <v>394243.29</v>
      </c>
      <c r="Q862" s="3" t="str">
        <f t="shared" si="119"/>
        <v>Excellent</v>
      </c>
      <c r="R862" s="3">
        <f t="shared" si="120"/>
        <v>3805</v>
      </c>
      <c r="S862" s="7">
        <f t="shared" si="121"/>
        <v>45660</v>
      </c>
      <c r="T862" s="3" t="str">
        <f t="shared" si="122"/>
        <v>High Profit</v>
      </c>
      <c r="U862" s="3" t="str">
        <f t="shared" si="123"/>
        <v>No Discount</v>
      </c>
      <c r="V862" s="3" t="str">
        <f t="shared" si="124"/>
        <v>Priority C</v>
      </c>
      <c r="W862">
        <f t="shared" si="125"/>
        <v>32052.300000000003</v>
      </c>
      <c r="X862" t="s">
        <v>23</v>
      </c>
      <c r="Y862" t="s">
        <v>23</v>
      </c>
      <c r="Z862" t="s">
        <v>23</v>
      </c>
      <c r="AA862" t="s">
        <v>23</v>
      </c>
      <c r="AB862" t="s">
        <v>23</v>
      </c>
      <c r="AC862" t="s">
        <v>23</v>
      </c>
      <c r="AD862" t="s">
        <v>23</v>
      </c>
      <c r="AE862" t="s">
        <v>23</v>
      </c>
      <c r="AF862" t="s">
        <v>23</v>
      </c>
      <c r="AG862" t="s">
        <v>23</v>
      </c>
      <c r="AH862" t="s">
        <v>23</v>
      </c>
      <c r="AI862" t="s">
        <v>23</v>
      </c>
      <c r="AJ862" t="s">
        <v>23</v>
      </c>
    </row>
    <row r="863" spans="1:36" x14ac:dyDescent="0.35">
      <c r="A863" s="2">
        <v>1861</v>
      </c>
      <c r="B863" s="4">
        <v>45064</v>
      </c>
      <c r="C863" s="1" t="s">
        <v>30</v>
      </c>
      <c r="D863" s="1" t="s">
        <v>42</v>
      </c>
      <c r="E863">
        <v>390678</v>
      </c>
      <c r="F863">
        <v>12</v>
      </c>
      <c r="G863" s="1" t="s">
        <v>35</v>
      </c>
      <c r="H863">
        <v>56082</v>
      </c>
      <c r="I863">
        <v>58183</v>
      </c>
      <c r="J863" s="1" t="s">
        <v>33</v>
      </c>
      <c r="K863" s="3">
        <v>3</v>
      </c>
      <c r="L863" s="1" t="s">
        <v>36</v>
      </c>
      <c r="M863" s="1" t="s">
        <v>29</v>
      </c>
      <c r="N863" s="3">
        <v>2024010123</v>
      </c>
      <c r="O863" s="3">
        <f t="shared" si="117"/>
        <v>1.23</v>
      </c>
      <c r="P863" s="6">
        <f t="shared" si="118"/>
        <v>480533.94</v>
      </c>
      <c r="Q863" s="3" t="str">
        <f t="shared" si="119"/>
        <v>Excellent</v>
      </c>
      <c r="R863" s="3">
        <f t="shared" si="120"/>
        <v>2101</v>
      </c>
      <c r="S863" s="7">
        <f t="shared" si="121"/>
        <v>25212</v>
      </c>
      <c r="T863" s="3" t="str">
        <f t="shared" si="122"/>
        <v>High Profit</v>
      </c>
      <c r="U863" s="3" t="str">
        <f t="shared" si="123"/>
        <v>Low Discount</v>
      </c>
      <c r="V863" s="3" t="str">
        <f t="shared" si="124"/>
        <v>Priority D</v>
      </c>
      <c r="W863">
        <f t="shared" si="125"/>
        <v>39067.800000000003</v>
      </c>
      <c r="X863" t="s">
        <v>23</v>
      </c>
      <c r="Y863" t="s">
        <v>23</v>
      </c>
      <c r="Z863" t="s">
        <v>23</v>
      </c>
      <c r="AA863" t="s">
        <v>23</v>
      </c>
      <c r="AB863" t="s">
        <v>23</v>
      </c>
      <c r="AC863" t="s">
        <v>23</v>
      </c>
      <c r="AD863" t="s">
        <v>23</v>
      </c>
      <c r="AE863" t="s">
        <v>23</v>
      </c>
      <c r="AF863" t="s">
        <v>23</v>
      </c>
      <c r="AG863" t="s">
        <v>23</v>
      </c>
      <c r="AH863" t="s">
        <v>23</v>
      </c>
      <c r="AI863" t="s">
        <v>23</v>
      </c>
      <c r="AJ863" t="s">
        <v>23</v>
      </c>
    </row>
    <row r="864" spans="1:36" x14ac:dyDescent="0.35">
      <c r="A864" s="2">
        <v>1862</v>
      </c>
      <c r="B864" s="4">
        <v>45215</v>
      </c>
      <c r="C864" s="1" t="s">
        <v>38</v>
      </c>
      <c r="D864" s="1" t="s">
        <v>42</v>
      </c>
      <c r="E864">
        <v>721892</v>
      </c>
      <c r="F864">
        <v>12</v>
      </c>
      <c r="G864" s="1" t="s">
        <v>35</v>
      </c>
      <c r="H864">
        <v>44634</v>
      </c>
      <c r="I864">
        <v>46774</v>
      </c>
      <c r="J864" s="1" t="s">
        <v>33</v>
      </c>
      <c r="K864" s="3">
        <v>4</v>
      </c>
      <c r="L864" s="1" t="s">
        <v>40</v>
      </c>
      <c r="M864" s="1" t="s">
        <v>37</v>
      </c>
      <c r="N864" s="3">
        <v>2024010123</v>
      </c>
      <c r="O864" s="3">
        <f t="shared" si="117"/>
        <v>1.23</v>
      </c>
      <c r="P864" s="6">
        <f t="shared" si="118"/>
        <v>887927.16</v>
      </c>
      <c r="Q864" s="3" t="str">
        <f t="shared" si="119"/>
        <v>Excellent</v>
      </c>
      <c r="R864" s="3">
        <f t="shared" si="120"/>
        <v>2140</v>
      </c>
      <c r="S864" s="7">
        <f t="shared" si="121"/>
        <v>25680</v>
      </c>
      <c r="T864" s="3" t="str">
        <f t="shared" si="122"/>
        <v>High Profit</v>
      </c>
      <c r="U864" s="3" t="str">
        <f t="shared" si="123"/>
        <v>Low Discount</v>
      </c>
      <c r="V864" s="3" t="str">
        <f t="shared" si="124"/>
        <v>Priority C</v>
      </c>
      <c r="W864">
        <f t="shared" si="125"/>
        <v>72189.2</v>
      </c>
      <c r="X864" t="s">
        <v>23</v>
      </c>
      <c r="Y864" t="s">
        <v>23</v>
      </c>
      <c r="Z864" t="s">
        <v>23</v>
      </c>
      <c r="AA864" t="s">
        <v>23</v>
      </c>
      <c r="AB864" t="s">
        <v>23</v>
      </c>
      <c r="AC864" t="s">
        <v>23</v>
      </c>
      <c r="AD864" t="s">
        <v>23</v>
      </c>
      <c r="AE864" t="s">
        <v>23</v>
      </c>
      <c r="AF864" t="s">
        <v>23</v>
      </c>
      <c r="AG864" t="s">
        <v>23</v>
      </c>
      <c r="AH864" t="s">
        <v>23</v>
      </c>
      <c r="AI864" t="s">
        <v>23</v>
      </c>
      <c r="AJ864" t="s">
        <v>23</v>
      </c>
    </row>
    <row r="865" spans="1:36" x14ac:dyDescent="0.35">
      <c r="A865" s="2">
        <v>1863</v>
      </c>
      <c r="B865" s="4">
        <v>44989</v>
      </c>
      <c r="C865" s="1" t="s">
        <v>30</v>
      </c>
      <c r="D865" s="1" t="s">
        <v>31</v>
      </c>
      <c r="E865">
        <v>142386</v>
      </c>
      <c r="F865">
        <v>8</v>
      </c>
      <c r="G865" s="1" t="s">
        <v>32</v>
      </c>
      <c r="H865">
        <v>49747</v>
      </c>
      <c r="I865">
        <v>53781</v>
      </c>
      <c r="J865" s="1" t="s">
        <v>27</v>
      </c>
      <c r="K865" s="3">
        <v>10</v>
      </c>
      <c r="L865" s="1" t="s">
        <v>36</v>
      </c>
      <c r="M865" s="1" t="s">
        <v>29</v>
      </c>
      <c r="N865" s="3">
        <v>2024010123</v>
      </c>
      <c r="O865" s="3">
        <f t="shared" si="117"/>
        <v>1.23</v>
      </c>
      <c r="P865" s="6">
        <f t="shared" si="118"/>
        <v>175134.78</v>
      </c>
      <c r="Q865" s="3" t="str">
        <f t="shared" si="119"/>
        <v>Excellent</v>
      </c>
      <c r="R865" s="3">
        <f t="shared" si="120"/>
        <v>4034</v>
      </c>
      <c r="S865" s="7">
        <f t="shared" si="121"/>
        <v>32272</v>
      </c>
      <c r="T865" s="3" t="str">
        <f t="shared" si="122"/>
        <v>High Profit</v>
      </c>
      <c r="U865" s="3" t="str">
        <f t="shared" si="123"/>
        <v>Medium Discount</v>
      </c>
      <c r="V865" s="3" t="str">
        <f t="shared" si="124"/>
        <v>Priority D</v>
      </c>
      <c r="W865">
        <f t="shared" si="125"/>
        <v>21357.899999999998</v>
      </c>
      <c r="X865" t="s">
        <v>23</v>
      </c>
      <c r="Y865" t="s">
        <v>23</v>
      </c>
      <c r="Z865" t="s">
        <v>23</v>
      </c>
      <c r="AA865" t="s">
        <v>23</v>
      </c>
      <c r="AB865" t="s">
        <v>23</v>
      </c>
      <c r="AC865" t="s">
        <v>23</v>
      </c>
      <c r="AD865" t="s">
        <v>23</v>
      </c>
      <c r="AE865" t="s">
        <v>23</v>
      </c>
      <c r="AF865" t="s">
        <v>23</v>
      </c>
      <c r="AG865" t="s">
        <v>23</v>
      </c>
      <c r="AH865" t="s">
        <v>23</v>
      </c>
      <c r="AI865" t="s">
        <v>23</v>
      </c>
      <c r="AJ865" t="s">
        <v>23</v>
      </c>
    </row>
    <row r="866" spans="1:36" x14ac:dyDescent="0.35">
      <c r="A866" s="2">
        <v>1864</v>
      </c>
      <c r="B866" s="4">
        <v>45013</v>
      </c>
      <c r="C866" s="1" t="s">
        <v>34</v>
      </c>
      <c r="D866" s="1" t="s">
        <v>42</v>
      </c>
      <c r="E866">
        <v>897757</v>
      </c>
      <c r="F866">
        <v>12</v>
      </c>
      <c r="G866" s="1" t="s">
        <v>32</v>
      </c>
      <c r="H866">
        <v>24251</v>
      </c>
      <c r="I866">
        <v>28937</v>
      </c>
      <c r="J866" s="1" t="s">
        <v>33</v>
      </c>
      <c r="K866" s="3">
        <v>9</v>
      </c>
      <c r="L866" s="1" t="s">
        <v>36</v>
      </c>
      <c r="M866" s="1" t="s">
        <v>29</v>
      </c>
      <c r="N866" s="3">
        <v>2024010123</v>
      </c>
      <c r="O866" s="3">
        <f t="shared" si="117"/>
        <v>1.23</v>
      </c>
      <c r="P866" s="6">
        <f t="shared" si="118"/>
        <v>1104241.1099999999</v>
      </c>
      <c r="Q866" s="3" t="str">
        <f t="shared" si="119"/>
        <v>Excellent</v>
      </c>
      <c r="R866" s="3">
        <f t="shared" si="120"/>
        <v>4686</v>
      </c>
      <c r="S866" s="7">
        <f t="shared" si="121"/>
        <v>56232</v>
      </c>
      <c r="T866" s="3" t="str">
        <f t="shared" si="122"/>
        <v>High Profit</v>
      </c>
      <c r="U866" s="3" t="str">
        <f t="shared" si="123"/>
        <v>Medium Discount</v>
      </c>
      <c r="V866" s="3" t="str">
        <f t="shared" si="124"/>
        <v>Priority D</v>
      </c>
      <c r="W866">
        <f t="shared" si="125"/>
        <v>89775.700000000012</v>
      </c>
      <c r="X866" t="s">
        <v>23</v>
      </c>
      <c r="Y866" t="s">
        <v>23</v>
      </c>
      <c r="Z866" t="s">
        <v>23</v>
      </c>
      <c r="AA866" t="s">
        <v>23</v>
      </c>
      <c r="AB866" t="s">
        <v>23</v>
      </c>
      <c r="AC866" t="s">
        <v>23</v>
      </c>
      <c r="AD866" t="s">
        <v>23</v>
      </c>
      <c r="AE866" t="s">
        <v>23</v>
      </c>
      <c r="AF866" t="s">
        <v>23</v>
      </c>
      <c r="AG866" t="s">
        <v>23</v>
      </c>
      <c r="AH866" t="s">
        <v>23</v>
      </c>
      <c r="AI866" t="s">
        <v>23</v>
      </c>
      <c r="AJ866" t="s">
        <v>23</v>
      </c>
    </row>
    <row r="867" spans="1:36" x14ac:dyDescent="0.35">
      <c r="A867" s="2">
        <v>1865</v>
      </c>
      <c r="B867" s="4">
        <v>45113</v>
      </c>
      <c r="C867" s="1" t="s">
        <v>38</v>
      </c>
      <c r="D867" s="1" t="s">
        <v>43</v>
      </c>
      <c r="E867">
        <v>388957</v>
      </c>
      <c r="F867">
        <v>12</v>
      </c>
      <c r="G867" s="1" t="s">
        <v>32</v>
      </c>
      <c r="H867">
        <v>24935</v>
      </c>
      <c r="I867">
        <v>28105</v>
      </c>
      <c r="J867" s="1" t="s">
        <v>33</v>
      </c>
      <c r="K867" s="3">
        <v>13</v>
      </c>
      <c r="L867" s="1" t="s">
        <v>28</v>
      </c>
      <c r="M867" s="1" t="s">
        <v>29</v>
      </c>
      <c r="N867" s="3">
        <v>2024010123</v>
      </c>
      <c r="O867" s="3">
        <f t="shared" si="117"/>
        <v>1.23</v>
      </c>
      <c r="P867" s="6">
        <f t="shared" si="118"/>
        <v>478417.11</v>
      </c>
      <c r="Q867" s="3" t="str">
        <f t="shared" si="119"/>
        <v>Excellent</v>
      </c>
      <c r="R867" s="3">
        <f t="shared" si="120"/>
        <v>3170</v>
      </c>
      <c r="S867" s="7">
        <f t="shared" si="121"/>
        <v>38040</v>
      </c>
      <c r="T867" s="3" t="str">
        <f t="shared" si="122"/>
        <v>High Profit</v>
      </c>
      <c r="U867" s="3" t="str">
        <f t="shared" si="123"/>
        <v>Medium Discount</v>
      </c>
      <c r="V867" s="3" t="str">
        <f t="shared" si="124"/>
        <v>Priority D</v>
      </c>
      <c r="W867">
        <f t="shared" si="125"/>
        <v>38895.700000000004</v>
      </c>
      <c r="X867" t="s">
        <v>23</v>
      </c>
      <c r="Y867" t="s">
        <v>23</v>
      </c>
      <c r="Z867" t="s">
        <v>23</v>
      </c>
      <c r="AA867" t="s">
        <v>23</v>
      </c>
      <c r="AB867" t="s">
        <v>23</v>
      </c>
      <c r="AC867" t="s">
        <v>23</v>
      </c>
      <c r="AD867" t="s">
        <v>23</v>
      </c>
      <c r="AE867" t="s">
        <v>23</v>
      </c>
      <c r="AF867" t="s">
        <v>23</v>
      </c>
      <c r="AG867" t="s">
        <v>23</v>
      </c>
      <c r="AH867" t="s">
        <v>23</v>
      </c>
      <c r="AI867" t="s">
        <v>23</v>
      </c>
      <c r="AJ867" t="s">
        <v>23</v>
      </c>
    </row>
    <row r="868" spans="1:36" x14ac:dyDescent="0.35">
      <c r="A868" s="2">
        <v>1866</v>
      </c>
      <c r="B868" s="4">
        <v>45062</v>
      </c>
      <c r="C868" s="1" t="s">
        <v>34</v>
      </c>
      <c r="D868" s="1" t="s">
        <v>31</v>
      </c>
      <c r="E868">
        <v>955413</v>
      </c>
      <c r="F868">
        <v>12</v>
      </c>
      <c r="G868" s="1" t="s">
        <v>26</v>
      </c>
      <c r="H868">
        <v>46586</v>
      </c>
      <c r="I868">
        <v>48677</v>
      </c>
      <c r="J868" s="1" t="s">
        <v>27</v>
      </c>
      <c r="K868" s="3">
        <v>30</v>
      </c>
      <c r="L868" s="1" t="s">
        <v>28</v>
      </c>
      <c r="M868" s="1" t="s">
        <v>37</v>
      </c>
      <c r="N868" s="3">
        <v>2024010123</v>
      </c>
      <c r="O868" s="3">
        <f t="shared" si="117"/>
        <v>1.23</v>
      </c>
      <c r="P868" s="6">
        <f t="shared" si="118"/>
        <v>1175157.99</v>
      </c>
      <c r="Q868" s="3" t="str">
        <f t="shared" si="119"/>
        <v>Excellent</v>
      </c>
      <c r="R868" s="3">
        <f t="shared" si="120"/>
        <v>2091</v>
      </c>
      <c r="S868" s="7">
        <f t="shared" si="121"/>
        <v>25092</v>
      </c>
      <c r="T868" s="3" t="str">
        <f t="shared" si="122"/>
        <v>High Profit</v>
      </c>
      <c r="U868" s="3" t="str">
        <f t="shared" si="123"/>
        <v>High Discount</v>
      </c>
      <c r="V868" s="3" t="str">
        <f t="shared" si="124"/>
        <v>Priority C</v>
      </c>
      <c r="W868">
        <f t="shared" si="125"/>
        <v>143311.94999999998</v>
      </c>
      <c r="X868" t="s">
        <v>23</v>
      </c>
      <c r="Y868" t="s">
        <v>23</v>
      </c>
      <c r="Z868" t="s">
        <v>23</v>
      </c>
      <c r="AA868" t="s">
        <v>23</v>
      </c>
      <c r="AB868" t="s">
        <v>23</v>
      </c>
      <c r="AC868" t="s">
        <v>23</v>
      </c>
      <c r="AD868" t="s">
        <v>23</v>
      </c>
      <c r="AE868" t="s">
        <v>23</v>
      </c>
      <c r="AF868" t="s">
        <v>23</v>
      </c>
      <c r="AG868" t="s">
        <v>23</v>
      </c>
      <c r="AH868" t="s">
        <v>23</v>
      </c>
      <c r="AI868" t="s">
        <v>23</v>
      </c>
      <c r="AJ868" t="s">
        <v>23</v>
      </c>
    </row>
    <row r="869" spans="1:36" x14ac:dyDescent="0.35">
      <c r="A869" s="2">
        <v>1867</v>
      </c>
      <c r="B869" s="4">
        <v>45273</v>
      </c>
      <c r="C869" s="1" t="s">
        <v>34</v>
      </c>
      <c r="D869" s="1" t="s">
        <v>31</v>
      </c>
      <c r="E869">
        <v>606453</v>
      </c>
      <c r="F869">
        <v>5</v>
      </c>
      <c r="G869" s="1" t="s">
        <v>26</v>
      </c>
      <c r="H869">
        <v>23417</v>
      </c>
      <c r="I869">
        <v>25317</v>
      </c>
      <c r="J869" s="1" t="s">
        <v>27</v>
      </c>
      <c r="K869" s="3">
        <v>29</v>
      </c>
      <c r="L869" s="1" t="s">
        <v>40</v>
      </c>
      <c r="M869" s="1" t="s">
        <v>37</v>
      </c>
      <c r="N869" s="3">
        <v>2024010123</v>
      </c>
      <c r="O869" s="3">
        <f t="shared" si="117"/>
        <v>1.23</v>
      </c>
      <c r="P869" s="6">
        <f t="shared" si="118"/>
        <v>745937.19</v>
      </c>
      <c r="Q869" s="3" t="str">
        <f t="shared" si="119"/>
        <v>Excellent</v>
      </c>
      <c r="R869" s="3">
        <f t="shared" si="120"/>
        <v>1900</v>
      </c>
      <c r="S869" s="7">
        <f t="shared" si="121"/>
        <v>9500</v>
      </c>
      <c r="T869" s="3" t="str">
        <f t="shared" si="122"/>
        <v>High Profit</v>
      </c>
      <c r="U869" s="3" t="str">
        <f t="shared" si="123"/>
        <v>High Discount</v>
      </c>
      <c r="V869" s="3" t="str">
        <f t="shared" si="124"/>
        <v>Priority C</v>
      </c>
      <c r="W869">
        <f t="shared" si="125"/>
        <v>90967.95</v>
      </c>
      <c r="X869" t="s">
        <v>23</v>
      </c>
      <c r="Y869" t="s">
        <v>23</v>
      </c>
      <c r="Z869" t="s">
        <v>23</v>
      </c>
      <c r="AA869" t="s">
        <v>23</v>
      </c>
      <c r="AB869" t="s">
        <v>23</v>
      </c>
      <c r="AC869" t="s">
        <v>23</v>
      </c>
      <c r="AD869" t="s">
        <v>23</v>
      </c>
      <c r="AE869" t="s">
        <v>23</v>
      </c>
      <c r="AF869" t="s">
        <v>23</v>
      </c>
      <c r="AG869" t="s">
        <v>23</v>
      </c>
      <c r="AH869" t="s">
        <v>23</v>
      </c>
      <c r="AI869" t="s">
        <v>23</v>
      </c>
      <c r="AJ869" t="s">
        <v>23</v>
      </c>
    </row>
    <row r="870" spans="1:36" x14ac:dyDescent="0.35">
      <c r="A870" s="2">
        <v>1868</v>
      </c>
      <c r="B870" s="4">
        <v>45254</v>
      </c>
      <c r="C870" s="1" t="s">
        <v>41</v>
      </c>
      <c r="D870" s="1" t="s">
        <v>31</v>
      </c>
      <c r="E870">
        <v>17814</v>
      </c>
      <c r="F870">
        <v>4</v>
      </c>
      <c r="G870" s="1" t="s">
        <v>39</v>
      </c>
      <c r="H870">
        <v>48533</v>
      </c>
      <c r="I870">
        <v>50229</v>
      </c>
      <c r="J870" s="1" t="s">
        <v>33</v>
      </c>
      <c r="K870" s="3">
        <v>29</v>
      </c>
      <c r="L870" s="1" t="s">
        <v>36</v>
      </c>
      <c r="M870" s="1" t="s">
        <v>37</v>
      </c>
      <c r="N870" s="3">
        <v>2024010123</v>
      </c>
      <c r="O870" s="3">
        <f t="shared" si="117"/>
        <v>1.23</v>
      </c>
      <c r="P870" s="6">
        <f t="shared" si="118"/>
        <v>21911.22</v>
      </c>
      <c r="Q870" s="3" t="str">
        <f t="shared" si="119"/>
        <v>Excellent</v>
      </c>
      <c r="R870" s="3">
        <f t="shared" si="120"/>
        <v>1696</v>
      </c>
      <c r="S870" s="7">
        <f t="shared" si="121"/>
        <v>6784</v>
      </c>
      <c r="T870" s="3" t="str">
        <f t="shared" si="122"/>
        <v>High Profit</v>
      </c>
      <c r="U870" s="3" t="str">
        <f t="shared" si="123"/>
        <v>High Discount</v>
      </c>
      <c r="V870" s="3" t="str">
        <f t="shared" si="124"/>
        <v>Priority C</v>
      </c>
      <c r="W870">
        <f t="shared" si="125"/>
        <v>1781.4</v>
      </c>
      <c r="X870" t="s">
        <v>23</v>
      </c>
      <c r="Y870" t="s">
        <v>23</v>
      </c>
      <c r="Z870" t="s">
        <v>23</v>
      </c>
      <c r="AA870" t="s">
        <v>23</v>
      </c>
      <c r="AB870" t="s">
        <v>23</v>
      </c>
      <c r="AC870" t="s">
        <v>23</v>
      </c>
      <c r="AD870" t="s">
        <v>23</v>
      </c>
      <c r="AE870" t="s">
        <v>23</v>
      </c>
      <c r="AF870" t="s">
        <v>23</v>
      </c>
      <c r="AG870" t="s">
        <v>23</v>
      </c>
      <c r="AH870" t="s">
        <v>23</v>
      </c>
      <c r="AI870" t="s">
        <v>23</v>
      </c>
      <c r="AJ870" t="s">
        <v>23</v>
      </c>
    </row>
    <row r="871" spans="1:36" x14ac:dyDescent="0.35">
      <c r="A871" s="2">
        <v>1869</v>
      </c>
      <c r="B871" s="4">
        <v>45033</v>
      </c>
      <c r="C871" s="1" t="s">
        <v>30</v>
      </c>
      <c r="D871" s="1" t="s">
        <v>25</v>
      </c>
      <c r="E871">
        <v>427046</v>
      </c>
      <c r="F871">
        <v>12</v>
      </c>
      <c r="G871" s="1" t="s">
        <v>32</v>
      </c>
      <c r="H871">
        <v>52649</v>
      </c>
      <c r="I871">
        <v>56571</v>
      </c>
      <c r="J871" s="1" t="s">
        <v>27</v>
      </c>
      <c r="K871" s="3">
        <v>30</v>
      </c>
      <c r="L871" s="1" t="s">
        <v>36</v>
      </c>
      <c r="M871" s="1" t="s">
        <v>37</v>
      </c>
      <c r="N871" s="3">
        <v>2024010123</v>
      </c>
      <c r="O871" s="3">
        <f t="shared" si="117"/>
        <v>1.23</v>
      </c>
      <c r="P871" s="6">
        <f t="shared" si="118"/>
        <v>525266.57999999996</v>
      </c>
      <c r="Q871" s="3" t="str">
        <f t="shared" si="119"/>
        <v>Excellent</v>
      </c>
      <c r="R871" s="3">
        <f t="shared" si="120"/>
        <v>3922</v>
      </c>
      <c r="S871" s="7">
        <f t="shared" si="121"/>
        <v>47064</v>
      </c>
      <c r="T871" s="3" t="str">
        <f t="shared" si="122"/>
        <v>High Profit</v>
      </c>
      <c r="U871" s="3" t="str">
        <f t="shared" si="123"/>
        <v>High Discount</v>
      </c>
      <c r="V871" s="3" t="str">
        <f t="shared" si="124"/>
        <v>Priority C</v>
      </c>
      <c r="W871">
        <f t="shared" si="125"/>
        <v>64056.899999999994</v>
      </c>
      <c r="X871" t="s">
        <v>23</v>
      </c>
      <c r="Y871" t="s">
        <v>23</v>
      </c>
      <c r="Z871" t="s">
        <v>23</v>
      </c>
      <c r="AA871" t="s">
        <v>23</v>
      </c>
      <c r="AB871" t="s">
        <v>23</v>
      </c>
      <c r="AC871" t="s">
        <v>23</v>
      </c>
      <c r="AD871" t="s">
        <v>23</v>
      </c>
      <c r="AE871" t="s">
        <v>23</v>
      </c>
      <c r="AF871" t="s">
        <v>23</v>
      </c>
      <c r="AG871" t="s">
        <v>23</v>
      </c>
      <c r="AH871" t="s">
        <v>23</v>
      </c>
      <c r="AI871" t="s">
        <v>23</v>
      </c>
      <c r="AJ871" t="s">
        <v>23</v>
      </c>
    </row>
    <row r="872" spans="1:36" x14ac:dyDescent="0.35">
      <c r="A872" s="2">
        <v>1870</v>
      </c>
      <c r="B872" s="4">
        <v>45144</v>
      </c>
      <c r="C872" s="1" t="s">
        <v>41</v>
      </c>
      <c r="D872" s="1" t="s">
        <v>42</v>
      </c>
      <c r="E872">
        <v>381395</v>
      </c>
      <c r="F872">
        <v>12</v>
      </c>
      <c r="G872" s="1" t="s">
        <v>32</v>
      </c>
      <c r="H872">
        <v>22127</v>
      </c>
      <c r="I872">
        <v>32680</v>
      </c>
      <c r="J872" s="1" t="s">
        <v>33</v>
      </c>
      <c r="K872" s="3">
        <v>0</v>
      </c>
      <c r="L872" s="1" t="s">
        <v>40</v>
      </c>
      <c r="M872" s="1" t="s">
        <v>37</v>
      </c>
      <c r="N872" s="3">
        <v>2024010123</v>
      </c>
      <c r="O872" s="3">
        <f t="shared" si="117"/>
        <v>1.23</v>
      </c>
      <c r="P872" s="6">
        <f t="shared" si="118"/>
        <v>469115.85</v>
      </c>
      <c r="Q872" s="3" t="str">
        <f t="shared" si="119"/>
        <v>Excellent</v>
      </c>
      <c r="R872" s="3">
        <f t="shared" si="120"/>
        <v>10553</v>
      </c>
      <c r="S872" s="7">
        <f t="shared" si="121"/>
        <v>126636</v>
      </c>
      <c r="T872" s="3" t="str">
        <f t="shared" si="122"/>
        <v>High Profit</v>
      </c>
      <c r="U872" s="3" t="str">
        <f t="shared" si="123"/>
        <v>No Discount</v>
      </c>
      <c r="V872" s="3" t="str">
        <f t="shared" si="124"/>
        <v>Priority C</v>
      </c>
      <c r="W872">
        <f t="shared" si="125"/>
        <v>38139.5</v>
      </c>
      <c r="X872" t="s">
        <v>23</v>
      </c>
      <c r="Y872" t="s">
        <v>23</v>
      </c>
      <c r="Z872" t="s">
        <v>23</v>
      </c>
      <c r="AA872" t="s">
        <v>23</v>
      </c>
      <c r="AB872" t="s">
        <v>23</v>
      </c>
      <c r="AC872" t="s">
        <v>23</v>
      </c>
      <c r="AD872" t="s">
        <v>23</v>
      </c>
      <c r="AE872" t="s">
        <v>23</v>
      </c>
      <c r="AF872" t="s">
        <v>23</v>
      </c>
      <c r="AG872" t="s">
        <v>23</v>
      </c>
      <c r="AH872" t="s">
        <v>23</v>
      </c>
      <c r="AI872" t="s">
        <v>23</v>
      </c>
      <c r="AJ872" t="s">
        <v>23</v>
      </c>
    </row>
    <row r="873" spans="1:36" x14ac:dyDescent="0.35">
      <c r="A873" s="2">
        <v>1871</v>
      </c>
      <c r="B873" s="4">
        <v>45288</v>
      </c>
      <c r="C873" s="1" t="s">
        <v>41</v>
      </c>
      <c r="D873" s="1" t="s">
        <v>31</v>
      </c>
      <c r="E873">
        <v>712952</v>
      </c>
      <c r="F873">
        <v>47</v>
      </c>
      <c r="G873" s="1" t="s">
        <v>39</v>
      </c>
      <c r="H873">
        <v>14020</v>
      </c>
      <c r="I873">
        <v>24153</v>
      </c>
      <c r="J873" s="1" t="s">
        <v>33</v>
      </c>
      <c r="K873" s="3">
        <v>3</v>
      </c>
      <c r="L873" s="1" t="s">
        <v>36</v>
      </c>
      <c r="M873" s="1" t="s">
        <v>29</v>
      </c>
      <c r="N873" s="3">
        <v>2024010123</v>
      </c>
      <c r="O873" s="3">
        <f t="shared" si="117"/>
        <v>1.23</v>
      </c>
      <c r="P873" s="6">
        <f t="shared" si="118"/>
        <v>876930.96</v>
      </c>
      <c r="Q873" s="3" t="str">
        <f t="shared" si="119"/>
        <v>Excellent</v>
      </c>
      <c r="R873" s="3">
        <f t="shared" si="120"/>
        <v>10133</v>
      </c>
      <c r="S873" s="7">
        <f t="shared" si="121"/>
        <v>476251</v>
      </c>
      <c r="T873" s="3" t="str">
        <f t="shared" si="122"/>
        <v>High Profit</v>
      </c>
      <c r="U873" s="3" t="str">
        <f t="shared" si="123"/>
        <v>Low Discount</v>
      </c>
      <c r="V873" s="3" t="str">
        <f t="shared" si="124"/>
        <v>Priority B</v>
      </c>
      <c r="W873">
        <f t="shared" si="125"/>
        <v>71295.199999999997</v>
      </c>
      <c r="X873" t="s">
        <v>23</v>
      </c>
      <c r="Y873" t="s">
        <v>23</v>
      </c>
      <c r="Z873" t="s">
        <v>23</v>
      </c>
      <c r="AA873" t="s">
        <v>23</v>
      </c>
      <c r="AB873" t="s">
        <v>23</v>
      </c>
      <c r="AC873" t="s">
        <v>23</v>
      </c>
      <c r="AD873" t="s">
        <v>23</v>
      </c>
      <c r="AE873" t="s">
        <v>23</v>
      </c>
      <c r="AF873" t="s">
        <v>23</v>
      </c>
      <c r="AG873" t="s">
        <v>23</v>
      </c>
      <c r="AH873" t="s">
        <v>23</v>
      </c>
      <c r="AI873" t="s">
        <v>23</v>
      </c>
      <c r="AJ873" t="s">
        <v>23</v>
      </c>
    </row>
    <row r="874" spans="1:36" x14ac:dyDescent="0.35">
      <c r="A874" s="2">
        <v>1872</v>
      </c>
      <c r="B874" s="4">
        <v>45275</v>
      </c>
      <c r="C874" s="1" t="s">
        <v>24</v>
      </c>
      <c r="D874" s="1" t="s">
        <v>43</v>
      </c>
      <c r="E874">
        <v>401065</v>
      </c>
      <c r="F874">
        <v>12</v>
      </c>
      <c r="G874" s="1" t="s">
        <v>39</v>
      </c>
      <c r="H874">
        <v>12047</v>
      </c>
      <c r="I874">
        <v>25845</v>
      </c>
      <c r="J874" s="1" t="s">
        <v>27</v>
      </c>
      <c r="K874" s="3">
        <v>3</v>
      </c>
      <c r="L874" s="1" t="s">
        <v>36</v>
      </c>
      <c r="M874" s="1" t="s">
        <v>37</v>
      </c>
      <c r="N874" s="3">
        <v>2024010123</v>
      </c>
      <c r="O874" s="3">
        <f t="shared" si="117"/>
        <v>1.23</v>
      </c>
      <c r="P874" s="6">
        <f t="shared" si="118"/>
        <v>493309.95</v>
      </c>
      <c r="Q874" s="3" t="str">
        <f t="shared" si="119"/>
        <v>Excellent</v>
      </c>
      <c r="R874" s="3">
        <f t="shared" si="120"/>
        <v>13798</v>
      </c>
      <c r="S874" s="7">
        <f t="shared" si="121"/>
        <v>165576</v>
      </c>
      <c r="T874" s="3" t="str">
        <f t="shared" si="122"/>
        <v>High Profit</v>
      </c>
      <c r="U874" s="3" t="str">
        <f t="shared" si="123"/>
        <v>Low Discount</v>
      </c>
      <c r="V874" s="3" t="str">
        <f t="shared" si="124"/>
        <v>Priority C</v>
      </c>
      <c r="W874">
        <f t="shared" si="125"/>
        <v>60159.75</v>
      </c>
      <c r="X874" t="s">
        <v>23</v>
      </c>
      <c r="Y874" t="s">
        <v>23</v>
      </c>
      <c r="Z874" t="s">
        <v>23</v>
      </c>
      <c r="AA874" t="s">
        <v>23</v>
      </c>
      <c r="AB874" t="s">
        <v>23</v>
      </c>
      <c r="AC874" t="s">
        <v>23</v>
      </c>
      <c r="AD874" t="s">
        <v>23</v>
      </c>
      <c r="AE874" t="s">
        <v>23</v>
      </c>
      <c r="AF874" t="s">
        <v>23</v>
      </c>
      <c r="AG874" t="s">
        <v>23</v>
      </c>
      <c r="AH874" t="s">
        <v>23</v>
      </c>
      <c r="AI874" t="s">
        <v>23</v>
      </c>
      <c r="AJ874" t="s">
        <v>23</v>
      </c>
    </row>
    <row r="875" spans="1:36" x14ac:dyDescent="0.35">
      <c r="A875" s="2">
        <v>1873</v>
      </c>
      <c r="B875" s="4">
        <v>45021</v>
      </c>
      <c r="C875" s="1" t="s">
        <v>24</v>
      </c>
      <c r="D875" s="1" t="s">
        <v>31</v>
      </c>
      <c r="E875">
        <v>574826</v>
      </c>
      <c r="F875">
        <v>34</v>
      </c>
      <c r="G875" s="1" t="s">
        <v>32</v>
      </c>
      <c r="H875">
        <v>22277</v>
      </c>
      <c r="I875">
        <v>33336</v>
      </c>
      <c r="J875" s="1" t="s">
        <v>27</v>
      </c>
      <c r="K875" s="3">
        <v>9</v>
      </c>
      <c r="L875" s="1" t="s">
        <v>36</v>
      </c>
      <c r="M875" s="1" t="s">
        <v>37</v>
      </c>
      <c r="N875" s="3">
        <v>2024010123</v>
      </c>
      <c r="O875" s="3">
        <f t="shared" si="117"/>
        <v>1.23</v>
      </c>
      <c r="P875" s="6">
        <f t="shared" si="118"/>
        <v>707035.98</v>
      </c>
      <c r="Q875" s="3" t="str">
        <f t="shared" si="119"/>
        <v>Excellent</v>
      </c>
      <c r="R875" s="3">
        <f t="shared" si="120"/>
        <v>11059</v>
      </c>
      <c r="S875" s="7">
        <f t="shared" si="121"/>
        <v>376006</v>
      </c>
      <c r="T875" s="3" t="str">
        <f t="shared" si="122"/>
        <v>High Profit</v>
      </c>
      <c r="U875" s="3" t="str">
        <f t="shared" si="123"/>
        <v>Medium Discount</v>
      </c>
      <c r="V875" s="3" t="str">
        <f t="shared" si="124"/>
        <v>Priority B</v>
      </c>
      <c r="W875">
        <f t="shared" si="125"/>
        <v>86223.9</v>
      </c>
      <c r="X875" t="s">
        <v>23</v>
      </c>
      <c r="Y875" t="s">
        <v>23</v>
      </c>
      <c r="Z875" t="s">
        <v>23</v>
      </c>
      <c r="AA875" t="s">
        <v>23</v>
      </c>
      <c r="AB875" t="s">
        <v>23</v>
      </c>
      <c r="AC875" t="s">
        <v>23</v>
      </c>
      <c r="AD875" t="s">
        <v>23</v>
      </c>
      <c r="AE875" t="s">
        <v>23</v>
      </c>
      <c r="AF875" t="s">
        <v>23</v>
      </c>
      <c r="AG875" t="s">
        <v>23</v>
      </c>
      <c r="AH875" t="s">
        <v>23</v>
      </c>
      <c r="AI875" t="s">
        <v>23</v>
      </c>
      <c r="AJ875" t="s">
        <v>23</v>
      </c>
    </row>
    <row r="876" spans="1:36" x14ac:dyDescent="0.35">
      <c r="A876" s="2">
        <v>1874</v>
      </c>
      <c r="B876" s="4">
        <v>45244</v>
      </c>
      <c r="C876" s="1" t="s">
        <v>34</v>
      </c>
      <c r="D876" s="1" t="s">
        <v>25</v>
      </c>
      <c r="E876">
        <v>878796</v>
      </c>
      <c r="F876">
        <v>42</v>
      </c>
      <c r="G876" s="1" t="s">
        <v>35</v>
      </c>
      <c r="H876">
        <v>15785</v>
      </c>
      <c r="I876">
        <v>25861</v>
      </c>
      <c r="J876" s="1" t="s">
        <v>33</v>
      </c>
      <c r="K876" s="3">
        <v>10</v>
      </c>
      <c r="L876" s="1" t="s">
        <v>28</v>
      </c>
      <c r="M876" s="1" t="s">
        <v>37</v>
      </c>
      <c r="N876" s="3">
        <v>2024010123</v>
      </c>
      <c r="O876" s="3">
        <f t="shared" si="117"/>
        <v>1.23</v>
      </c>
      <c r="P876" s="6">
        <f t="shared" si="118"/>
        <v>1080919.08</v>
      </c>
      <c r="Q876" s="3" t="str">
        <f t="shared" si="119"/>
        <v>Excellent</v>
      </c>
      <c r="R876" s="3">
        <f t="shared" si="120"/>
        <v>10076</v>
      </c>
      <c r="S876" s="7">
        <f t="shared" si="121"/>
        <v>423192</v>
      </c>
      <c r="T876" s="3" t="str">
        <f t="shared" si="122"/>
        <v>High Profit</v>
      </c>
      <c r="U876" s="3" t="str">
        <f t="shared" si="123"/>
        <v>Medium Discount</v>
      </c>
      <c r="V876" s="3" t="str">
        <f t="shared" si="124"/>
        <v>Priority C</v>
      </c>
      <c r="W876">
        <f t="shared" si="125"/>
        <v>87879.6</v>
      </c>
      <c r="X876" t="s">
        <v>23</v>
      </c>
      <c r="Y876" t="s">
        <v>23</v>
      </c>
      <c r="Z876" t="s">
        <v>23</v>
      </c>
      <c r="AA876" t="s">
        <v>23</v>
      </c>
      <c r="AB876" t="s">
        <v>23</v>
      </c>
      <c r="AC876" t="s">
        <v>23</v>
      </c>
      <c r="AD876" t="s">
        <v>23</v>
      </c>
      <c r="AE876" t="s">
        <v>23</v>
      </c>
      <c r="AF876" t="s">
        <v>23</v>
      </c>
      <c r="AG876" t="s">
        <v>23</v>
      </c>
      <c r="AH876" t="s">
        <v>23</v>
      </c>
      <c r="AI876" t="s">
        <v>23</v>
      </c>
      <c r="AJ876" t="s">
        <v>23</v>
      </c>
    </row>
    <row r="877" spans="1:36" x14ac:dyDescent="0.35">
      <c r="A877" s="2">
        <v>1875</v>
      </c>
      <c r="B877" s="4">
        <v>45100</v>
      </c>
      <c r="C877" s="1" t="s">
        <v>41</v>
      </c>
      <c r="D877" s="1" t="s">
        <v>42</v>
      </c>
      <c r="E877">
        <v>387284</v>
      </c>
      <c r="F877">
        <v>12</v>
      </c>
      <c r="G877" s="1" t="s">
        <v>26</v>
      </c>
      <c r="H877">
        <v>10000</v>
      </c>
      <c r="I877">
        <v>20000</v>
      </c>
      <c r="J877" s="1" t="s">
        <v>27</v>
      </c>
      <c r="K877" s="3">
        <v>10</v>
      </c>
      <c r="L877" s="1" t="s">
        <v>36</v>
      </c>
      <c r="M877" s="1" t="s">
        <v>37</v>
      </c>
      <c r="N877" s="3">
        <v>2024010123</v>
      </c>
      <c r="O877" s="3">
        <f t="shared" si="117"/>
        <v>1.23</v>
      </c>
      <c r="P877" s="6">
        <f t="shared" si="118"/>
        <v>476359.32</v>
      </c>
      <c r="Q877" s="3" t="str">
        <f t="shared" si="119"/>
        <v>Excellent</v>
      </c>
      <c r="R877" s="3">
        <f t="shared" si="120"/>
        <v>10000</v>
      </c>
      <c r="S877" s="7">
        <f t="shared" si="121"/>
        <v>120000</v>
      </c>
      <c r="T877" s="3" t="str">
        <f t="shared" si="122"/>
        <v>High Profit</v>
      </c>
      <c r="U877" s="3" t="str">
        <f t="shared" si="123"/>
        <v>Medium Discount</v>
      </c>
      <c r="V877" s="3" t="str">
        <f t="shared" si="124"/>
        <v>Priority C</v>
      </c>
      <c r="W877">
        <f t="shared" si="125"/>
        <v>58092.6</v>
      </c>
      <c r="X877" t="s">
        <v>23</v>
      </c>
      <c r="Y877" t="s">
        <v>23</v>
      </c>
      <c r="Z877" t="s">
        <v>23</v>
      </c>
      <c r="AA877" t="s">
        <v>23</v>
      </c>
      <c r="AB877" t="s">
        <v>23</v>
      </c>
      <c r="AC877" t="s">
        <v>23</v>
      </c>
      <c r="AD877" t="s">
        <v>23</v>
      </c>
      <c r="AE877" t="s">
        <v>23</v>
      </c>
      <c r="AF877" t="s">
        <v>23</v>
      </c>
      <c r="AG877" t="s">
        <v>23</v>
      </c>
      <c r="AH877" t="s">
        <v>23</v>
      </c>
      <c r="AI877" t="s">
        <v>23</v>
      </c>
      <c r="AJ877" t="s">
        <v>23</v>
      </c>
    </row>
    <row r="878" spans="1:36" x14ac:dyDescent="0.35">
      <c r="A878" s="2">
        <v>1876</v>
      </c>
      <c r="B878" s="4">
        <v>45089</v>
      </c>
      <c r="C878" s="1" t="s">
        <v>41</v>
      </c>
      <c r="D878" s="1" t="s">
        <v>42</v>
      </c>
      <c r="E878">
        <v>828024</v>
      </c>
      <c r="F878">
        <v>38</v>
      </c>
      <c r="G878" s="1" t="s">
        <v>26</v>
      </c>
      <c r="H878">
        <v>28230</v>
      </c>
      <c r="I878">
        <v>41802</v>
      </c>
      <c r="J878" s="1" t="s">
        <v>33</v>
      </c>
      <c r="K878" s="3">
        <v>23</v>
      </c>
      <c r="L878" s="1" t="s">
        <v>40</v>
      </c>
      <c r="M878" s="1" t="s">
        <v>29</v>
      </c>
      <c r="N878" s="3">
        <v>2024010123</v>
      </c>
      <c r="O878" s="3">
        <f t="shared" si="117"/>
        <v>1.23</v>
      </c>
      <c r="P878" s="6">
        <f t="shared" si="118"/>
        <v>1018469.52</v>
      </c>
      <c r="Q878" s="3" t="str">
        <f t="shared" si="119"/>
        <v>Excellent</v>
      </c>
      <c r="R878" s="3">
        <f t="shared" si="120"/>
        <v>13572</v>
      </c>
      <c r="S878" s="7">
        <f t="shared" si="121"/>
        <v>515736</v>
      </c>
      <c r="T878" s="3" t="str">
        <f t="shared" si="122"/>
        <v>High Profit</v>
      </c>
      <c r="U878" s="3" t="str">
        <f t="shared" si="123"/>
        <v>High Discount</v>
      </c>
      <c r="V878" s="3" t="str">
        <f t="shared" si="124"/>
        <v>Priority C</v>
      </c>
      <c r="W878">
        <f t="shared" si="125"/>
        <v>82802.400000000009</v>
      </c>
      <c r="X878" t="s">
        <v>23</v>
      </c>
      <c r="Y878" t="s">
        <v>23</v>
      </c>
      <c r="Z878" t="s">
        <v>23</v>
      </c>
      <c r="AA878" t="s">
        <v>23</v>
      </c>
      <c r="AB878" t="s">
        <v>23</v>
      </c>
      <c r="AC878" t="s">
        <v>23</v>
      </c>
      <c r="AD878" t="s">
        <v>23</v>
      </c>
      <c r="AE878" t="s">
        <v>23</v>
      </c>
      <c r="AF878" t="s">
        <v>23</v>
      </c>
      <c r="AG878" t="s">
        <v>23</v>
      </c>
      <c r="AH878" t="s">
        <v>23</v>
      </c>
      <c r="AI878" t="s">
        <v>23</v>
      </c>
      <c r="AJ878" t="s">
        <v>23</v>
      </c>
    </row>
    <row r="879" spans="1:36" x14ac:dyDescent="0.35">
      <c r="A879" s="2">
        <v>1877</v>
      </c>
      <c r="B879" s="4">
        <v>45039</v>
      </c>
      <c r="C879" s="1" t="s">
        <v>30</v>
      </c>
      <c r="D879" s="1" t="s">
        <v>31</v>
      </c>
      <c r="E879">
        <v>348891</v>
      </c>
      <c r="F879">
        <v>37</v>
      </c>
      <c r="G879" s="1" t="s">
        <v>39</v>
      </c>
      <c r="H879">
        <v>27402</v>
      </c>
      <c r="I879">
        <v>40679</v>
      </c>
      <c r="J879" s="1" t="s">
        <v>33</v>
      </c>
      <c r="K879" s="3">
        <v>28</v>
      </c>
      <c r="L879" s="1" t="s">
        <v>28</v>
      </c>
      <c r="M879" s="1" t="s">
        <v>37</v>
      </c>
      <c r="N879" s="3">
        <v>2024010123</v>
      </c>
      <c r="O879" s="3">
        <f t="shared" si="117"/>
        <v>1.23</v>
      </c>
      <c r="P879" s="6">
        <f t="shared" si="118"/>
        <v>429135.93</v>
      </c>
      <c r="Q879" s="3" t="str">
        <f t="shared" si="119"/>
        <v>Excellent</v>
      </c>
      <c r="R879" s="3">
        <f t="shared" si="120"/>
        <v>13277</v>
      </c>
      <c r="S879" s="7">
        <f t="shared" si="121"/>
        <v>491249</v>
      </c>
      <c r="T879" s="3" t="str">
        <f t="shared" si="122"/>
        <v>High Profit</v>
      </c>
      <c r="U879" s="3" t="str">
        <f t="shared" si="123"/>
        <v>High Discount</v>
      </c>
      <c r="V879" s="3" t="str">
        <f t="shared" si="124"/>
        <v>Priority A</v>
      </c>
      <c r="W879">
        <f t="shared" si="125"/>
        <v>34889.1</v>
      </c>
      <c r="X879" t="s">
        <v>23</v>
      </c>
      <c r="Y879" t="s">
        <v>23</v>
      </c>
      <c r="Z879" t="s">
        <v>23</v>
      </c>
      <c r="AA879" t="s">
        <v>23</v>
      </c>
      <c r="AB879" t="s">
        <v>23</v>
      </c>
      <c r="AC879" t="s">
        <v>23</v>
      </c>
      <c r="AD879" t="s">
        <v>23</v>
      </c>
      <c r="AE879" t="s">
        <v>23</v>
      </c>
      <c r="AF879" t="s">
        <v>23</v>
      </c>
      <c r="AG879" t="s">
        <v>23</v>
      </c>
      <c r="AH879" t="s">
        <v>23</v>
      </c>
      <c r="AI879" t="s">
        <v>23</v>
      </c>
      <c r="AJ879" t="s">
        <v>23</v>
      </c>
    </row>
    <row r="880" spans="1:36" x14ac:dyDescent="0.35">
      <c r="A880" s="2">
        <v>1878</v>
      </c>
      <c r="B880" s="4">
        <v>45094</v>
      </c>
      <c r="C880" s="1" t="s">
        <v>41</v>
      </c>
      <c r="D880" s="1" t="s">
        <v>31</v>
      </c>
      <c r="E880">
        <v>493088</v>
      </c>
      <c r="F880">
        <v>12</v>
      </c>
      <c r="G880" s="1" t="s">
        <v>39</v>
      </c>
      <c r="H880">
        <v>15939</v>
      </c>
      <c r="I880">
        <v>23658</v>
      </c>
      <c r="J880" s="1" t="s">
        <v>33</v>
      </c>
      <c r="K880" s="3">
        <v>23</v>
      </c>
      <c r="L880" s="1" t="s">
        <v>28</v>
      </c>
      <c r="M880" s="1" t="s">
        <v>29</v>
      </c>
      <c r="N880" s="3">
        <v>2024010123</v>
      </c>
      <c r="O880" s="3">
        <f t="shared" si="117"/>
        <v>1.23</v>
      </c>
      <c r="P880" s="6">
        <f t="shared" si="118"/>
        <v>606498.24</v>
      </c>
      <c r="Q880" s="3" t="str">
        <f t="shared" si="119"/>
        <v>Excellent</v>
      </c>
      <c r="R880" s="3">
        <f t="shared" si="120"/>
        <v>7719</v>
      </c>
      <c r="S880" s="7">
        <f t="shared" si="121"/>
        <v>92628</v>
      </c>
      <c r="T880" s="3" t="str">
        <f t="shared" si="122"/>
        <v>High Profit</v>
      </c>
      <c r="U880" s="3" t="str">
        <f t="shared" si="123"/>
        <v>High Discount</v>
      </c>
      <c r="V880" s="3" t="str">
        <f t="shared" si="124"/>
        <v>Priority D</v>
      </c>
      <c r="W880">
        <f t="shared" si="125"/>
        <v>49308.800000000003</v>
      </c>
      <c r="X880" t="s">
        <v>23</v>
      </c>
      <c r="Y880" t="s">
        <v>23</v>
      </c>
      <c r="Z880" t="s">
        <v>23</v>
      </c>
      <c r="AA880" t="s">
        <v>23</v>
      </c>
      <c r="AB880" t="s">
        <v>23</v>
      </c>
      <c r="AC880" t="s">
        <v>23</v>
      </c>
      <c r="AD880" t="s">
        <v>23</v>
      </c>
      <c r="AE880" t="s">
        <v>23</v>
      </c>
      <c r="AF880" t="s">
        <v>23</v>
      </c>
      <c r="AG880" t="s">
        <v>23</v>
      </c>
      <c r="AH880" t="s">
        <v>23</v>
      </c>
      <c r="AI880" t="s">
        <v>23</v>
      </c>
      <c r="AJ880" t="s">
        <v>23</v>
      </c>
    </row>
    <row r="881" spans="1:36" x14ac:dyDescent="0.35">
      <c r="A881" s="2">
        <v>1879</v>
      </c>
      <c r="B881" s="4">
        <v>45094</v>
      </c>
      <c r="C881" s="1" t="s">
        <v>34</v>
      </c>
      <c r="D881" s="1" t="s">
        <v>42</v>
      </c>
      <c r="E881">
        <v>266741</v>
      </c>
      <c r="F881">
        <v>12</v>
      </c>
      <c r="G881" s="1" t="s">
        <v>26</v>
      </c>
      <c r="H881">
        <v>13024</v>
      </c>
      <c r="I881">
        <v>21376</v>
      </c>
      <c r="J881" s="1" t="s">
        <v>27</v>
      </c>
      <c r="K881" s="3">
        <v>24</v>
      </c>
      <c r="L881" s="1" t="s">
        <v>28</v>
      </c>
      <c r="M881" s="1" t="s">
        <v>29</v>
      </c>
      <c r="N881" s="3">
        <v>2024010123</v>
      </c>
      <c r="O881" s="3">
        <f t="shared" si="117"/>
        <v>1.23</v>
      </c>
      <c r="P881" s="6">
        <f t="shared" si="118"/>
        <v>328091.43</v>
      </c>
      <c r="Q881" s="3" t="str">
        <f t="shared" si="119"/>
        <v>Excellent</v>
      </c>
      <c r="R881" s="3">
        <f t="shared" si="120"/>
        <v>8352</v>
      </c>
      <c r="S881" s="7">
        <f t="shared" si="121"/>
        <v>100224</v>
      </c>
      <c r="T881" s="3" t="str">
        <f t="shared" si="122"/>
        <v>High Profit</v>
      </c>
      <c r="U881" s="3" t="str">
        <f t="shared" si="123"/>
        <v>High Discount</v>
      </c>
      <c r="V881" s="3" t="str">
        <f t="shared" si="124"/>
        <v>Priority D</v>
      </c>
      <c r="W881">
        <f t="shared" si="125"/>
        <v>40011.15</v>
      </c>
      <c r="X881" t="s">
        <v>23</v>
      </c>
      <c r="Y881" t="s">
        <v>23</v>
      </c>
      <c r="Z881" t="s">
        <v>23</v>
      </c>
      <c r="AA881" t="s">
        <v>23</v>
      </c>
      <c r="AB881" t="s">
        <v>23</v>
      </c>
      <c r="AC881" t="s">
        <v>23</v>
      </c>
      <c r="AD881" t="s">
        <v>23</v>
      </c>
      <c r="AE881" t="s">
        <v>23</v>
      </c>
      <c r="AF881" t="s">
        <v>23</v>
      </c>
      <c r="AG881" t="s">
        <v>23</v>
      </c>
      <c r="AH881" t="s">
        <v>23</v>
      </c>
      <c r="AI881" t="s">
        <v>23</v>
      </c>
      <c r="AJ881" t="s">
        <v>23</v>
      </c>
    </row>
    <row r="882" spans="1:36" x14ac:dyDescent="0.35">
      <c r="A882" s="2">
        <v>1880</v>
      </c>
      <c r="B882" s="4">
        <v>44959</v>
      </c>
      <c r="C882" s="1" t="s">
        <v>24</v>
      </c>
      <c r="D882" s="1" t="s">
        <v>31</v>
      </c>
      <c r="E882">
        <v>710212</v>
      </c>
      <c r="F882">
        <v>8</v>
      </c>
      <c r="G882" s="1" t="s">
        <v>35</v>
      </c>
      <c r="H882">
        <v>18113</v>
      </c>
      <c r="I882">
        <v>22376</v>
      </c>
      <c r="J882" s="1" t="s">
        <v>33</v>
      </c>
      <c r="K882" s="3">
        <v>0</v>
      </c>
      <c r="L882" s="1" t="s">
        <v>40</v>
      </c>
      <c r="M882" s="1" t="s">
        <v>29</v>
      </c>
      <c r="N882" s="3">
        <v>2024010123</v>
      </c>
      <c r="O882" s="3">
        <f t="shared" si="117"/>
        <v>1.23</v>
      </c>
      <c r="P882" s="6">
        <f t="shared" si="118"/>
        <v>873560.76</v>
      </c>
      <c r="Q882" s="3" t="str">
        <f t="shared" si="119"/>
        <v>Excellent</v>
      </c>
      <c r="R882" s="3">
        <f t="shared" si="120"/>
        <v>4263</v>
      </c>
      <c r="S882" s="7">
        <f t="shared" si="121"/>
        <v>34104</v>
      </c>
      <c r="T882" s="3" t="str">
        <f t="shared" si="122"/>
        <v>High Profit</v>
      </c>
      <c r="U882" s="3" t="str">
        <f t="shared" si="123"/>
        <v>No Discount</v>
      </c>
      <c r="V882" s="3" t="str">
        <f t="shared" si="124"/>
        <v>Priority D</v>
      </c>
      <c r="W882">
        <f t="shared" si="125"/>
        <v>71021.2</v>
      </c>
      <c r="X882" t="s">
        <v>23</v>
      </c>
      <c r="Y882" t="s">
        <v>23</v>
      </c>
      <c r="Z882" t="s">
        <v>23</v>
      </c>
      <c r="AA882" t="s">
        <v>23</v>
      </c>
      <c r="AB882" t="s">
        <v>23</v>
      </c>
      <c r="AC882" t="s">
        <v>23</v>
      </c>
      <c r="AD882" t="s">
        <v>23</v>
      </c>
      <c r="AE882" t="s">
        <v>23</v>
      </c>
      <c r="AF882" t="s">
        <v>23</v>
      </c>
      <c r="AG882" t="s">
        <v>23</v>
      </c>
      <c r="AH882" t="s">
        <v>23</v>
      </c>
      <c r="AI882" t="s">
        <v>23</v>
      </c>
      <c r="AJ882" t="s">
        <v>23</v>
      </c>
    </row>
    <row r="883" spans="1:36" x14ac:dyDescent="0.35">
      <c r="A883" s="2">
        <v>1881</v>
      </c>
      <c r="B883" s="4">
        <v>45067</v>
      </c>
      <c r="C883" s="1" t="s">
        <v>24</v>
      </c>
      <c r="D883" s="1" t="s">
        <v>25</v>
      </c>
      <c r="E883">
        <v>489750</v>
      </c>
      <c r="F883">
        <v>18</v>
      </c>
      <c r="G883" s="1" t="s">
        <v>32</v>
      </c>
      <c r="H883">
        <v>26767</v>
      </c>
      <c r="I883">
        <v>34171</v>
      </c>
      <c r="J883" s="1" t="s">
        <v>27</v>
      </c>
      <c r="K883" s="3">
        <v>3</v>
      </c>
      <c r="L883" s="1" t="s">
        <v>28</v>
      </c>
      <c r="M883" s="1" t="s">
        <v>29</v>
      </c>
      <c r="N883" s="3">
        <v>2024010123</v>
      </c>
      <c r="O883" s="3">
        <f t="shared" si="117"/>
        <v>1.23</v>
      </c>
      <c r="P883" s="6">
        <f t="shared" si="118"/>
        <v>602392.5</v>
      </c>
      <c r="Q883" s="3" t="str">
        <f t="shared" si="119"/>
        <v>Excellent</v>
      </c>
      <c r="R883" s="3">
        <f t="shared" si="120"/>
        <v>7404</v>
      </c>
      <c r="S883" s="7">
        <f t="shared" si="121"/>
        <v>133272</v>
      </c>
      <c r="T883" s="3" t="str">
        <f t="shared" si="122"/>
        <v>High Profit</v>
      </c>
      <c r="U883" s="3" t="str">
        <f t="shared" si="123"/>
        <v>Low Discount</v>
      </c>
      <c r="V883" s="3" t="str">
        <f t="shared" si="124"/>
        <v>Priority C</v>
      </c>
      <c r="W883">
        <f t="shared" si="125"/>
        <v>73462.5</v>
      </c>
      <c r="X883" t="s">
        <v>23</v>
      </c>
      <c r="Y883" t="s">
        <v>23</v>
      </c>
      <c r="Z883" t="s">
        <v>23</v>
      </c>
      <c r="AA883" t="s">
        <v>23</v>
      </c>
      <c r="AB883" t="s">
        <v>23</v>
      </c>
      <c r="AC883" t="s">
        <v>23</v>
      </c>
      <c r="AD883" t="s">
        <v>23</v>
      </c>
      <c r="AE883" t="s">
        <v>23</v>
      </c>
      <c r="AF883" t="s">
        <v>23</v>
      </c>
      <c r="AG883" t="s">
        <v>23</v>
      </c>
      <c r="AH883" t="s">
        <v>23</v>
      </c>
      <c r="AI883" t="s">
        <v>23</v>
      </c>
      <c r="AJ883" t="s">
        <v>23</v>
      </c>
    </row>
    <row r="884" spans="1:36" x14ac:dyDescent="0.35">
      <c r="A884" s="2">
        <v>1882</v>
      </c>
      <c r="B884" s="4">
        <v>45075</v>
      </c>
      <c r="C884" s="1" t="s">
        <v>34</v>
      </c>
      <c r="D884" s="1" t="s">
        <v>43</v>
      </c>
      <c r="E884">
        <v>342182</v>
      </c>
      <c r="F884">
        <v>14</v>
      </c>
      <c r="G884" s="1" t="s">
        <v>32</v>
      </c>
      <c r="H884">
        <v>42946</v>
      </c>
      <c r="I884">
        <v>49731</v>
      </c>
      <c r="J884" s="1" t="s">
        <v>27</v>
      </c>
      <c r="K884" s="3">
        <v>3</v>
      </c>
      <c r="L884" s="1" t="s">
        <v>36</v>
      </c>
      <c r="M884" s="1" t="s">
        <v>37</v>
      </c>
      <c r="N884" s="3">
        <v>2024010123</v>
      </c>
      <c r="O884" s="3">
        <f t="shared" si="117"/>
        <v>1.23</v>
      </c>
      <c r="P884" s="6">
        <f t="shared" si="118"/>
        <v>420883.86</v>
      </c>
      <c r="Q884" s="3" t="str">
        <f t="shared" si="119"/>
        <v>Excellent</v>
      </c>
      <c r="R884" s="3">
        <f t="shared" si="120"/>
        <v>6785</v>
      </c>
      <c r="S884" s="7">
        <f t="shared" si="121"/>
        <v>94990</v>
      </c>
      <c r="T884" s="3" t="str">
        <f t="shared" si="122"/>
        <v>High Profit</v>
      </c>
      <c r="U884" s="3" t="str">
        <f t="shared" si="123"/>
        <v>Low Discount</v>
      </c>
      <c r="V884" s="3" t="str">
        <f t="shared" si="124"/>
        <v>Priority C</v>
      </c>
      <c r="W884">
        <f t="shared" si="125"/>
        <v>51327.299999999996</v>
      </c>
      <c r="X884" t="s">
        <v>23</v>
      </c>
      <c r="Y884" t="s">
        <v>23</v>
      </c>
      <c r="Z884" t="s">
        <v>23</v>
      </c>
      <c r="AA884" t="s">
        <v>23</v>
      </c>
      <c r="AB884" t="s">
        <v>23</v>
      </c>
      <c r="AC884" t="s">
        <v>23</v>
      </c>
      <c r="AD884" t="s">
        <v>23</v>
      </c>
      <c r="AE884" t="s">
        <v>23</v>
      </c>
      <c r="AF884" t="s">
        <v>23</v>
      </c>
      <c r="AG884" t="s">
        <v>23</v>
      </c>
      <c r="AH884" t="s">
        <v>23</v>
      </c>
      <c r="AI884" t="s">
        <v>23</v>
      </c>
      <c r="AJ884" t="s">
        <v>23</v>
      </c>
    </row>
    <row r="885" spans="1:36" x14ac:dyDescent="0.35">
      <c r="A885" s="2">
        <v>1883</v>
      </c>
      <c r="B885" s="4">
        <v>44963</v>
      </c>
      <c r="C885" s="1" t="s">
        <v>38</v>
      </c>
      <c r="D885" s="1" t="s">
        <v>42</v>
      </c>
      <c r="E885">
        <v>124064</v>
      </c>
      <c r="F885">
        <v>16</v>
      </c>
      <c r="G885" s="1" t="s">
        <v>32</v>
      </c>
      <c r="H885">
        <v>35312</v>
      </c>
      <c r="I885">
        <v>39939</v>
      </c>
      <c r="J885" s="1" t="s">
        <v>27</v>
      </c>
      <c r="K885" s="3">
        <v>8</v>
      </c>
      <c r="L885" s="1" t="s">
        <v>28</v>
      </c>
      <c r="M885" s="1" t="s">
        <v>37</v>
      </c>
      <c r="N885" s="3">
        <v>2024010123</v>
      </c>
      <c r="O885" s="3">
        <f t="shared" si="117"/>
        <v>1.23</v>
      </c>
      <c r="P885" s="6">
        <f t="shared" si="118"/>
        <v>152598.72</v>
      </c>
      <c r="Q885" s="3" t="str">
        <f t="shared" si="119"/>
        <v>Excellent</v>
      </c>
      <c r="R885" s="3">
        <f t="shared" si="120"/>
        <v>4627</v>
      </c>
      <c r="S885" s="7">
        <f t="shared" si="121"/>
        <v>74032</v>
      </c>
      <c r="T885" s="3" t="str">
        <f t="shared" si="122"/>
        <v>High Profit</v>
      </c>
      <c r="U885" s="3" t="str">
        <f t="shared" si="123"/>
        <v>Medium Discount</v>
      </c>
      <c r="V885" s="3" t="str">
        <f t="shared" si="124"/>
        <v>Priority C</v>
      </c>
      <c r="W885">
        <f t="shared" si="125"/>
        <v>18609.599999999999</v>
      </c>
      <c r="X885" t="s">
        <v>23</v>
      </c>
      <c r="Y885" t="s">
        <v>23</v>
      </c>
      <c r="Z885" t="s">
        <v>23</v>
      </c>
      <c r="AA885" t="s">
        <v>23</v>
      </c>
      <c r="AB885" t="s">
        <v>23</v>
      </c>
      <c r="AC885" t="s">
        <v>23</v>
      </c>
      <c r="AD885" t="s">
        <v>23</v>
      </c>
      <c r="AE885" t="s">
        <v>23</v>
      </c>
      <c r="AF885" t="s">
        <v>23</v>
      </c>
      <c r="AG885" t="s">
        <v>23</v>
      </c>
      <c r="AH885" t="s">
        <v>23</v>
      </c>
      <c r="AI885" t="s">
        <v>23</v>
      </c>
      <c r="AJ885" t="s">
        <v>23</v>
      </c>
    </row>
    <row r="886" spans="1:36" x14ac:dyDescent="0.35">
      <c r="A886" s="2">
        <v>1884</v>
      </c>
      <c r="B886" s="4">
        <v>45143</v>
      </c>
      <c r="C886" s="1" t="s">
        <v>38</v>
      </c>
      <c r="D886" s="1" t="s">
        <v>25</v>
      </c>
      <c r="E886">
        <v>888314</v>
      </c>
      <c r="F886">
        <v>18</v>
      </c>
      <c r="G886" s="1" t="s">
        <v>32</v>
      </c>
      <c r="H886">
        <v>32091</v>
      </c>
      <c r="I886">
        <v>38801</v>
      </c>
      <c r="J886" s="1" t="s">
        <v>27</v>
      </c>
      <c r="K886" s="3">
        <v>11</v>
      </c>
      <c r="L886" s="1" t="s">
        <v>28</v>
      </c>
      <c r="M886" s="1" t="s">
        <v>37</v>
      </c>
      <c r="N886" s="3">
        <v>2024010123</v>
      </c>
      <c r="O886" s="3">
        <f t="shared" si="117"/>
        <v>1.23</v>
      </c>
      <c r="P886" s="6">
        <f t="shared" si="118"/>
        <v>1092626.22</v>
      </c>
      <c r="Q886" s="3" t="str">
        <f t="shared" si="119"/>
        <v>Excellent</v>
      </c>
      <c r="R886" s="3">
        <f t="shared" si="120"/>
        <v>6710</v>
      </c>
      <c r="S886" s="7">
        <f t="shared" si="121"/>
        <v>120780</v>
      </c>
      <c r="T886" s="3" t="str">
        <f t="shared" si="122"/>
        <v>High Profit</v>
      </c>
      <c r="U886" s="3" t="str">
        <f t="shared" si="123"/>
        <v>Medium Discount</v>
      </c>
      <c r="V886" s="3" t="str">
        <f t="shared" si="124"/>
        <v>Priority C</v>
      </c>
      <c r="W886">
        <f t="shared" si="125"/>
        <v>133247.1</v>
      </c>
      <c r="X886" t="s">
        <v>23</v>
      </c>
      <c r="Y886" t="s">
        <v>23</v>
      </c>
      <c r="Z886" t="s">
        <v>23</v>
      </c>
      <c r="AA886" t="s">
        <v>23</v>
      </c>
      <c r="AB886" t="s">
        <v>23</v>
      </c>
      <c r="AC886" t="s">
        <v>23</v>
      </c>
      <c r="AD886" t="s">
        <v>23</v>
      </c>
      <c r="AE886" t="s">
        <v>23</v>
      </c>
      <c r="AF886" t="s">
        <v>23</v>
      </c>
      <c r="AG886" t="s">
        <v>23</v>
      </c>
      <c r="AH886" t="s">
        <v>23</v>
      </c>
      <c r="AI886" t="s">
        <v>23</v>
      </c>
      <c r="AJ886" t="s">
        <v>23</v>
      </c>
    </row>
    <row r="887" spans="1:36" x14ac:dyDescent="0.35">
      <c r="A887" s="2">
        <v>1885</v>
      </c>
      <c r="B887" s="4">
        <v>45163</v>
      </c>
      <c r="C887" s="1" t="s">
        <v>34</v>
      </c>
      <c r="D887" s="1" t="s">
        <v>25</v>
      </c>
      <c r="E887">
        <v>707369</v>
      </c>
      <c r="F887">
        <v>18</v>
      </c>
      <c r="G887" s="1" t="s">
        <v>35</v>
      </c>
      <c r="H887">
        <v>37119</v>
      </c>
      <c r="I887">
        <v>41844</v>
      </c>
      <c r="J887" s="1" t="s">
        <v>27</v>
      </c>
      <c r="K887" s="3">
        <v>8</v>
      </c>
      <c r="L887" s="1" t="s">
        <v>40</v>
      </c>
      <c r="M887" s="1" t="s">
        <v>37</v>
      </c>
      <c r="N887" s="3">
        <v>2024010123</v>
      </c>
      <c r="O887" s="3">
        <f t="shared" si="117"/>
        <v>1.23</v>
      </c>
      <c r="P887" s="6">
        <f t="shared" si="118"/>
        <v>870063.87</v>
      </c>
      <c r="Q887" s="3" t="str">
        <f t="shared" si="119"/>
        <v>Excellent</v>
      </c>
      <c r="R887" s="3">
        <f t="shared" si="120"/>
        <v>4725</v>
      </c>
      <c r="S887" s="7">
        <f t="shared" si="121"/>
        <v>85050</v>
      </c>
      <c r="T887" s="3" t="str">
        <f t="shared" si="122"/>
        <v>High Profit</v>
      </c>
      <c r="U887" s="3" t="str">
        <f t="shared" si="123"/>
        <v>Medium Discount</v>
      </c>
      <c r="V887" s="3" t="str">
        <f t="shared" si="124"/>
        <v>Priority C</v>
      </c>
      <c r="W887">
        <f t="shared" si="125"/>
        <v>106105.34999999999</v>
      </c>
      <c r="X887" t="s">
        <v>23</v>
      </c>
      <c r="Y887" t="s">
        <v>23</v>
      </c>
      <c r="Z887" t="s">
        <v>23</v>
      </c>
      <c r="AA887" t="s">
        <v>23</v>
      </c>
      <c r="AB887" t="s">
        <v>23</v>
      </c>
      <c r="AC887" t="s">
        <v>23</v>
      </c>
      <c r="AD887" t="s">
        <v>23</v>
      </c>
      <c r="AE887" t="s">
        <v>23</v>
      </c>
      <c r="AF887" t="s">
        <v>23</v>
      </c>
      <c r="AG887" t="s">
        <v>23</v>
      </c>
      <c r="AH887" t="s">
        <v>23</v>
      </c>
      <c r="AI887" t="s">
        <v>23</v>
      </c>
      <c r="AJ887" t="s">
        <v>23</v>
      </c>
    </row>
    <row r="888" spans="1:36" x14ac:dyDescent="0.35">
      <c r="A888" s="2">
        <v>1886</v>
      </c>
      <c r="B888" s="4">
        <v>45121</v>
      </c>
      <c r="C888" s="1" t="s">
        <v>38</v>
      </c>
      <c r="D888" s="1" t="s">
        <v>43</v>
      </c>
      <c r="E888">
        <v>115595</v>
      </c>
      <c r="F888">
        <v>18</v>
      </c>
      <c r="G888" s="1" t="s">
        <v>26</v>
      </c>
      <c r="H888">
        <v>30701</v>
      </c>
      <c r="I888">
        <v>37286</v>
      </c>
      <c r="J888" s="1" t="s">
        <v>27</v>
      </c>
      <c r="K888" s="3">
        <v>16</v>
      </c>
      <c r="L888" s="1" t="s">
        <v>36</v>
      </c>
      <c r="M888" s="1" t="s">
        <v>37</v>
      </c>
      <c r="N888" s="3">
        <v>2024010123</v>
      </c>
      <c r="O888" s="3">
        <f t="shared" si="117"/>
        <v>1.23</v>
      </c>
      <c r="P888" s="6">
        <f t="shared" si="118"/>
        <v>142181.85</v>
      </c>
      <c r="Q888" s="3" t="str">
        <f t="shared" si="119"/>
        <v>Excellent</v>
      </c>
      <c r="R888" s="3">
        <f t="shared" si="120"/>
        <v>6585</v>
      </c>
      <c r="S888" s="7">
        <f t="shared" si="121"/>
        <v>118530</v>
      </c>
      <c r="T888" s="3" t="str">
        <f t="shared" si="122"/>
        <v>High Profit</v>
      </c>
      <c r="U888" s="3" t="str">
        <f t="shared" si="123"/>
        <v>High Discount</v>
      </c>
      <c r="V888" s="3" t="str">
        <f t="shared" si="124"/>
        <v>Priority C</v>
      </c>
      <c r="W888">
        <f t="shared" si="125"/>
        <v>17339.25</v>
      </c>
      <c r="X888" t="s">
        <v>23</v>
      </c>
      <c r="Y888" t="s">
        <v>23</v>
      </c>
      <c r="Z888" t="s">
        <v>23</v>
      </c>
      <c r="AA888" t="s">
        <v>23</v>
      </c>
      <c r="AB888" t="s">
        <v>23</v>
      </c>
      <c r="AC888" t="s">
        <v>23</v>
      </c>
      <c r="AD888" t="s">
        <v>23</v>
      </c>
      <c r="AE888" t="s">
        <v>23</v>
      </c>
      <c r="AF888" t="s">
        <v>23</v>
      </c>
      <c r="AG888" t="s">
        <v>23</v>
      </c>
      <c r="AH888" t="s">
        <v>23</v>
      </c>
      <c r="AI888" t="s">
        <v>23</v>
      </c>
      <c r="AJ888" t="s">
        <v>23</v>
      </c>
    </row>
    <row r="889" spans="1:36" x14ac:dyDescent="0.35">
      <c r="A889" s="2">
        <v>1887</v>
      </c>
      <c r="B889" s="4">
        <v>44978</v>
      </c>
      <c r="C889" s="1" t="s">
        <v>30</v>
      </c>
      <c r="D889" s="1" t="s">
        <v>43</v>
      </c>
      <c r="E889">
        <v>859181</v>
      </c>
      <c r="F889">
        <v>18</v>
      </c>
      <c r="G889" s="1" t="s">
        <v>35</v>
      </c>
      <c r="H889">
        <v>36975</v>
      </c>
      <c r="I889">
        <v>42583</v>
      </c>
      <c r="J889" s="1" t="s">
        <v>33</v>
      </c>
      <c r="K889" s="3">
        <v>28</v>
      </c>
      <c r="L889" s="1" t="s">
        <v>40</v>
      </c>
      <c r="M889" s="1" t="s">
        <v>37</v>
      </c>
      <c r="N889" s="3">
        <v>2024010123</v>
      </c>
      <c r="O889" s="3">
        <f t="shared" si="117"/>
        <v>1.23</v>
      </c>
      <c r="P889" s="6">
        <f t="shared" si="118"/>
        <v>1056792.6299999999</v>
      </c>
      <c r="Q889" s="3" t="str">
        <f t="shared" si="119"/>
        <v>Excellent</v>
      </c>
      <c r="R889" s="3">
        <f t="shared" si="120"/>
        <v>5608</v>
      </c>
      <c r="S889" s="7">
        <f t="shared" si="121"/>
        <v>100944</v>
      </c>
      <c r="T889" s="3" t="str">
        <f t="shared" si="122"/>
        <v>High Profit</v>
      </c>
      <c r="U889" s="3" t="str">
        <f t="shared" si="123"/>
        <v>High Discount</v>
      </c>
      <c r="V889" s="3" t="str">
        <f t="shared" si="124"/>
        <v>Priority C</v>
      </c>
      <c r="W889">
        <f t="shared" si="125"/>
        <v>85918.1</v>
      </c>
      <c r="X889" t="s">
        <v>23</v>
      </c>
      <c r="Y889" t="s">
        <v>23</v>
      </c>
      <c r="Z889" t="s">
        <v>23</v>
      </c>
      <c r="AA889" t="s">
        <v>23</v>
      </c>
      <c r="AB889" t="s">
        <v>23</v>
      </c>
      <c r="AC889" t="s">
        <v>23</v>
      </c>
      <c r="AD889" t="s">
        <v>23</v>
      </c>
      <c r="AE889" t="s">
        <v>23</v>
      </c>
      <c r="AF889" t="s">
        <v>23</v>
      </c>
      <c r="AG889" t="s">
        <v>23</v>
      </c>
      <c r="AH889" t="s">
        <v>23</v>
      </c>
      <c r="AI889" t="s">
        <v>23</v>
      </c>
      <c r="AJ889" t="s">
        <v>23</v>
      </c>
    </row>
    <row r="890" spans="1:36" x14ac:dyDescent="0.35">
      <c r="A890" s="2">
        <v>1888</v>
      </c>
      <c r="B890" s="4">
        <v>45026</v>
      </c>
      <c r="C890" s="1" t="s">
        <v>38</v>
      </c>
      <c r="D890" s="1" t="s">
        <v>31</v>
      </c>
      <c r="E890">
        <v>263302</v>
      </c>
      <c r="F890">
        <v>18</v>
      </c>
      <c r="G890" s="1" t="s">
        <v>26</v>
      </c>
      <c r="H890">
        <v>15414</v>
      </c>
      <c r="I890">
        <v>19255</v>
      </c>
      <c r="J890" s="1" t="s">
        <v>33</v>
      </c>
      <c r="K890" s="3">
        <v>18</v>
      </c>
      <c r="L890" s="1" t="s">
        <v>40</v>
      </c>
      <c r="M890" s="1" t="s">
        <v>29</v>
      </c>
      <c r="N890" s="3">
        <v>2024010123</v>
      </c>
      <c r="O890" s="3">
        <f t="shared" si="117"/>
        <v>1.23</v>
      </c>
      <c r="P890" s="6">
        <f t="shared" si="118"/>
        <v>323861.46000000002</v>
      </c>
      <c r="Q890" s="3" t="str">
        <f t="shared" si="119"/>
        <v>Excellent</v>
      </c>
      <c r="R890" s="3">
        <f t="shared" si="120"/>
        <v>3841</v>
      </c>
      <c r="S890" s="7">
        <f t="shared" si="121"/>
        <v>69138</v>
      </c>
      <c r="T890" s="3" t="str">
        <f t="shared" si="122"/>
        <v>High Profit</v>
      </c>
      <c r="U890" s="3" t="str">
        <f t="shared" si="123"/>
        <v>High Discount</v>
      </c>
      <c r="V890" s="3" t="str">
        <f t="shared" si="124"/>
        <v>Priority C</v>
      </c>
      <c r="W890">
        <f t="shared" si="125"/>
        <v>26330.2</v>
      </c>
      <c r="X890" t="s">
        <v>23</v>
      </c>
      <c r="Y890" t="s">
        <v>23</v>
      </c>
      <c r="Z890" t="s">
        <v>23</v>
      </c>
      <c r="AA890" t="s">
        <v>23</v>
      </c>
      <c r="AB890" t="s">
        <v>23</v>
      </c>
      <c r="AC890" t="s">
        <v>23</v>
      </c>
      <c r="AD890" t="s">
        <v>23</v>
      </c>
      <c r="AE890" t="s">
        <v>23</v>
      </c>
      <c r="AF890" t="s">
        <v>23</v>
      </c>
      <c r="AG890" t="s">
        <v>23</v>
      </c>
      <c r="AH890" t="s">
        <v>23</v>
      </c>
      <c r="AI890" t="s">
        <v>23</v>
      </c>
      <c r="AJ890" t="s">
        <v>23</v>
      </c>
    </row>
    <row r="891" spans="1:36" x14ac:dyDescent="0.35">
      <c r="A891" s="2">
        <v>1889</v>
      </c>
      <c r="B891" s="4">
        <v>45065</v>
      </c>
      <c r="C891" s="1" t="s">
        <v>41</v>
      </c>
      <c r="D891" s="1" t="s">
        <v>25</v>
      </c>
      <c r="E891">
        <v>179953</v>
      </c>
      <c r="F891">
        <v>18</v>
      </c>
      <c r="G891" s="1" t="s">
        <v>32</v>
      </c>
      <c r="H891">
        <v>22757</v>
      </c>
      <c r="I891">
        <v>30394</v>
      </c>
      <c r="J891" s="1" t="s">
        <v>33</v>
      </c>
      <c r="K891" s="3">
        <v>28</v>
      </c>
      <c r="L891" s="1" t="s">
        <v>40</v>
      </c>
      <c r="M891" s="1" t="s">
        <v>29</v>
      </c>
      <c r="N891" s="3">
        <v>2024010123</v>
      </c>
      <c r="O891" s="3">
        <f t="shared" si="117"/>
        <v>1.23</v>
      </c>
      <c r="P891" s="6">
        <f t="shared" si="118"/>
        <v>221342.19</v>
      </c>
      <c r="Q891" s="3" t="str">
        <f t="shared" si="119"/>
        <v>Excellent</v>
      </c>
      <c r="R891" s="3">
        <f t="shared" si="120"/>
        <v>7637</v>
      </c>
      <c r="S891" s="7">
        <f t="shared" si="121"/>
        <v>137466</v>
      </c>
      <c r="T891" s="3" t="str">
        <f t="shared" si="122"/>
        <v>High Profit</v>
      </c>
      <c r="U891" s="3" t="str">
        <f t="shared" si="123"/>
        <v>High Discount</v>
      </c>
      <c r="V891" s="3" t="str">
        <f t="shared" si="124"/>
        <v>Priority C</v>
      </c>
      <c r="W891">
        <f t="shared" si="125"/>
        <v>17995.3</v>
      </c>
      <c r="X891" t="s">
        <v>23</v>
      </c>
      <c r="Y891" t="s">
        <v>23</v>
      </c>
      <c r="Z891" t="s">
        <v>23</v>
      </c>
      <c r="AA891" t="s">
        <v>23</v>
      </c>
      <c r="AB891" t="s">
        <v>23</v>
      </c>
      <c r="AC891" t="s">
        <v>23</v>
      </c>
      <c r="AD891" t="s">
        <v>23</v>
      </c>
      <c r="AE891" t="s">
        <v>23</v>
      </c>
      <c r="AF891" t="s">
        <v>23</v>
      </c>
      <c r="AG891" t="s">
        <v>23</v>
      </c>
      <c r="AH891" t="s">
        <v>23</v>
      </c>
      <c r="AI891" t="s">
        <v>23</v>
      </c>
      <c r="AJ891" t="s">
        <v>23</v>
      </c>
    </row>
    <row r="892" spans="1:36" x14ac:dyDescent="0.35">
      <c r="A892" s="2">
        <v>1890</v>
      </c>
      <c r="B892" s="4">
        <v>44959</v>
      </c>
      <c r="C892" s="1" t="s">
        <v>24</v>
      </c>
      <c r="D892" s="1" t="s">
        <v>43</v>
      </c>
      <c r="E892">
        <v>654200</v>
      </c>
      <c r="F892">
        <v>12</v>
      </c>
      <c r="G892" s="1" t="s">
        <v>26</v>
      </c>
      <c r="H892">
        <v>36057</v>
      </c>
      <c r="I892">
        <v>37597</v>
      </c>
      <c r="J892" s="1" t="s">
        <v>27</v>
      </c>
      <c r="K892" s="3">
        <v>0</v>
      </c>
      <c r="L892" s="1" t="s">
        <v>40</v>
      </c>
      <c r="M892" s="1" t="s">
        <v>37</v>
      </c>
      <c r="N892" s="3">
        <v>2024010123</v>
      </c>
      <c r="O892" s="3">
        <f t="shared" si="117"/>
        <v>1.23</v>
      </c>
      <c r="P892" s="6">
        <f t="shared" si="118"/>
        <v>804666</v>
      </c>
      <c r="Q892" s="3" t="str">
        <f t="shared" si="119"/>
        <v>Excellent</v>
      </c>
      <c r="R892" s="3">
        <f t="shared" si="120"/>
        <v>1540</v>
      </c>
      <c r="S892" s="7">
        <f t="shared" si="121"/>
        <v>18480</v>
      </c>
      <c r="T892" s="3" t="str">
        <f t="shared" si="122"/>
        <v>High Profit</v>
      </c>
      <c r="U892" s="3" t="str">
        <f t="shared" si="123"/>
        <v>No Discount</v>
      </c>
      <c r="V892" s="3" t="str">
        <f t="shared" si="124"/>
        <v>Priority C</v>
      </c>
      <c r="W892">
        <f t="shared" si="125"/>
        <v>98130</v>
      </c>
      <c r="X892" t="s">
        <v>23</v>
      </c>
      <c r="Y892" t="s">
        <v>23</v>
      </c>
      <c r="Z892" t="s">
        <v>23</v>
      </c>
      <c r="AA892" t="s">
        <v>23</v>
      </c>
      <c r="AB892" t="s">
        <v>23</v>
      </c>
      <c r="AC892" t="s">
        <v>23</v>
      </c>
      <c r="AD892" t="s">
        <v>23</v>
      </c>
      <c r="AE892" t="s">
        <v>23</v>
      </c>
      <c r="AF892" t="s">
        <v>23</v>
      </c>
      <c r="AG892" t="s">
        <v>23</v>
      </c>
      <c r="AH892" t="s">
        <v>23</v>
      </c>
      <c r="AI892" t="s">
        <v>23</v>
      </c>
      <c r="AJ892" t="s">
        <v>23</v>
      </c>
    </row>
    <row r="893" spans="1:36" x14ac:dyDescent="0.35">
      <c r="A893" s="2">
        <v>1891</v>
      </c>
      <c r="B893" s="4">
        <v>45023</v>
      </c>
      <c r="C893" s="1" t="s">
        <v>38</v>
      </c>
      <c r="D893" s="1" t="s">
        <v>25</v>
      </c>
      <c r="E893">
        <v>80753</v>
      </c>
      <c r="F893">
        <v>4</v>
      </c>
      <c r="G893" s="1" t="s">
        <v>39</v>
      </c>
      <c r="H893">
        <v>21948</v>
      </c>
      <c r="I893">
        <v>24251</v>
      </c>
      <c r="J893" s="1" t="s">
        <v>33</v>
      </c>
      <c r="K893" s="3">
        <v>3</v>
      </c>
      <c r="L893" s="1" t="s">
        <v>36</v>
      </c>
      <c r="M893" s="1" t="s">
        <v>29</v>
      </c>
      <c r="N893" s="3">
        <v>2024010123</v>
      </c>
      <c r="O893" s="3">
        <f t="shared" si="117"/>
        <v>1.23</v>
      </c>
      <c r="P893" s="6">
        <f t="shared" si="118"/>
        <v>99326.19</v>
      </c>
      <c r="Q893" s="3" t="str">
        <f t="shared" si="119"/>
        <v>Excellent</v>
      </c>
      <c r="R893" s="3">
        <f t="shared" si="120"/>
        <v>2303</v>
      </c>
      <c r="S893" s="7">
        <f t="shared" si="121"/>
        <v>9212</v>
      </c>
      <c r="T893" s="3" t="str">
        <f t="shared" si="122"/>
        <v>High Profit</v>
      </c>
      <c r="U893" s="3" t="str">
        <f t="shared" si="123"/>
        <v>Low Discount</v>
      </c>
      <c r="V893" s="3" t="str">
        <f t="shared" si="124"/>
        <v>Priority D</v>
      </c>
      <c r="W893">
        <f t="shared" si="125"/>
        <v>8075.3</v>
      </c>
      <c r="X893" t="s">
        <v>23</v>
      </c>
      <c r="Y893" t="s">
        <v>23</v>
      </c>
      <c r="Z893" t="s">
        <v>23</v>
      </c>
      <c r="AA893" t="s">
        <v>23</v>
      </c>
      <c r="AB893" t="s">
        <v>23</v>
      </c>
      <c r="AC893" t="s">
        <v>23</v>
      </c>
      <c r="AD893" t="s">
        <v>23</v>
      </c>
      <c r="AE893" t="s">
        <v>23</v>
      </c>
      <c r="AF893" t="s">
        <v>23</v>
      </c>
      <c r="AG893" t="s">
        <v>23</v>
      </c>
      <c r="AH893" t="s">
        <v>23</v>
      </c>
      <c r="AI893" t="s">
        <v>23</v>
      </c>
      <c r="AJ893" t="s">
        <v>23</v>
      </c>
    </row>
    <row r="894" spans="1:36" x14ac:dyDescent="0.35">
      <c r="A894" s="2">
        <v>1892</v>
      </c>
      <c r="B894" s="4">
        <v>45049</v>
      </c>
      <c r="C894" s="1" t="s">
        <v>41</v>
      </c>
      <c r="D894" s="1" t="s">
        <v>42</v>
      </c>
      <c r="E894">
        <v>807506</v>
      </c>
      <c r="F894">
        <v>8</v>
      </c>
      <c r="G894" s="1" t="s">
        <v>32</v>
      </c>
      <c r="H894">
        <v>36844</v>
      </c>
      <c r="I894">
        <v>40214</v>
      </c>
      <c r="J894" s="1" t="s">
        <v>27</v>
      </c>
      <c r="K894" s="3">
        <v>2</v>
      </c>
      <c r="L894" s="1" t="s">
        <v>40</v>
      </c>
      <c r="M894" s="1" t="s">
        <v>29</v>
      </c>
      <c r="N894" s="3">
        <v>2024010123</v>
      </c>
      <c r="O894" s="3">
        <f t="shared" si="117"/>
        <v>1.23</v>
      </c>
      <c r="P894" s="6">
        <f t="shared" si="118"/>
        <v>993232.38</v>
      </c>
      <c r="Q894" s="3" t="str">
        <f t="shared" si="119"/>
        <v>Excellent</v>
      </c>
      <c r="R894" s="3">
        <f t="shared" si="120"/>
        <v>3370</v>
      </c>
      <c r="S894" s="7">
        <f t="shared" si="121"/>
        <v>26960</v>
      </c>
      <c r="T894" s="3" t="str">
        <f t="shared" si="122"/>
        <v>High Profit</v>
      </c>
      <c r="U894" s="3" t="str">
        <f t="shared" si="123"/>
        <v>Low Discount</v>
      </c>
      <c r="V894" s="3" t="str">
        <f t="shared" si="124"/>
        <v>Priority D</v>
      </c>
      <c r="W894">
        <f t="shared" si="125"/>
        <v>121125.9</v>
      </c>
      <c r="X894" t="s">
        <v>23</v>
      </c>
      <c r="Y894" t="s">
        <v>23</v>
      </c>
      <c r="Z894" t="s">
        <v>23</v>
      </c>
      <c r="AA894" t="s">
        <v>23</v>
      </c>
      <c r="AB894" t="s">
        <v>23</v>
      </c>
      <c r="AC894" t="s">
        <v>23</v>
      </c>
      <c r="AD894" t="s">
        <v>23</v>
      </c>
      <c r="AE894" t="s">
        <v>23</v>
      </c>
      <c r="AF894" t="s">
        <v>23</v>
      </c>
      <c r="AG894" t="s">
        <v>23</v>
      </c>
      <c r="AH894" t="s">
        <v>23</v>
      </c>
      <c r="AI894" t="s">
        <v>23</v>
      </c>
      <c r="AJ894" t="s">
        <v>23</v>
      </c>
    </row>
    <row r="895" spans="1:36" x14ac:dyDescent="0.35">
      <c r="A895" s="2">
        <v>1893</v>
      </c>
      <c r="B895" s="4">
        <v>45116</v>
      </c>
      <c r="C895" s="1" t="s">
        <v>38</v>
      </c>
      <c r="D895" s="1" t="s">
        <v>42</v>
      </c>
      <c r="E895">
        <v>537424</v>
      </c>
      <c r="F895">
        <v>12</v>
      </c>
      <c r="G895" s="1" t="s">
        <v>32</v>
      </c>
      <c r="H895">
        <v>53223</v>
      </c>
      <c r="I895">
        <v>54942</v>
      </c>
      <c r="J895" s="1" t="s">
        <v>33</v>
      </c>
      <c r="K895" s="3">
        <v>5</v>
      </c>
      <c r="L895" s="1" t="s">
        <v>28</v>
      </c>
      <c r="M895" s="1" t="s">
        <v>37</v>
      </c>
      <c r="N895" s="3">
        <v>2024010123</v>
      </c>
      <c r="O895" s="3">
        <f t="shared" si="117"/>
        <v>1.23</v>
      </c>
      <c r="P895" s="6">
        <f t="shared" si="118"/>
        <v>661031.52</v>
      </c>
      <c r="Q895" s="3" t="str">
        <f t="shared" si="119"/>
        <v>Excellent</v>
      </c>
      <c r="R895" s="3">
        <f t="shared" si="120"/>
        <v>1719</v>
      </c>
      <c r="S895" s="7">
        <f t="shared" si="121"/>
        <v>20628</v>
      </c>
      <c r="T895" s="3" t="str">
        <f t="shared" si="122"/>
        <v>High Profit</v>
      </c>
      <c r="U895" s="3" t="str">
        <f t="shared" si="123"/>
        <v>Medium Discount</v>
      </c>
      <c r="V895" s="3" t="str">
        <f t="shared" si="124"/>
        <v>Priority C</v>
      </c>
      <c r="W895">
        <f t="shared" si="125"/>
        <v>53742.400000000001</v>
      </c>
      <c r="X895" t="s">
        <v>23</v>
      </c>
      <c r="Y895" t="s">
        <v>23</v>
      </c>
      <c r="Z895" t="s">
        <v>23</v>
      </c>
      <c r="AA895" t="s">
        <v>23</v>
      </c>
      <c r="AB895" t="s">
        <v>23</v>
      </c>
      <c r="AC895" t="s">
        <v>23</v>
      </c>
      <c r="AD895" t="s">
        <v>23</v>
      </c>
      <c r="AE895" t="s">
        <v>23</v>
      </c>
      <c r="AF895" t="s">
        <v>23</v>
      </c>
      <c r="AG895" t="s">
        <v>23</v>
      </c>
      <c r="AH895" t="s">
        <v>23</v>
      </c>
      <c r="AI895" t="s">
        <v>23</v>
      </c>
      <c r="AJ895" t="s">
        <v>23</v>
      </c>
    </row>
    <row r="896" spans="1:36" x14ac:dyDescent="0.35">
      <c r="A896" s="2">
        <v>1894</v>
      </c>
      <c r="B896" s="4">
        <v>45053</v>
      </c>
      <c r="C896" s="1" t="s">
        <v>24</v>
      </c>
      <c r="D896" s="1" t="s">
        <v>43</v>
      </c>
      <c r="E896">
        <v>406650</v>
      </c>
      <c r="F896">
        <v>12</v>
      </c>
      <c r="G896" s="1" t="s">
        <v>39</v>
      </c>
      <c r="H896">
        <v>51104</v>
      </c>
      <c r="I896">
        <v>54073</v>
      </c>
      <c r="J896" s="1" t="s">
        <v>27</v>
      </c>
      <c r="K896" s="3">
        <v>11</v>
      </c>
      <c r="L896" s="1" t="s">
        <v>40</v>
      </c>
      <c r="M896" s="1" t="s">
        <v>29</v>
      </c>
      <c r="N896" s="3">
        <v>2024010123</v>
      </c>
      <c r="O896" s="3">
        <f t="shared" si="117"/>
        <v>1.23</v>
      </c>
      <c r="P896" s="6">
        <f t="shared" si="118"/>
        <v>500179.5</v>
      </c>
      <c r="Q896" s="3" t="str">
        <f t="shared" si="119"/>
        <v>Excellent</v>
      </c>
      <c r="R896" s="3">
        <f t="shared" si="120"/>
        <v>2969</v>
      </c>
      <c r="S896" s="7">
        <f t="shared" si="121"/>
        <v>35628</v>
      </c>
      <c r="T896" s="3" t="str">
        <f t="shared" si="122"/>
        <v>High Profit</v>
      </c>
      <c r="U896" s="3" t="str">
        <f t="shared" si="123"/>
        <v>Medium Discount</v>
      </c>
      <c r="V896" s="3" t="str">
        <f t="shared" si="124"/>
        <v>Priority D</v>
      </c>
      <c r="W896">
        <f t="shared" si="125"/>
        <v>60997.5</v>
      </c>
      <c r="X896" t="s">
        <v>23</v>
      </c>
      <c r="Y896" t="s">
        <v>23</v>
      </c>
      <c r="Z896" t="s">
        <v>23</v>
      </c>
      <c r="AA896" t="s">
        <v>23</v>
      </c>
      <c r="AB896" t="s">
        <v>23</v>
      </c>
      <c r="AC896" t="s">
        <v>23</v>
      </c>
      <c r="AD896" t="s">
        <v>23</v>
      </c>
      <c r="AE896" t="s">
        <v>23</v>
      </c>
      <c r="AF896" t="s">
        <v>23</v>
      </c>
      <c r="AG896" t="s">
        <v>23</v>
      </c>
      <c r="AH896" t="s">
        <v>23</v>
      </c>
      <c r="AI896" t="s">
        <v>23</v>
      </c>
      <c r="AJ896" t="s">
        <v>23</v>
      </c>
    </row>
    <row r="897" spans="1:36" x14ac:dyDescent="0.35">
      <c r="A897" s="2">
        <v>1895</v>
      </c>
      <c r="B897" s="4">
        <v>45105</v>
      </c>
      <c r="C897" s="1" t="s">
        <v>38</v>
      </c>
      <c r="D897" s="1" t="s">
        <v>25</v>
      </c>
      <c r="E897">
        <v>482475</v>
      </c>
      <c r="F897">
        <v>12</v>
      </c>
      <c r="G897" s="1" t="s">
        <v>35</v>
      </c>
      <c r="H897">
        <v>39840</v>
      </c>
      <c r="I897">
        <v>43259</v>
      </c>
      <c r="J897" s="1" t="s">
        <v>33</v>
      </c>
      <c r="K897" s="3">
        <v>5</v>
      </c>
      <c r="L897" s="1" t="s">
        <v>36</v>
      </c>
      <c r="M897" s="1" t="s">
        <v>37</v>
      </c>
      <c r="N897" s="3">
        <v>2024010123</v>
      </c>
      <c r="O897" s="3">
        <f t="shared" si="117"/>
        <v>1.23</v>
      </c>
      <c r="P897" s="6">
        <f t="shared" si="118"/>
        <v>593444.25</v>
      </c>
      <c r="Q897" s="3" t="str">
        <f t="shared" si="119"/>
        <v>Excellent</v>
      </c>
      <c r="R897" s="3">
        <f t="shared" si="120"/>
        <v>3419</v>
      </c>
      <c r="S897" s="7">
        <f t="shared" si="121"/>
        <v>41028</v>
      </c>
      <c r="T897" s="3" t="str">
        <f t="shared" si="122"/>
        <v>High Profit</v>
      </c>
      <c r="U897" s="3" t="str">
        <f t="shared" si="123"/>
        <v>Medium Discount</v>
      </c>
      <c r="V897" s="3" t="str">
        <f t="shared" si="124"/>
        <v>Priority C</v>
      </c>
      <c r="W897">
        <f t="shared" si="125"/>
        <v>48247.5</v>
      </c>
      <c r="X897" t="s">
        <v>23</v>
      </c>
      <c r="Y897" t="s">
        <v>23</v>
      </c>
      <c r="Z897" t="s">
        <v>23</v>
      </c>
      <c r="AA897" t="s">
        <v>23</v>
      </c>
      <c r="AB897" t="s">
        <v>23</v>
      </c>
      <c r="AC897" t="s">
        <v>23</v>
      </c>
      <c r="AD897" t="s">
        <v>23</v>
      </c>
      <c r="AE897" t="s">
        <v>23</v>
      </c>
      <c r="AF897" t="s">
        <v>23</v>
      </c>
      <c r="AG897" t="s">
        <v>23</v>
      </c>
      <c r="AH897" t="s">
        <v>23</v>
      </c>
      <c r="AI897" t="s">
        <v>23</v>
      </c>
      <c r="AJ897" t="s">
        <v>23</v>
      </c>
    </row>
    <row r="898" spans="1:36" x14ac:dyDescent="0.35">
      <c r="A898" s="2">
        <v>1896</v>
      </c>
      <c r="B898" s="4">
        <v>45277</v>
      </c>
      <c r="C898" s="1" t="s">
        <v>34</v>
      </c>
      <c r="D898" s="1" t="s">
        <v>43</v>
      </c>
      <c r="E898">
        <v>729295</v>
      </c>
      <c r="F898">
        <v>12</v>
      </c>
      <c r="G898" s="1" t="s">
        <v>35</v>
      </c>
      <c r="H898">
        <v>40956</v>
      </c>
      <c r="I898">
        <v>43381</v>
      </c>
      <c r="J898" s="1" t="s">
        <v>33</v>
      </c>
      <c r="K898" s="3">
        <v>23</v>
      </c>
      <c r="L898" s="1" t="s">
        <v>28</v>
      </c>
      <c r="M898" s="1" t="s">
        <v>29</v>
      </c>
      <c r="N898" s="3">
        <v>2024010123</v>
      </c>
      <c r="O898" s="3">
        <f t="shared" si="117"/>
        <v>1.23</v>
      </c>
      <c r="P898" s="6">
        <f t="shared" si="118"/>
        <v>897032.85</v>
      </c>
      <c r="Q898" s="3" t="str">
        <f t="shared" si="119"/>
        <v>Excellent</v>
      </c>
      <c r="R898" s="3">
        <f t="shared" si="120"/>
        <v>2425</v>
      </c>
      <c r="S898" s="7">
        <f t="shared" si="121"/>
        <v>29100</v>
      </c>
      <c r="T898" s="3" t="str">
        <f t="shared" si="122"/>
        <v>High Profit</v>
      </c>
      <c r="U898" s="3" t="str">
        <f t="shared" si="123"/>
        <v>High Discount</v>
      </c>
      <c r="V898" s="3" t="str">
        <f t="shared" si="124"/>
        <v>Priority D</v>
      </c>
      <c r="W898">
        <f t="shared" si="125"/>
        <v>72929.5</v>
      </c>
      <c r="X898" t="s">
        <v>23</v>
      </c>
      <c r="Y898" t="s">
        <v>23</v>
      </c>
      <c r="Z898" t="s">
        <v>23</v>
      </c>
      <c r="AA898" t="s">
        <v>23</v>
      </c>
      <c r="AB898" t="s">
        <v>23</v>
      </c>
      <c r="AC898" t="s">
        <v>23</v>
      </c>
      <c r="AD898" t="s">
        <v>23</v>
      </c>
      <c r="AE898" t="s">
        <v>23</v>
      </c>
      <c r="AF898" t="s">
        <v>23</v>
      </c>
      <c r="AG898" t="s">
        <v>23</v>
      </c>
      <c r="AH898" t="s">
        <v>23</v>
      </c>
      <c r="AI898" t="s">
        <v>23</v>
      </c>
      <c r="AJ898" t="s">
        <v>23</v>
      </c>
    </row>
    <row r="899" spans="1:36" x14ac:dyDescent="0.35">
      <c r="A899" s="2">
        <v>1897</v>
      </c>
      <c r="B899" s="4">
        <v>45127</v>
      </c>
      <c r="C899" s="1" t="s">
        <v>30</v>
      </c>
      <c r="D899" s="1" t="s">
        <v>43</v>
      </c>
      <c r="E899">
        <v>386054</v>
      </c>
      <c r="F899">
        <v>12</v>
      </c>
      <c r="G899" s="1" t="s">
        <v>26</v>
      </c>
      <c r="H899">
        <v>45947</v>
      </c>
      <c r="I899">
        <v>49942</v>
      </c>
      <c r="J899" s="1" t="s">
        <v>27</v>
      </c>
      <c r="K899" s="3">
        <v>28</v>
      </c>
      <c r="L899" s="1" t="s">
        <v>28</v>
      </c>
      <c r="M899" s="1" t="s">
        <v>29</v>
      </c>
      <c r="N899" s="3">
        <v>2024010123</v>
      </c>
      <c r="O899" s="3">
        <f t="shared" ref="O899:O962" si="126">VALUE(RIGHT($N$2,3))/100</f>
        <v>1.23</v>
      </c>
      <c r="P899" s="6">
        <f t="shared" ref="P899:P962" si="127">E899*$O899</f>
        <v>474846.42</v>
      </c>
      <c r="Q899" s="3" t="str">
        <f t="shared" ref="Q899:Q962" si="128">IF(P899&gt;=5000,"Excellent",
   IF(P899&gt;=3000,"Good",
      IF(P899&gt;=1500,"Average","Below Average")))</f>
        <v>Excellent</v>
      </c>
      <c r="R899" s="3">
        <f t="shared" ref="R899:R962" si="129">I899-H899</f>
        <v>3995</v>
      </c>
      <c r="S899" s="7">
        <f t="shared" ref="S899:S962" si="130">R899*F899</f>
        <v>47940</v>
      </c>
      <c r="T899" s="3" t="str">
        <f t="shared" ref="T899:T962" si="131">IF(S899&gt;=1000,"High Profit",
   IF(S899&gt;=500,"Medium Profit","Low Profit"))</f>
        <v>High Profit</v>
      </c>
      <c r="U899" s="3" t="str">
        <f t="shared" ref="U899:U962" si="132">_xlfn.LET(
  _xlpm.d0, K899,
  _xlpm.d, IF(_xlpm.d0&gt;=1, _xlpm.d0/100, _xlpm.d0),
  IF(_xlpm.d&gt;=0.15, "High Discount",
     IF(_xlpm.d&gt;=0.05, "Medium Discount",
        IF(_xlpm.d&gt;0, "Low Discount", "No Discount")))
)</f>
        <v>High Discount</v>
      </c>
      <c r="V899" s="3" t="str">
        <f t="shared" ref="V899:V962" si="133">IF(AND(G899="Electronics",F899&gt;=30,M899="Online"),"Priority A",
   IF(AND(OR(G899="Furniture",G899="Electronics"),F899&gt;=20),"Priority B",
      IF(OR(M899="Online",F899&gt;=15),"Priority C","Priority D")))</f>
        <v>Priority D</v>
      </c>
      <c r="W899">
        <f t="shared" ref="W899:W962" si="134">IF(AND(Q899="Excellent",J899="Returning",T899="High Profit"),E899*0.15,
   IF(AND(Q899="Excellent",J899="New"),E899*0.1,
      IF(AND(OR(Q899="Good",Q899="Excellent"),L899="Cash"),E899*0.08,
         IF(AND(Q899="Good",T899="High Profit"),E899*0.06,
            IF(Q899="Average",E899*0.03,
               IF(Q899="Below Average",E899*0.01,0))))))</f>
        <v>57908.1</v>
      </c>
      <c r="X899" t="s">
        <v>23</v>
      </c>
      <c r="Y899" t="s">
        <v>23</v>
      </c>
      <c r="Z899" t="s">
        <v>23</v>
      </c>
      <c r="AA899" t="s">
        <v>23</v>
      </c>
      <c r="AB899" t="s">
        <v>23</v>
      </c>
      <c r="AC899" t="s">
        <v>23</v>
      </c>
      <c r="AD899" t="s">
        <v>23</v>
      </c>
      <c r="AE899" t="s">
        <v>23</v>
      </c>
      <c r="AF899" t="s">
        <v>23</v>
      </c>
      <c r="AG899" t="s">
        <v>23</v>
      </c>
      <c r="AH899" t="s">
        <v>23</v>
      </c>
      <c r="AI899" t="s">
        <v>23</v>
      </c>
      <c r="AJ899" t="s">
        <v>23</v>
      </c>
    </row>
    <row r="900" spans="1:36" x14ac:dyDescent="0.35">
      <c r="A900" s="2">
        <v>1898</v>
      </c>
      <c r="B900" s="4">
        <v>45278</v>
      </c>
      <c r="C900" s="1" t="s">
        <v>30</v>
      </c>
      <c r="D900" s="1" t="s">
        <v>42</v>
      </c>
      <c r="E900">
        <v>939567</v>
      </c>
      <c r="F900">
        <v>12</v>
      </c>
      <c r="G900" s="1" t="s">
        <v>26</v>
      </c>
      <c r="H900">
        <v>30255</v>
      </c>
      <c r="I900">
        <v>32363</v>
      </c>
      <c r="J900" s="1" t="s">
        <v>27</v>
      </c>
      <c r="K900" s="3">
        <v>20</v>
      </c>
      <c r="L900" s="1" t="s">
        <v>28</v>
      </c>
      <c r="M900" s="1" t="s">
        <v>37</v>
      </c>
      <c r="N900" s="3">
        <v>2024010123</v>
      </c>
      <c r="O900" s="3">
        <f t="shared" si="126"/>
        <v>1.23</v>
      </c>
      <c r="P900" s="6">
        <f t="shared" si="127"/>
        <v>1155667.4099999999</v>
      </c>
      <c r="Q900" s="3" t="str">
        <f t="shared" si="128"/>
        <v>Excellent</v>
      </c>
      <c r="R900" s="3">
        <f t="shared" si="129"/>
        <v>2108</v>
      </c>
      <c r="S900" s="7">
        <f t="shared" si="130"/>
        <v>25296</v>
      </c>
      <c r="T900" s="3" t="str">
        <f t="shared" si="131"/>
        <v>High Profit</v>
      </c>
      <c r="U900" s="3" t="str">
        <f t="shared" si="132"/>
        <v>High Discount</v>
      </c>
      <c r="V900" s="3" t="str">
        <f t="shared" si="133"/>
        <v>Priority C</v>
      </c>
      <c r="W900">
        <f t="shared" si="134"/>
        <v>140935.04999999999</v>
      </c>
      <c r="X900" t="s">
        <v>23</v>
      </c>
      <c r="Y900" t="s">
        <v>23</v>
      </c>
      <c r="Z900" t="s">
        <v>23</v>
      </c>
      <c r="AA900" t="s">
        <v>23</v>
      </c>
      <c r="AB900" t="s">
        <v>23</v>
      </c>
      <c r="AC900" t="s">
        <v>23</v>
      </c>
      <c r="AD900" t="s">
        <v>23</v>
      </c>
      <c r="AE900" t="s">
        <v>23</v>
      </c>
      <c r="AF900" t="s">
        <v>23</v>
      </c>
      <c r="AG900" t="s">
        <v>23</v>
      </c>
      <c r="AH900" t="s">
        <v>23</v>
      </c>
      <c r="AI900" t="s">
        <v>23</v>
      </c>
      <c r="AJ900" t="s">
        <v>23</v>
      </c>
    </row>
    <row r="901" spans="1:36" x14ac:dyDescent="0.35">
      <c r="A901" s="2">
        <v>1899</v>
      </c>
      <c r="B901" s="4">
        <v>45210</v>
      </c>
      <c r="C901" s="1" t="s">
        <v>34</v>
      </c>
      <c r="D901" s="1" t="s">
        <v>31</v>
      </c>
      <c r="E901">
        <v>476868</v>
      </c>
      <c r="F901">
        <v>10</v>
      </c>
      <c r="G901" s="1" t="s">
        <v>39</v>
      </c>
      <c r="H901">
        <v>51407</v>
      </c>
      <c r="I901">
        <v>53921</v>
      </c>
      <c r="J901" s="1" t="s">
        <v>33</v>
      </c>
      <c r="K901" s="3">
        <v>15</v>
      </c>
      <c r="L901" s="1" t="s">
        <v>28</v>
      </c>
      <c r="M901" s="1" t="s">
        <v>37</v>
      </c>
      <c r="N901" s="3">
        <v>2024010123</v>
      </c>
      <c r="O901" s="3">
        <f t="shared" si="126"/>
        <v>1.23</v>
      </c>
      <c r="P901" s="6">
        <f t="shared" si="127"/>
        <v>586547.64</v>
      </c>
      <c r="Q901" s="3" t="str">
        <f t="shared" si="128"/>
        <v>Excellent</v>
      </c>
      <c r="R901" s="3">
        <f t="shared" si="129"/>
        <v>2514</v>
      </c>
      <c r="S901" s="7">
        <f t="shared" si="130"/>
        <v>25140</v>
      </c>
      <c r="T901" s="3" t="str">
        <f t="shared" si="131"/>
        <v>High Profit</v>
      </c>
      <c r="U901" s="3" t="str">
        <f t="shared" si="132"/>
        <v>High Discount</v>
      </c>
      <c r="V901" s="3" t="str">
        <f t="shared" si="133"/>
        <v>Priority C</v>
      </c>
      <c r="W901">
        <f t="shared" si="134"/>
        <v>47686.8</v>
      </c>
      <c r="X901" t="s">
        <v>23</v>
      </c>
      <c r="Y901" t="s">
        <v>23</v>
      </c>
      <c r="Z901" t="s">
        <v>23</v>
      </c>
      <c r="AA901" t="s">
        <v>23</v>
      </c>
      <c r="AB901" t="s">
        <v>23</v>
      </c>
      <c r="AC901" t="s">
        <v>23</v>
      </c>
      <c r="AD901" t="s">
        <v>23</v>
      </c>
      <c r="AE901" t="s">
        <v>23</v>
      </c>
      <c r="AF901" t="s">
        <v>23</v>
      </c>
      <c r="AG901" t="s">
        <v>23</v>
      </c>
      <c r="AH901" t="s">
        <v>23</v>
      </c>
      <c r="AI901" t="s">
        <v>23</v>
      </c>
      <c r="AJ901" t="s">
        <v>23</v>
      </c>
    </row>
    <row r="902" spans="1:36" x14ac:dyDescent="0.35">
      <c r="A902" s="2">
        <v>1900</v>
      </c>
      <c r="B902" s="4">
        <v>45159</v>
      </c>
      <c r="C902" s="1" t="s">
        <v>30</v>
      </c>
      <c r="D902" s="1" t="s">
        <v>31</v>
      </c>
      <c r="E902">
        <v>830522</v>
      </c>
      <c r="F902">
        <v>12</v>
      </c>
      <c r="G902" s="1" t="s">
        <v>39</v>
      </c>
      <c r="H902">
        <v>12000</v>
      </c>
      <c r="I902">
        <v>23000</v>
      </c>
      <c r="J902" s="1" t="s">
        <v>27</v>
      </c>
      <c r="K902" s="3">
        <v>0</v>
      </c>
      <c r="L902" s="1" t="s">
        <v>40</v>
      </c>
      <c r="M902" s="1" t="s">
        <v>37</v>
      </c>
      <c r="N902" s="3">
        <v>2024010123</v>
      </c>
      <c r="O902" s="3">
        <f t="shared" si="126"/>
        <v>1.23</v>
      </c>
      <c r="P902" s="6">
        <f t="shared" si="127"/>
        <v>1021542.0599999999</v>
      </c>
      <c r="Q902" s="3" t="str">
        <f t="shared" si="128"/>
        <v>Excellent</v>
      </c>
      <c r="R902" s="3">
        <f t="shared" si="129"/>
        <v>11000</v>
      </c>
      <c r="S902" s="7">
        <f t="shared" si="130"/>
        <v>132000</v>
      </c>
      <c r="T902" s="3" t="str">
        <f t="shared" si="131"/>
        <v>High Profit</v>
      </c>
      <c r="U902" s="3" t="str">
        <f t="shared" si="132"/>
        <v>No Discount</v>
      </c>
      <c r="V902" s="3" t="str">
        <f t="shared" si="133"/>
        <v>Priority C</v>
      </c>
      <c r="W902">
        <f t="shared" si="134"/>
        <v>124578.29999999999</v>
      </c>
      <c r="X902" t="s">
        <v>23</v>
      </c>
      <c r="Y902" t="s">
        <v>23</v>
      </c>
      <c r="Z902" t="s">
        <v>23</v>
      </c>
      <c r="AA902" t="s">
        <v>23</v>
      </c>
      <c r="AB902" t="s">
        <v>23</v>
      </c>
      <c r="AC902" t="s">
        <v>23</v>
      </c>
      <c r="AD902" t="s">
        <v>23</v>
      </c>
      <c r="AE902" t="s">
        <v>23</v>
      </c>
      <c r="AF902" t="s">
        <v>23</v>
      </c>
      <c r="AG902" t="s">
        <v>23</v>
      </c>
      <c r="AH902" t="s">
        <v>23</v>
      </c>
      <c r="AI902" t="s">
        <v>23</v>
      </c>
      <c r="AJ902" t="s">
        <v>23</v>
      </c>
    </row>
    <row r="903" spans="1:36" x14ac:dyDescent="0.35">
      <c r="A903" s="2">
        <v>1901</v>
      </c>
      <c r="B903" s="4">
        <v>45175</v>
      </c>
      <c r="C903" s="1" t="s">
        <v>41</v>
      </c>
      <c r="D903" s="1" t="s">
        <v>31</v>
      </c>
      <c r="E903">
        <v>863023</v>
      </c>
      <c r="F903">
        <v>18</v>
      </c>
      <c r="G903" s="1" t="s">
        <v>26</v>
      </c>
      <c r="H903">
        <v>18192</v>
      </c>
      <c r="I903">
        <v>28236</v>
      </c>
      <c r="J903" s="1" t="s">
        <v>33</v>
      </c>
      <c r="K903" s="3">
        <v>2</v>
      </c>
      <c r="L903" s="1" t="s">
        <v>28</v>
      </c>
      <c r="M903" s="1" t="s">
        <v>29</v>
      </c>
      <c r="N903" s="3">
        <v>2024010123</v>
      </c>
      <c r="O903" s="3">
        <f t="shared" si="126"/>
        <v>1.23</v>
      </c>
      <c r="P903" s="6">
        <f t="shared" si="127"/>
        <v>1061518.29</v>
      </c>
      <c r="Q903" s="3" t="str">
        <f t="shared" si="128"/>
        <v>Excellent</v>
      </c>
      <c r="R903" s="3">
        <f t="shared" si="129"/>
        <v>10044</v>
      </c>
      <c r="S903" s="7">
        <f t="shared" si="130"/>
        <v>180792</v>
      </c>
      <c r="T903" s="3" t="str">
        <f t="shared" si="131"/>
        <v>High Profit</v>
      </c>
      <c r="U903" s="3" t="str">
        <f t="shared" si="132"/>
        <v>Low Discount</v>
      </c>
      <c r="V903" s="3" t="str">
        <f t="shared" si="133"/>
        <v>Priority C</v>
      </c>
      <c r="W903">
        <f t="shared" si="134"/>
        <v>86302.3</v>
      </c>
      <c r="X903" t="s">
        <v>23</v>
      </c>
      <c r="Y903" t="s">
        <v>23</v>
      </c>
      <c r="Z903" t="s">
        <v>23</v>
      </c>
      <c r="AA903" t="s">
        <v>23</v>
      </c>
      <c r="AB903" t="s">
        <v>23</v>
      </c>
      <c r="AC903" t="s">
        <v>23</v>
      </c>
      <c r="AD903" t="s">
        <v>23</v>
      </c>
      <c r="AE903" t="s">
        <v>23</v>
      </c>
      <c r="AF903" t="s">
        <v>23</v>
      </c>
      <c r="AG903" t="s">
        <v>23</v>
      </c>
      <c r="AH903" t="s">
        <v>23</v>
      </c>
      <c r="AI903" t="s">
        <v>23</v>
      </c>
      <c r="AJ903" t="s">
        <v>23</v>
      </c>
    </row>
    <row r="904" spans="1:36" x14ac:dyDescent="0.35">
      <c r="A904" s="2">
        <v>1902</v>
      </c>
      <c r="B904" s="4">
        <v>45192</v>
      </c>
      <c r="C904" s="1" t="s">
        <v>30</v>
      </c>
      <c r="D904" s="1" t="s">
        <v>31</v>
      </c>
      <c r="E904">
        <v>805069</v>
      </c>
      <c r="F904">
        <v>45</v>
      </c>
      <c r="G904" s="1" t="s">
        <v>26</v>
      </c>
      <c r="H904">
        <v>12029</v>
      </c>
      <c r="I904">
        <v>21258</v>
      </c>
      <c r="J904" s="1" t="s">
        <v>27</v>
      </c>
      <c r="K904" s="3">
        <v>3</v>
      </c>
      <c r="L904" s="1" t="s">
        <v>40</v>
      </c>
      <c r="M904" s="1" t="s">
        <v>29</v>
      </c>
      <c r="N904" s="3">
        <v>2024010123</v>
      </c>
      <c r="O904" s="3">
        <f t="shared" si="126"/>
        <v>1.23</v>
      </c>
      <c r="P904" s="6">
        <f t="shared" si="127"/>
        <v>990234.87</v>
      </c>
      <c r="Q904" s="3" t="str">
        <f t="shared" si="128"/>
        <v>Excellent</v>
      </c>
      <c r="R904" s="3">
        <f t="shared" si="129"/>
        <v>9229</v>
      </c>
      <c r="S904" s="7">
        <f t="shared" si="130"/>
        <v>415305</v>
      </c>
      <c r="T904" s="3" t="str">
        <f t="shared" si="131"/>
        <v>High Profit</v>
      </c>
      <c r="U904" s="3" t="str">
        <f t="shared" si="132"/>
        <v>Low Discount</v>
      </c>
      <c r="V904" s="3" t="str">
        <f t="shared" si="133"/>
        <v>Priority C</v>
      </c>
      <c r="W904">
        <f t="shared" si="134"/>
        <v>120760.34999999999</v>
      </c>
      <c r="X904" t="s">
        <v>23</v>
      </c>
      <c r="Y904" t="s">
        <v>23</v>
      </c>
      <c r="Z904" t="s">
        <v>23</v>
      </c>
      <c r="AA904" t="s">
        <v>23</v>
      </c>
      <c r="AB904" t="s">
        <v>23</v>
      </c>
      <c r="AC904" t="s">
        <v>23</v>
      </c>
      <c r="AD904" t="s">
        <v>23</v>
      </c>
      <c r="AE904" t="s">
        <v>23</v>
      </c>
      <c r="AF904" t="s">
        <v>23</v>
      </c>
      <c r="AG904" t="s">
        <v>23</v>
      </c>
      <c r="AH904" t="s">
        <v>23</v>
      </c>
      <c r="AI904" t="s">
        <v>23</v>
      </c>
      <c r="AJ904" t="s">
        <v>23</v>
      </c>
    </row>
    <row r="905" spans="1:36" x14ac:dyDescent="0.35">
      <c r="A905" s="2">
        <v>1903</v>
      </c>
      <c r="B905" s="4">
        <v>44960</v>
      </c>
      <c r="C905" s="1" t="s">
        <v>30</v>
      </c>
      <c r="D905" s="1" t="s">
        <v>31</v>
      </c>
      <c r="E905">
        <v>12400</v>
      </c>
      <c r="F905">
        <v>29</v>
      </c>
      <c r="G905" s="1" t="s">
        <v>26</v>
      </c>
      <c r="H905">
        <v>22477</v>
      </c>
      <c r="I905">
        <v>30810</v>
      </c>
      <c r="J905" s="1" t="s">
        <v>33</v>
      </c>
      <c r="K905" s="3">
        <v>13</v>
      </c>
      <c r="L905" s="1" t="s">
        <v>40</v>
      </c>
      <c r="M905" s="1" t="s">
        <v>29</v>
      </c>
      <c r="N905" s="3">
        <v>2024010123</v>
      </c>
      <c r="O905" s="3">
        <f t="shared" si="126"/>
        <v>1.23</v>
      </c>
      <c r="P905" s="6">
        <f t="shared" si="127"/>
        <v>15252</v>
      </c>
      <c r="Q905" s="3" t="str">
        <f t="shared" si="128"/>
        <v>Excellent</v>
      </c>
      <c r="R905" s="3">
        <f t="shared" si="129"/>
        <v>8333</v>
      </c>
      <c r="S905" s="7">
        <f t="shared" si="130"/>
        <v>241657</v>
      </c>
      <c r="T905" s="3" t="str">
        <f t="shared" si="131"/>
        <v>High Profit</v>
      </c>
      <c r="U905" s="3" t="str">
        <f t="shared" si="132"/>
        <v>Medium Discount</v>
      </c>
      <c r="V905" s="3" t="str">
        <f t="shared" si="133"/>
        <v>Priority C</v>
      </c>
      <c r="W905">
        <f t="shared" si="134"/>
        <v>1240</v>
      </c>
      <c r="X905" t="s">
        <v>23</v>
      </c>
      <c r="Y905" t="s">
        <v>23</v>
      </c>
      <c r="Z905" t="s">
        <v>23</v>
      </c>
      <c r="AA905" t="s">
        <v>23</v>
      </c>
      <c r="AB905" t="s">
        <v>23</v>
      </c>
      <c r="AC905" t="s">
        <v>23</v>
      </c>
      <c r="AD905" t="s">
        <v>23</v>
      </c>
      <c r="AE905" t="s">
        <v>23</v>
      </c>
      <c r="AF905" t="s">
        <v>23</v>
      </c>
      <c r="AG905" t="s">
        <v>23</v>
      </c>
      <c r="AH905" t="s">
        <v>23</v>
      </c>
      <c r="AI905" t="s">
        <v>23</v>
      </c>
      <c r="AJ905" t="s">
        <v>23</v>
      </c>
    </row>
    <row r="906" spans="1:36" x14ac:dyDescent="0.35">
      <c r="A906" s="2">
        <v>1904</v>
      </c>
      <c r="B906" s="4">
        <v>44957</v>
      </c>
      <c r="C906" s="1" t="s">
        <v>38</v>
      </c>
      <c r="D906" s="1" t="s">
        <v>25</v>
      </c>
      <c r="E906">
        <v>791549</v>
      </c>
      <c r="F906">
        <v>27</v>
      </c>
      <c r="G906" s="1" t="s">
        <v>35</v>
      </c>
      <c r="H906">
        <v>24268</v>
      </c>
      <c r="I906">
        <v>36577</v>
      </c>
      <c r="J906" s="1" t="s">
        <v>33</v>
      </c>
      <c r="K906" s="3">
        <v>11</v>
      </c>
      <c r="L906" s="1" t="s">
        <v>28</v>
      </c>
      <c r="M906" s="1" t="s">
        <v>29</v>
      </c>
      <c r="N906" s="3">
        <v>2024010123</v>
      </c>
      <c r="O906" s="3">
        <f t="shared" si="126"/>
        <v>1.23</v>
      </c>
      <c r="P906" s="6">
        <f t="shared" si="127"/>
        <v>973605.27</v>
      </c>
      <c r="Q906" s="3" t="str">
        <f t="shared" si="128"/>
        <v>Excellent</v>
      </c>
      <c r="R906" s="3">
        <f t="shared" si="129"/>
        <v>12309</v>
      </c>
      <c r="S906" s="7">
        <f t="shared" si="130"/>
        <v>332343</v>
      </c>
      <c r="T906" s="3" t="str">
        <f t="shared" si="131"/>
        <v>High Profit</v>
      </c>
      <c r="U906" s="3" t="str">
        <f t="shared" si="132"/>
        <v>Medium Discount</v>
      </c>
      <c r="V906" s="3" t="str">
        <f t="shared" si="133"/>
        <v>Priority C</v>
      </c>
      <c r="W906">
        <f t="shared" si="134"/>
        <v>79154.900000000009</v>
      </c>
      <c r="X906" t="s">
        <v>23</v>
      </c>
      <c r="Y906" t="s">
        <v>23</v>
      </c>
      <c r="Z906" t="s">
        <v>23</v>
      </c>
      <c r="AA906" t="s">
        <v>23</v>
      </c>
      <c r="AB906" t="s">
        <v>23</v>
      </c>
      <c r="AC906" t="s">
        <v>23</v>
      </c>
      <c r="AD906" t="s">
        <v>23</v>
      </c>
      <c r="AE906" t="s">
        <v>23</v>
      </c>
      <c r="AF906" t="s">
        <v>23</v>
      </c>
      <c r="AG906" t="s">
        <v>23</v>
      </c>
      <c r="AH906" t="s">
        <v>23</v>
      </c>
      <c r="AI906" t="s">
        <v>23</v>
      </c>
      <c r="AJ906" t="s">
        <v>23</v>
      </c>
    </row>
    <row r="907" spans="1:36" x14ac:dyDescent="0.35">
      <c r="A907" s="2">
        <v>1905</v>
      </c>
      <c r="B907" s="4">
        <v>45170</v>
      </c>
      <c r="C907" s="1" t="s">
        <v>24</v>
      </c>
      <c r="D907" s="1" t="s">
        <v>25</v>
      </c>
      <c r="E907">
        <v>720142</v>
      </c>
      <c r="F907">
        <v>34</v>
      </c>
      <c r="G907" s="1" t="s">
        <v>32</v>
      </c>
      <c r="H907">
        <v>16255</v>
      </c>
      <c r="I907">
        <v>24804</v>
      </c>
      <c r="J907" s="1" t="s">
        <v>33</v>
      </c>
      <c r="K907" s="3">
        <v>10</v>
      </c>
      <c r="L907" s="1" t="s">
        <v>36</v>
      </c>
      <c r="M907" s="1" t="s">
        <v>29</v>
      </c>
      <c r="N907" s="3">
        <v>2024010123</v>
      </c>
      <c r="O907" s="3">
        <f t="shared" si="126"/>
        <v>1.23</v>
      </c>
      <c r="P907" s="6">
        <f t="shared" si="127"/>
        <v>885774.66</v>
      </c>
      <c r="Q907" s="3" t="str">
        <f t="shared" si="128"/>
        <v>Excellent</v>
      </c>
      <c r="R907" s="3">
        <f t="shared" si="129"/>
        <v>8549</v>
      </c>
      <c r="S907" s="7">
        <f t="shared" si="130"/>
        <v>290666</v>
      </c>
      <c r="T907" s="3" t="str">
        <f t="shared" si="131"/>
        <v>High Profit</v>
      </c>
      <c r="U907" s="3" t="str">
        <f t="shared" si="132"/>
        <v>Medium Discount</v>
      </c>
      <c r="V907" s="3" t="str">
        <f t="shared" si="133"/>
        <v>Priority B</v>
      </c>
      <c r="W907">
        <f t="shared" si="134"/>
        <v>72014.2</v>
      </c>
      <c r="X907" t="s">
        <v>23</v>
      </c>
      <c r="Y907" t="s">
        <v>23</v>
      </c>
      <c r="Z907" t="s">
        <v>23</v>
      </c>
      <c r="AA907" t="s">
        <v>23</v>
      </c>
      <c r="AB907" t="s">
        <v>23</v>
      </c>
      <c r="AC907" t="s">
        <v>23</v>
      </c>
      <c r="AD907" t="s">
        <v>23</v>
      </c>
      <c r="AE907" t="s">
        <v>23</v>
      </c>
      <c r="AF907" t="s">
        <v>23</v>
      </c>
      <c r="AG907" t="s">
        <v>23</v>
      </c>
      <c r="AH907" t="s">
        <v>23</v>
      </c>
      <c r="AI907" t="s">
        <v>23</v>
      </c>
      <c r="AJ907" t="s">
        <v>23</v>
      </c>
    </row>
    <row r="908" spans="1:36" x14ac:dyDescent="0.35">
      <c r="A908" s="2">
        <v>1906</v>
      </c>
      <c r="B908" s="4">
        <v>45239</v>
      </c>
      <c r="C908" s="1" t="s">
        <v>30</v>
      </c>
      <c r="D908" s="1" t="s">
        <v>25</v>
      </c>
      <c r="E908">
        <v>400331</v>
      </c>
      <c r="F908">
        <v>13</v>
      </c>
      <c r="G908" s="1" t="s">
        <v>32</v>
      </c>
      <c r="H908">
        <v>13655</v>
      </c>
      <c r="I908">
        <v>25314</v>
      </c>
      <c r="J908" s="1" t="s">
        <v>33</v>
      </c>
      <c r="K908" s="3">
        <v>25</v>
      </c>
      <c r="L908" s="1" t="s">
        <v>40</v>
      </c>
      <c r="M908" s="1" t="s">
        <v>37</v>
      </c>
      <c r="N908" s="3">
        <v>2024010123</v>
      </c>
      <c r="O908" s="3">
        <f t="shared" si="126"/>
        <v>1.23</v>
      </c>
      <c r="P908" s="6">
        <f t="shared" si="127"/>
        <v>492407.13</v>
      </c>
      <c r="Q908" s="3" t="str">
        <f t="shared" si="128"/>
        <v>Excellent</v>
      </c>
      <c r="R908" s="3">
        <f t="shared" si="129"/>
        <v>11659</v>
      </c>
      <c r="S908" s="7">
        <f t="shared" si="130"/>
        <v>151567</v>
      </c>
      <c r="T908" s="3" t="str">
        <f t="shared" si="131"/>
        <v>High Profit</v>
      </c>
      <c r="U908" s="3" t="str">
        <f t="shared" si="132"/>
        <v>High Discount</v>
      </c>
      <c r="V908" s="3" t="str">
        <f t="shared" si="133"/>
        <v>Priority C</v>
      </c>
      <c r="W908">
        <f t="shared" si="134"/>
        <v>40033.100000000006</v>
      </c>
      <c r="X908" t="s">
        <v>23</v>
      </c>
      <c r="Y908" t="s">
        <v>23</v>
      </c>
      <c r="Z908" t="s">
        <v>23</v>
      </c>
      <c r="AA908" t="s">
        <v>23</v>
      </c>
      <c r="AB908" t="s">
        <v>23</v>
      </c>
      <c r="AC908" t="s">
        <v>23</v>
      </c>
      <c r="AD908" t="s">
        <v>23</v>
      </c>
      <c r="AE908" t="s">
        <v>23</v>
      </c>
      <c r="AF908" t="s">
        <v>23</v>
      </c>
      <c r="AG908" t="s">
        <v>23</v>
      </c>
      <c r="AH908" t="s">
        <v>23</v>
      </c>
      <c r="AI908" t="s">
        <v>23</v>
      </c>
      <c r="AJ908" t="s">
        <v>23</v>
      </c>
    </row>
    <row r="909" spans="1:36" x14ac:dyDescent="0.35">
      <c r="A909" s="2">
        <v>1907</v>
      </c>
      <c r="B909" s="4">
        <v>45138</v>
      </c>
      <c r="C909" s="1" t="s">
        <v>34</v>
      </c>
      <c r="D909" s="1" t="s">
        <v>25</v>
      </c>
      <c r="E909">
        <v>131591</v>
      </c>
      <c r="F909">
        <v>12</v>
      </c>
      <c r="G909" s="1" t="s">
        <v>39</v>
      </c>
      <c r="H909">
        <v>17212</v>
      </c>
      <c r="I909">
        <v>29993</v>
      </c>
      <c r="J909" s="1" t="s">
        <v>27</v>
      </c>
      <c r="K909" s="3">
        <v>22</v>
      </c>
      <c r="L909" s="1" t="s">
        <v>36</v>
      </c>
      <c r="M909" s="1" t="s">
        <v>37</v>
      </c>
      <c r="N909" s="3">
        <v>2024010123</v>
      </c>
      <c r="O909" s="3">
        <f t="shared" si="126"/>
        <v>1.23</v>
      </c>
      <c r="P909" s="6">
        <f t="shared" si="127"/>
        <v>161856.93</v>
      </c>
      <c r="Q909" s="3" t="str">
        <f t="shared" si="128"/>
        <v>Excellent</v>
      </c>
      <c r="R909" s="3">
        <f t="shared" si="129"/>
        <v>12781</v>
      </c>
      <c r="S909" s="7">
        <f t="shared" si="130"/>
        <v>153372</v>
      </c>
      <c r="T909" s="3" t="str">
        <f t="shared" si="131"/>
        <v>High Profit</v>
      </c>
      <c r="U909" s="3" t="str">
        <f t="shared" si="132"/>
        <v>High Discount</v>
      </c>
      <c r="V909" s="3" t="str">
        <f t="shared" si="133"/>
        <v>Priority C</v>
      </c>
      <c r="W909">
        <f t="shared" si="134"/>
        <v>19738.649999999998</v>
      </c>
      <c r="X909" t="s">
        <v>23</v>
      </c>
      <c r="Y909" t="s">
        <v>23</v>
      </c>
      <c r="Z909" t="s">
        <v>23</v>
      </c>
      <c r="AA909" t="s">
        <v>23</v>
      </c>
      <c r="AB909" t="s">
        <v>23</v>
      </c>
      <c r="AC909" t="s">
        <v>23</v>
      </c>
      <c r="AD909" t="s">
        <v>23</v>
      </c>
      <c r="AE909" t="s">
        <v>23</v>
      </c>
      <c r="AF909" t="s">
        <v>23</v>
      </c>
      <c r="AG909" t="s">
        <v>23</v>
      </c>
      <c r="AH909" t="s">
        <v>23</v>
      </c>
      <c r="AI909" t="s">
        <v>23</v>
      </c>
      <c r="AJ909" t="s">
        <v>23</v>
      </c>
    </row>
    <row r="910" spans="1:36" x14ac:dyDescent="0.35">
      <c r="A910" s="2">
        <v>1908</v>
      </c>
      <c r="B910" s="4">
        <v>45141</v>
      </c>
      <c r="C910" s="1" t="s">
        <v>38</v>
      </c>
      <c r="D910" s="1" t="s">
        <v>43</v>
      </c>
      <c r="E910">
        <v>966662</v>
      </c>
      <c r="F910">
        <v>36</v>
      </c>
      <c r="G910" s="1" t="s">
        <v>26</v>
      </c>
      <c r="H910">
        <v>14881</v>
      </c>
      <c r="I910">
        <v>23020</v>
      </c>
      <c r="J910" s="1" t="s">
        <v>27</v>
      </c>
      <c r="K910" s="3">
        <v>21</v>
      </c>
      <c r="L910" s="1" t="s">
        <v>28</v>
      </c>
      <c r="M910" s="1" t="s">
        <v>37</v>
      </c>
      <c r="N910" s="3">
        <v>2024010123</v>
      </c>
      <c r="O910" s="3">
        <f t="shared" si="126"/>
        <v>1.23</v>
      </c>
      <c r="P910" s="6">
        <f t="shared" si="127"/>
        <v>1188994.26</v>
      </c>
      <c r="Q910" s="3" t="str">
        <f t="shared" si="128"/>
        <v>Excellent</v>
      </c>
      <c r="R910" s="3">
        <f t="shared" si="129"/>
        <v>8139</v>
      </c>
      <c r="S910" s="7">
        <f t="shared" si="130"/>
        <v>293004</v>
      </c>
      <c r="T910" s="3" t="str">
        <f t="shared" si="131"/>
        <v>High Profit</v>
      </c>
      <c r="U910" s="3" t="str">
        <f t="shared" si="132"/>
        <v>High Discount</v>
      </c>
      <c r="V910" s="3" t="str">
        <f t="shared" si="133"/>
        <v>Priority C</v>
      </c>
      <c r="W910">
        <f t="shared" si="134"/>
        <v>144999.29999999999</v>
      </c>
      <c r="X910" t="s">
        <v>23</v>
      </c>
      <c r="Y910" t="s">
        <v>23</v>
      </c>
      <c r="Z910" t="s">
        <v>23</v>
      </c>
      <c r="AA910" t="s">
        <v>23</v>
      </c>
      <c r="AB910" t="s">
        <v>23</v>
      </c>
      <c r="AC910" t="s">
        <v>23</v>
      </c>
      <c r="AD910" t="s">
        <v>23</v>
      </c>
      <c r="AE910" t="s">
        <v>23</v>
      </c>
      <c r="AF910" t="s">
        <v>23</v>
      </c>
      <c r="AG910" t="s">
        <v>23</v>
      </c>
      <c r="AH910" t="s">
        <v>23</v>
      </c>
      <c r="AI910" t="s">
        <v>23</v>
      </c>
      <c r="AJ910" t="s">
        <v>23</v>
      </c>
    </row>
    <row r="911" spans="1:36" x14ac:dyDescent="0.35">
      <c r="A911" s="2">
        <v>1909</v>
      </c>
      <c r="B911" s="4">
        <v>44999</v>
      </c>
      <c r="C911" s="1" t="s">
        <v>34</v>
      </c>
      <c r="D911" s="1" t="s">
        <v>25</v>
      </c>
      <c r="E911">
        <v>69856</v>
      </c>
      <c r="F911">
        <v>12</v>
      </c>
      <c r="G911" s="1" t="s">
        <v>26</v>
      </c>
      <c r="H911">
        <v>24010</v>
      </c>
      <c r="I911">
        <v>33934</v>
      </c>
      <c r="J911" s="1" t="s">
        <v>33</v>
      </c>
      <c r="K911" s="3">
        <v>28</v>
      </c>
      <c r="L911" s="1" t="s">
        <v>28</v>
      </c>
      <c r="M911" s="1" t="s">
        <v>37</v>
      </c>
      <c r="N911" s="3">
        <v>2024010123</v>
      </c>
      <c r="O911" s="3">
        <f t="shared" si="126"/>
        <v>1.23</v>
      </c>
      <c r="P911" s="6">
        <f t="shared" si="127"/>
        <v>85922.880000000005</v>
      </c>
      <c r="Q911" s="3" t="str">
        <f t="shared" si="128"/>
        <v>Excellent</v>
      </c>
      <c r="R911" s="3">
        <f t="shared" si="129"/>
        <v>9924</v>
      </c>
      <c r="S911" s="7">
        <f t="shared" si="130"/>
        <v>119088</v>
      </c>
      <c r="T911" s="3" t="str">
        <f t="shared" si="131"/>
        <v>High Profit</v>
      </c>
      <c r="U911" s="3" t="str">
        <f t="shared" si="132"/>
        <v>High Discount</v>
      </c>
      <c r="V911" s="3" t="str">
        <f t="shared" si="133"/>
        <v>Priority C</v>
      </c>
      <c r="W911">
        <f t="shared" si="134"/>
        <v>6985.6</v>
      </c>
      <c r="X911" t="s">
        <v>23</v>
      </c>
      <c r="Y911" t="s">
        <v>23</v>
      </c>
      <c r="Z911" t="s">
        <v>23</v>
      </c>
      <c r="AA911" t="s">
        <v>23</v>
      </c>
      <c r="AB911" t="s">
        <v>23</v>
      </c>
      <c r="AC911" t="s">
        <v>23</v>
      </c>
      <c r="AD911" t="s">
        <v>23</v>
      </c>
      <c r="AE911" t="s">
        <v>23</v>
      </c>
      <c r="AF911" t="s">
        <v>23</v>
      </c>
      <c r="AG911" t="s">
        <v>23</v>
      </c>
      <c r="AH911" t="s">
        <v>23</v>
      </c>
      <c r="AI911" t="s">
        <v>23</v>
      </c>
      <c r="AJ911" t="s">
        <v>23</v>
      </c>
    </row>
    <row r="912" spans="1:36" x14ac:dyDescent="0.35">
      <c r="A912" s="2">
        <v>1910</v>
      </c>
      <c r="B912" s="4">
        <v>44944</v>
      </c>
      <c r="C912" s="1" t="s">
        <v>30</v>
      </c>
      <c r="D912" s="1" t="s">
        <v>43</v>
      </c>
      <c r="E912">
        <v>518833</v>
      </c>
      <c r="F912">
        <v>18</v>
      </c>
      <c r="G912" s="1" t="s">
        <v>32</v>
      </c>
      <c r="H912">
        <v>24958</v>
      </c>
      <c r="I912">
        <v>31476</v>
      </c>
      <c r="J912" s="1" t="s">
        <v>27</v>
      </c>
      <c r="K912" s="3">
        <v>0</v>
      </c>
      <c r="L912" s="1" t="s">
        <v>40</v>
      </c>
      <c r="M912" s="1" t="s">
        <v>29</v>
      </c>
      <c r="N912" s="3">
        <v>2024010123</v>
      </c>
      <c r="O912" s="3">
        <f t="shared" si="126"/>
        <v>1.23</v>
      </c>
      <c r="P912" s="6">
        <f t="shared" si="127"/>
        <v>638164.59</v>
      </c>
      <c r="Q912" s="3" t="str">
        <f t="shared" si="128"/>
        <v>Excellent</v>
      </c>
      <c r="R912" s="3">
        <f t="shared" si="129"/>
        <v>6518</v>
      </c>
      <c r="S912" s="7">
        <f t="shared" si="130"/>
        <v>117324</v>
      </c>
      <c r="T912" s="3" t="str">
        <f t="shared" si="131"/>
        <v>High Profit</v>
      </c>
      <c r="U912" s="3" t="str">
        <f t="shared" si="132"/>
        <v>No Discount</v>
      </c>
      <c r="V912" s="3" t="str">
        <f t="shared" si="133"/>
        <v>Priority C</v>
      </c>
      <c r="W912">
        <f t="shared" si="134"/>
        <v>77824.95</v>
      </c>
      <c r="X912" t="s">
        <v>23</v>
      </c>
      <c r="Y912" t="s">
        <v>23</v>
      </c>
      <c r="Z912" t="s">
        <v>23</v>
      </c>
      <c r="AA912" t="s">
        <v>23</v>
      </c>
      <c r="AB912" t="s">
        <v>23</v>
      </c>
      <c r="AC912" t="s">
        <v>23</v>
      </c>
      <c r="AD912" t="s">
        <v>23</v>
      </c>
      <c r="AE912" t="s">
        <v>23</v>
      </c>
      <c r="AF912" t="s">
        <v>23</v>
      </c>
      <c r="AG912" t="s">
        <v>23</v>
      </c>
      <c r="AH912" t="s">
        <v>23</v>
      </c>
      <c r="AI912" t="s">
        <v>23</v>
      </c>
      <c r="AJ912" t="s">
        <v>23</v>
      </c>
    </row>
    <row r="913" spans="1:36" x14ac:dyDescent="0.35">
      <c r="A913" s="2">
        <v>1911</v>
      </c>
      <c r="B913" s="4">
        <v>45188</v>
      </c>
      <c r="C913" s="1" t="s">
        <v>30</v>
      </c>
      <c r="D913" s="1" t="s">
        <v>42</v>
      </c>
      <c r="E913">
        <v>870583</v>
      </c>
      <c r="F913">
        <v>14</v>
      </c>
      <c r="G913" s="1" t="s">
        <v>35</v>
      </c>
      <c r="H913">
        <v>42487</v>
      </c>
      <c r="I913">
        <v>47546</v>
      </c>
      <c r="J913" s="1" t="s">
        <v>33</v>
      </c>
      <c r="K913" s="3">
        <v>3</v>
      </c>
      <c r="L913" s="1" t="s">
        <v>40</v>
      </c>
      <c r="M913" s="1" t="s">
        <v>37</v>
      </c>
      <c r="N913" s="3">
        <v>2024010123</v>
      </c>
      <c r="O913" s="3">
        <f t="shared" si="126"/>
        <v>1.23</v>
      </c>
      <c r="P913" s="6">
        <f t="shared" si="127"/>
        <v>1070817.0900000001</v>
      </c>
      <c r="Q913" s="3" t="str">
        <f t="shared" si="128"/>
        <v>Excellent</v>
      </c>
      <c r="R913" s="3">
        <f t="shared" si="129"/>
        <v>5059</v>
      </c>
      <c r="S913" s="7">
        <f t="shared" si="130"/>
        <v>70826</v>
      </c>
      <c r="T913" s="3" t="str">
        <f t="shared" si="131"/>
        <v>High Profit</v>
      </c>
      <c r="U913" s="3" t="str">
        <f t="shared" si="132"/>
        <v>Low Discount</v>
      </c>
      <c r="V913" s="3" t="str">
        <f t="shared" si="133"/>
        <v>Priority C</v>
      </c>
      <c r="W913">
        <f t="shared" si="134"/>
        <v>87058.3</v>
      </c>
      <c r="X913" t="s">
        <v>23</v>
      </c>
      <c r="Y913" t="s">
        <v>23</v>
      </c>
      <c r="Z913" t="s">
        <v>23</v>
      </c>
      <c r="AA913" t="s">
        <v>23</v>
      </c>
      <c r="AB913" t="s">
        <v>23</v>
      </c>
      <c r="AC913" t="s">
        <v>23</v>
      </c>
      <c r="AD913" t="s">
        <v>23</v>
      </c>
      <c r="AE913" t="s">
        <v>23</v>
      </c>
      <c r="AF913" t="s">
        <v>23</v>
      </c>
      <c r="AG913" t="s">
        <v>23</v>
      </c>
      <c r="AH913" t="s">
        <v>23</v>
      </c>
      <c r="AI913" t="s">
        <v>23</v>
      </c>
      <c r="AJ913" t="s">
        <v>23</v>
      </c>
    </row>
    <row r="914" spans="1:36" x14ac:dyDescent="0.35">
      <c r="A914" s="2">
        <v>1912</v>
      </c>
      <c r="B914" s="4">
        <v>45112</v>
      </c>
      <c r="C914" s="1" t="s">
        <v>41</v>
      </c>
      <c r="D914" s="1" t="s">
        <v>25</v>
      </c>
      <c r="E914">
        <v>942452</v>
      </c>
      <c r="F914">
        <v>12</v>
      </c>
      <c r="G914" s="1" t="s">
        <v>35</v>
      </c>
      <c r="H914">
        <v>18468</v>
      </c>
      <c r="I914">
        <v>23030</v>
      </c>
      <c r="J914" s="1" t="s">
        <v>27</v>
      </c>
      <c r="K914" s="3">
        <v>2</v>
      </c>
      <c r="L914" s="1" t="s">
        <v>28</v>
      </c>
      <c r="M914" s="1" t="s">
        <v>29</v>
      </c>
      <c r="N914" s="3">
        <v>2024010123</v>
      </c>
      <c r="O914" s="3">
        <f t="shared" si="126"/>
        <v>1.23</v>
      </c>
      <c r="P914" s="6">
        <f t="shared" si="127"/>
        <v>1159215.96</v>
      </c>
      <c r="Q914" s="3" t="str">
        <f t="shared" si="128"/>
        <v>Excellent</v>
      </c>
      <c r="R914" s="3">
        <f t="shared" si="129"/>
        <v>4562</v>
      </c>
      <c r="S914" s="7">
        <f t="shared" si="130"/>
        <v>54744</v>
      </c>
      <c r="T914" s="3" t="str">
        <f t="shared" si="131"/>
        <v>High Profit</v>
      </c>
      <c r="U914" s="3" t="str">
        <f t="shared" si="132"/>
        <v>Low Discount</v>
      </c>
      <c r="V914" s="3" t="str">
        <f t="shared" si="133"/>
        <v>Priority D</v>
      </c>
      <c r="W914">
        <f t="shared" si="134"/>
        <v>141367.79999999999</v>
      </c>
      <c r="X914" t="s">
        <v>23</v>
      </c>
      <c r="Y914" t="s">
        <v>23</v>
      </c>
      <c r="Z914" t="s">
        <v>23</v>
      </c>
      <c r="AA914" t="s">
        <v>23</v>
      </c>
      <c r="AB914" t="s">
        <v>23</v>
      </c>
      <c r="AC914" t="s">
        <v>23</v>
      </c>
      <c r="AD914" t="s">
        <v>23</v>
      </c>
      <c r="AE914" t="s">
        <v>23</v>
      </c>
      <c r="AF914" t="s">
        <v>23</v>
      </c>
      <c r="AG914" t="s">
        <v>23</v>
      </c>
      <c r="AH914" t="s">
        <v>23</v>
      </c>
      <c r="AI914" t="s">
        <v>23</v>
      </c>
      <c r="AJ914" t="s">
        <v>23</v>
      </c>
    </row>
    <row r="915" spans="1:36" x14ac:dyDescent="0.35">
      <c r="A915" s="2">
        <v>1913</v>
      </c>
      <c r="B915" s="4">
        <v>45150</v>
      </c>
      <c r="C915" s="1" t="s">
        <v>34</v>
      </c>
      <c r="D915" s="1" t="s">
        <v>25</v>
      </c>
      <c r="E915">
        <v>533131</v>
      </c>
      <c r="F915">
        <v>18</v>
      </c>
      <c r="G915" s="1" t="s">
        <v>39</v>
      </c>
      <c r="H915">
        <v>24593</v>
      </c>
      <c r="I915">
        <v>31483</v>
      </c>
      <c r="J915" s="1" t="s">
        <v>27</v>
      </c>
      <c r="K915" s="3">
        <v>8</v>
      </c>
      <c r="L915" s="1" t="s">
        <v>36</v>
      </c>
      <c r="M915" s="1" t="s">
        <v>29</v>
      </c>
      <c r="N915" s="3">
        <v>2024010123</v>
      </c>
      <c r="O915" s="3">
        <f t="shared" si="126"/>
        <v>1.23</v>
      </c>
      <c r="P915" s="6">
        <f t="shared" si="127"/>
        <v>655751.13</v>
      </c>
      <c r="Q915" s="3" t="str">
        <f t="shared" si="128"/>
        <v>Excellent</v>
      </c>
      <c r="R915" s="3">
        <f t="shared" si="129"/>
        <v>6890</v>
      </c>
      <c r="S915" s="7">
        <f t="shared" si="130"/>
        <v>124020</v>
      </c>
      <c r="T915" s="3" t="str">
        <f t="shared" si="131"/>
        <v>High Profit</v>
      </c>
      <c r="U915" s="3" t="str">
        <f t="shared" si="132"/>
        <v>Medium Discount</v>
      </c>
      <c r="V915" s="3" t="str">
        <f t="shared" si="133"/>
        <v>Priority C</v>
      </c>
      <c r="W915">
        <f t="shared" si="134"/>
        <v>79969.649999999994</v>
      </c>
      <c r="X915" t="s">
        <v>23</v>
      </c>
      <c r="Y915" t="s">
        <v>23</v>
      </c>
      <c r="Z915" t="s">
        <v>23</v>
      </c>
      <c r="AA915" t="s">
        <v>23</v>
      </c>
      <c r="AB915" t="s">
        <v>23</v>
      </c>
      <c r="AC915" t="s">
        <v>23</v>
      </c>
      <c r="AD915" t="s">
        <v>23</v>
      </c>
      <c r="AE915" t="s">
        <v>23</v>
      </c>
      <c r="AF915" t="s">
        <v>23</v>
      </c>
      <c r="AG915" t="s">
        <v>23</v>
      </c>
      <c r="AH915" t="s">
        <v>23</v>
      </c>
      <c r="AI915" t="s">
        <v>23</v>
      </c>
      <c r="AJ915" t="s">
        <v>23</v>
      </c>
    </row>
    <row r="916" spans="1:36" x14ac:dyDescent="0.35">
      <c r="A916" s="2">
        <v>1914</v>
      </c>
      <c r="B916" s="4">
        <v>44937</v>
      </c>
      <c r="C916" s="1" t="s">
        <v>34</v>
      </c>
      <c r="D916" s="1" t="s">
        <v>25</v>
      </c>
      <c r="E916">
        <v>50947</v>
      </c>
      <c r="F916">
        <v>18</v>
      </c>
      <c r="G916" s="1" t="s">
        <v>35</v>
      </c>
      <c r="H916">
        <v>24319</v>
      </c>
      <c r="I916">
        <v>30695</v>
      </c>
      <c r="J916" s="1" t="s">
        <v>33</v>
      </c>
      <c r="K916" s="3">
        <v>6</v>
      </c>
      <c r="L916" s="1" t="s">
        <v>36</v>
      </c>
      <c r="M916" s="1" t="s">
        <v>29</v>
      </c>
      <c r="N916" s="3">
        <v>2024010123</v>
      </c>
      <c r="O916" s="3">
        <f t="shared" si="126"/>
        <v>1.23</v>
      </c>
      <c r="P916" s="6">
        <f t="shared" si="127"/>
        <v>62664.81</v>
      </c>
      <c r="Q916" s="3" t="str">
        <f t="shared" si="128"/>
        <v>Excellent</v>
      </c>
      <c r="R916" s="3">
        <f t="shared" si="129"/>
        <v>6376</v>
      </c>
      <c r="S916" s="7">
        <f t="shared" si="130"/>
        <v>114768</v>
      </c>
      <c r="T916" s="3" t="str">
        <f t="shared" si="131"/>
        <v>High Profit</v>
      </c>
      <c r="U916" s="3" t="str">
        <f t="shared" si="132"/>
        <v>Medium Discount</v>
      </c>
      <c r="V916" s="3" t="str">
        <f t="shared" si="133"/>
        <v>Priority C</v>
      </c>
      <c r="W916">
        <f t="shared" si="134"/>
        <v>5094.7000000000007</v>
      </c>
      <c r="X916" t="s">
        <v>23</v>
      </c>
      <c r="Y916" t="s">
        <v>23</v>
      </c>
      <c r="Z916" t="s">
        <v>23</v>
      </c>
      <c r="AA916" t="s">
        <v>23</v>
      </c>
      <c r="AB916" t="s">
        <v>23</v>
      </c>
      <c r="AC916" t="s">
        <v>23</v>
      </c>
      <c r="AD916" t="s">
        <v>23</v>
      </c>
      <c r="AE916" t="s">
        <v>23</v>
      </c>
      <c r="AF916" t="s">
        <v>23</v>
      </c>
      <c r="AG916" t="s">
        <v>23</v>
      </c>
      <c r="AH916" t="s">
        <v>23</v>
      </c>
      <c r="AI916" t="s">
        <v>23</v>
      </c>
      <c r="AJ916" t="s">
        <v>23</v>
      </c>
    </row>
    <row r="917" spans="1:36" x14ac:dyDescent="0.35">
      <c r="A917" s="2">
        <v>1915</v>
      </c>
      <c r="B917" s="4">
        <v>45170</v>
      </c>
      <c r="C917" s="1" t="s">
        <v>41</v>
      </c>
      <c r="D917" s="1" t="s">
        <v>43</v>
      </c>
      <c r="E917">
        <v>165498</v>
      </c>
      <c r="F917">
        <v>18</v>
      </c>
      <c r="G917" s="1" t="s">
        <v>32</v>
      </c>
      <c r="H917">
        <v>37002</v>
      </c>
      <c r="I917">
        <v>44652</v>
      </c>
      <c r="J917" s="1" t="s">
        <v>33</v>
      </c>
      <c r="K917" s="3">
        <v>12</v>
      </c>
      <c r="L917" s="1" t="s">
        <v>36</v>
      </c>
      <c r="M917" s="1" t="s">
        <v>29</v>
      </c>
      <c r="N917" s="3">
        <v>2024010123</v>
      </c>
      <c r="O917" s="3">
        <f t="shared" si="126"/>
        <v>1.23</v>
      </c>
      <c r="P917" s="6">
        <f t="shared" si="127"/>
        <v>203562.54</v>
      </c>
      <c r="Q917" s="3" t="str">
        <f t="shared" si="128"/>
        <v>Excellent</v>
      </c>
      <c r="R917" s="3">
        <f t="shared" si="129"/>
        <v>7650</v>
      </c>
      <c r="S917" s="7">
        <f t="shared" si="130"/>
        <v>137700</v>
      </c>
      <c r="T917" s="3" t="str">
        <f t="shared" si="131"/>
        <v>High Profit</v>
      </c>
      <c r="U917" s="3" t="str">
        <f t="shared" si="132"/>
        <v>Medium Discount</v>
      </c>
      <c r="V917" s="3" t="str">
        <f t="shared" si="133"/>
        <v>Priority C</v>
      </c>
      <c r="W917">
        <f t="shared" si="134"/>
        <v>16549.8</v>
      </c>
      <c r="X917" t="s">
        <v>23</v>
      </c>
      <c r="Y917" t="s">
        <v>23</v>
      </c>
      <c r="Z917" t="s">
        <v>23</v>
      </c>
      <c r="AA917" t="s">
        <v>23</v>
      </c>
      <c r="AB917" t="s">
        <v>23</v>
      </c>
      <c r="AC917" t="s">
        <v>23</v>
      </c>
      <c r="AD917" t="s">
        <v>23</v>
      </c>
      <c r="AE917" t="s">
        <v>23</v>
      </c>
      <c r="AF917" t="s">
        <v>23</v>
      </c>
      <c r="AG917" t="s">
        <v>23</v>
      </c>
      <c r="AH917" t="s">
        <v>23</v>
      </c>
      <c r="AI917" t="s">
        <v>23</v>
      </c>
      <c r="AJ917" t="s">
        <v>23</v>
      </c>
    </row>
    <row r="918" spans="1:36" x14ac:dyDescent="0.35">
      <c r="A918" s="2">
        <v>1916</v>
      </c>
      <c r="B918" s="4">
        <v>45114</v>
      </c>
      <c r="C918" s="1" t="s">
        <v>24</v>
      </c>
      <c r="D918" s="1" t="s">
        <v>43</v>
      </c>
      <c r="E918">
        <v>303357</v>
      </c>
      <c r="F918">
        <v>18</v>
      </c>
      <c r="G918" s="1" t="s">
        <v>26</v>
      </c>
      <c r="H918">
        <v>20254</v>
      </c>
      <c r="I918">
        <v>25691</v>
      </c>
      <c r="J918" s="1" t="s">
        <v>33</v>
      </c>
      <c r="K918" s="3">
        <v>24</v>
      </c>
      <c r="L918" s="1" t="s">
        <v>36</v>
      </c>
      <c r="M918" s="1" t="s">
        <v>29</v>
      </c>
      <c r="N918" s="3">
        <v>2024010123</v>
      </c>
      <c r="O918" s="3">
        <f t="shared" si="126"/>
        <v>1.23</v>
      </c>
      <c r="P918" s="6">
        <f t="shared" si="127"/>
        <v>373129.11</v>
      </c>
      <c r="Q918" s="3" t="str">
        <f t="shared" si="128"/>
        <v>Excellent</v>
      </c>
      <c r="R918" s="3">
        <f t="shared" si="129"/>
        <v>5437</v>
      </c>
      <c r="S918" s="7">
        <f t="shared" si="130"/>
        <v>97866</v>
      </c>
      <c r="T918" s="3" t="str">
        <f t="shared" si="131"/>
        <v>High Profit</v>
      </c>
      <c r="U918" s="3" t="str">
        <f t="shared" si="132"/>
        <v>High Discount</v>
      </c>
      <c r="V918" s="3" t="str">
        <f t="shared" si="133"/>
        <v>Priority C</v>
      </c>
      <c r="W918">
        <f t="shared" si="134"/>
        <v>30335.7</v>
      </c>
      <c r="X918" t="s">
        <v>23</v>
      </c>
      <c r="Y918" t="s">
        <v>23</v>
      </c>
      <c r="Z918" t="s">
        <v>23</v>
      </c>
      <c r="AA918" t="s">
        <v>23</v>
      </c>
      <c r="AB918" t="s">
        <v>23</v>
      </c>
      <c r="AC918" t="s">
        <v>23</v>
      </c>
      <c r="AD918" t="s">
        <v>23</v>
      </c>
      <c r="AE918" t="s">
        <v>23</v>
      </c>
      <c r="AF918" t="s">
        <v>23</v>
      </c>
      <c r="AG918" t="s">
        <v>23</v>
      </c>
      <c r="AH918" t="s">
        <v>23</v>
      </c>
      <c r="AI918" t="s">
        <v>23</v>
      </c>
      <c r="AJ918" t="s">
        <v>23</v>
      </c>
    </row>
    <row r="919" spans="1:36" x14ac:dyDescent="0.35">
      <c r="A919" s="2">
        <v>1917</v>
      </c>
      <c r="B919" s="4">
        <v>45180</v>
      </c>
      <c r="C919" s="1" t="s">
        <v>34</v>
      </c>
      <c r="D919" s="1" t="s">
        <v>42</v>
      </c>
      <c r="E919">
        <v>482783</v>
      </c>
      <c r="F919">
        <v>18</v>
      </c>
      <c r="G919" s="1" t="s">
        <v>32</v>
      </c>
      <c r="H919">
        <v>44251</v>
      </c>
      <c r="I919">
        <v>49236</v>
      </c>
      <c r="J919" s="1" t="s">
        <v>27</v>
      </c>
      <c r="K919" s="3">
        <v>28</v>
      </c>
      <c r="L919" s="1" t="s">
        <v>40</v>
      </c>
      <c r="M919" s="1" t="s">
        <v>37</v>
      </c>
      <c r="N919" s="3">
        <v>2024010123</v>
      </c>
      <c r="O919" s="3">
        <f t="shared" si="126"/>
        <v>1.23</v>
      </c>
      <c r="P919" s="6">
        <f t="shared" si="127"/>
        <v>593823.09</v>
      </c>
      <c r="Q919" s="3" t="str">
        <f t="shared" si="128"/>
        <v>Excellent</v>
      </c>
      <c r="R919" s="3">
        <f t="shared" si="129"/>
        <v>4985</v>
      </c>
      <c r="S919" s="7">
        <f t="shared" si="130"/>
        <v>89730</v>
      </c>
      <c r="T919" s="3" t="str">
        <f t="shared" si="131"/>
        <v>High Profit</v>
      </c>
      <c r="U919" s="3" t="str">
        <f t="shared" si="132"/>
        <v>High Discount</v>
      </c>
      <c r="V919" s="3" t="str">
        <f t="shared" si="133"/>
        <v>Priority C</v>
      </c>
      <c r="W919">
        <f t="shared" si="134"/>
        <v>72417.45</v>
      </c>
      <c r="X919" t="s">
        <v>23</v>
      </c>
      <c r="Y919" t="s">
        <v>23</v>
      </c>
      <c r="Z919" t="s">
        <v>23</v>
      </c>
      <c r="AA919" t="s">
        <v>23</v>
      </c>
      <c r="AB919" t="s">
        <v>23</v>
      </c>
      <c r="AC919" t="s">
        <v>23</v>
      </c>
      <c r="AD919" t="s">
        <v>23</v>
      </c>
      <c r="AE919" t="s">
        <v>23</v>
      </c>
      <c r="AF919" t="s">
        <v>23</v>
      </c>
      <c r="AG919" t="s">
        <v>23</v>
      </c>
      <c r="AH919" t="s">
        <v>23</v>
      </c>
      <c r="AI919" t="s">
        <v>23</v>
      </c>
      <c r="AJ919" t="s">
        <v>23</v>
      </c>
    </row>
    <row r="920" spans="1:36" x14ac:dyDescent="0.35">
      <c r="A920" s="2">
        <v>1918</v>
      </c>
      <c r="B920" s="4">
        <v>45210</v>
      </c>
      <c r="C920" s="1" t="s">
        <v>41</v>
      </c>
      <c r="D920" s="1" t="s">
        <v>43</v>
      </c>
      <c r="E920">
        <v>809498</v>
      </c>
      <c r="F920">
        <v>18</v>
      </c>
      <c r="G920" s="1" t="s">
        <v>35</v>
      </c>
      <c r="H920">
        <v>33614</v>
      </c>
      <c r="I920">
        <v>40357</v>
      </c>
      <c r="J920" s="1" t="s">
        <v>27</v>
      </c>
      <c r="K920" s="3">
        <v>20</v>
      </c>
      <c r="L920" s="1" t="s">
        <v>40</v>
      </c>
      <c r="M920" s="1" t="s">
        <v>29</v>
      </c>
      <c r="N920" s="3">
        <v>2024010123</v>
      </c>
      <c r="O920" s="3">
        <f t="shared" si="126"/>
        <v>1.23</v>
      </c>
      <c r="P920" s="6">
        <f t="shared" si="127"/>
        <v>995682.54</v>
      </c>
      <c r="Q920" s="3" t="str">
        <f t="shared" si="128"/>
        <v>Excellent</v>
      </c>
      <c r="R920" s="3">
        <f t="shared" si="129"/>
        <v>6743</v>
      </c>
      <c r="S920" s="7">
        <f t="shared" si="130"/>
        <v>121374</v>
      </c>
      <c r="T920" s="3" t="str">
        <f t="shared" si="131"/>
        <v>High Profit</v>
      </c>
      <c r="U920" s="3" t="str">
        <f t="shared" si="132"/>
        <v>High Discount</v>
      </c>
      <c r="V920" s="3" t="str">
        <f t="shared" si="133"/>
        <v>Priority C</v>
      </c>
      <c r="W920">
        <f t="shared" si="134"/>
        <v>121424.7</v>
      </c>
      <c r="X920" t="s">
        <v>23</v>
      </c>
      <c r="Y920" t="s">
        <v>23</v>
      </c>
      <c r="Z920" t="s">
        <v>23</v>
      </c>
      <c r="AA920" t="s">
        <v>23</v>
      </c>
      <c r="AB920" t="s">
        <v>23</v>
      </c>
      <c r="AC920" t="s">
        <v>23</v>
      </c>
      <c r="AD920" t="s">
        <v>23</v>
      </c>
      <c r="AE920" t="s">
        <v>23</v>
      </c>
      <c r="AF920" t="s">
        <v>23</v>
      </c>
      <c r="AG920" t="s">
        <v>23</v>
      </c>
      <c r="AH920" t="s">
        <v>23</v>
      </c>
      <c r="AI920" t="s">
        <v>23</v>
      </c>
      <c r="AJ920" t="s">
        <v>23</v>
      </c>
    </row>
    <row r="921" spans="1:36" x14ac:dyDescent="0.35">
      <c r="A921" s="2">
        <v>1919</v>
      </c>
      <c r="B921" s="4">
        <v>45275</v>
      </c>
      <c r="C921" s="1" t="s">
        <v>38</v>
      </c>
      <c r="D921" s="1" t="s">
        <v>25</v>
      </c>
      <c r="E921">
        <v>770083</v>
      </c>
      <c r="F921">
        <v>8</v>
      </c>
      <c r="G921" s="1" t="s">
        <v>35</v>
      </c>
      <c r="H921">
        <v>18237</v>
      </c>
      <c r="I921">
        <v>24524</v>
      </c>
      <c r="J921" s="1" t="s">
        <v>33</v>
      </c>
      <c r="K921" s="3">
        <v>26</v>
      </c>
      <c r="L921" s="1" t="s">
        <v>36</v>
      </c>
      <c r="M921" s="1" t="s">
        <v>29</v>
      </c>
      <c r="N921" s="3">
        <v>2024010123</v>
      </c>
      <c r="O921" s="3">
        <f t="shared" si="126"/>
        <v>1.23</v>
      </c>
      <c r="P921" s="6">
        <f t="shared" si="127"/>
        <v>947202.09</v>
      </c>
      <c r="Q921" s="3" t="str">
        <f t="shared" si="128"/>
        <v>Excellent</v>
      </c>
      <c r="R921" s="3">
        <f t="shared" si="129"/>
        <v>6287</v>
      </c>
      <c r="S921" s="7">
        <f t="shared" si="130"/>
        <v>50296</v>
      </c>
      <c r="T921" s="3" t="str">
        <f t="shared" si="131"/>
        <v>High Profit</v>
      </c>
      <c r="U921" s="3" t="str">
        <f t="shared" si="132"/>
        <v>High Discount</v>
      </c>
      <c r="V921" s="3" t="str">
        <f t="shared" si="133"/>
        <v>Priority D</v>
      </c>
      <c r="W921">
        <f t="shared" si="134"/>
        <v>77008.3</v>
      </c>
      <c r="X921" t="s">
        <v>23</v>
      </c>
      <c r="Y921" t="s">
        <v>23</v>
      </c>
      <c r="Z921" t="s">
        <v>23</v>
      </c>
      <c r="AA921" t="s">
        <v>23</v>
      </c>
      <c r="AB921" t="s">
        <v>23</v>
      </c>
      <c r="AC921" t="s">
        <v>23</v>
      </c>
      <c r="AD921" t="s">
        <v>23</v>
      </c>
      <c r="AE921" t="s">
        <v>23</v>
      </c>
      <c r="AF921" t="s">
        <v>23</v>
      </c>
      <c r="AG921" t="s">
        <v>23</v>
      </c>
      <c r="AH921" t="s">
        <v>23</v>
      </c>
      <c r="AI921" t="s">
        <v>23</v>
      </c>
      <c r="AJ921" t="s">
        <v>23</v>
      </c>
    </row>
    <row r="922" spans="1:36" x14ac:dyDescent="0.35">
      <c r="A922" s="2">
        <v>1920</v>
      </c>
      <c r="B922" s="4">
        <v>45112</v>
      </c>
      <c r="C922" s="1" t="s">
        <v>30</v>
      </c>
      <c r="D922" s="1" t="s">
        <v>43</v>
      </c>
      <c r="E922">
        <v>878137</v>
      </c>
      <c r="F922">
        <v>12</v>
      </c>
      <c r="G922" s="1" t="s">
        <v>35</v>
      </c>
      <c r="H922">
        <v>24635</v>
      </c>
      <c r="I922">
        <v>29525</v>
      </c>
      <c r="J922" s="1" t="s">
        <v>33</v>
      </c>
      <c r="K922" s="3">
        <v>0</v>
      </c>
      <c r="L922" s="1" t="s">
        <v>28</v>
      </c>
      <c r="M922" s="1" t="s">
        <v>37</v>
      </c>
      <c r="N922" s="3">
        <v>2024010123</v>
      </c>
      <c r="O922" s="3">
        <f t="shared" si="126"/>
        <v>1.23</v>
      </c>
      <c r="P922" s="6">
        <f t="shared" si="127"/>
        <v>1080108.51</v>
      </c>
      <c r="Q922" s="3" t="str">
        <f t="shared" si="128"/>
        <v>Excellent</v>
      </c>
      <c r="R922" s="3">
        <f t="shared" si="129"/>
        <v>4890</v>
      </c>
      <c r="S922" s="7">
        <f t="shared" si="130"/>
        <v>58680</v>
      </c>
      <c r="T922" s="3" t="str">
        <f t="shared" si="131"/>
        <v>High Profit</v>
      </c>
      <c r="U922" s="3" t="str">
        <f t="shared" si="132"/>
        <v>No Discount</v>
      </c>
      <c r="V922" s="3" t="str">
        <f t="shared" si="133"/>
        <v>Priority C</v>
      </c>
      <c r="W922">
        <f t="shared" si="134"/>
        <v>87813.700000000012</v>
      </c>
      <c r="X922" t="s">
        <v>23</v>
      </c>
      <c r="Y922" t="s">
        <v>23</v>
      </c>
      <c r="Z922" t="s">
        <v>23</v>
      </c>
      <c r="AA922" t="s">
        <v>23</v>
      </c>
      <c r="AB922" t="s">
        <v>23</v>
      </c>
      <c r="AC922" t="s">
        <v>23</v>
      </c>
      <c r="AD922" t="s">
        <v>23</v>
      </c>
      <c r="AE922" t="s">
        <v>23</v>
      </c>
      <c r="AF922" t="s">
        <v>23</v>
      </c>
      <c r="AG922" t="s">
        <v>23</v>
      </c>
      <c r="AH922" t="s">
        <v>23</v>
      </c>
      <c r="AI922" t="s">
        <v>23</v>
      </c>
      <c r="AJ922" t="s">
        <v>23</v>
      </c>
    </row>
    <row r="923" spans="1:36" x14ac:dyDescent="0.35">
      <c r="A923" s="2">
        <v>1921</v>
      </c>
      <c r="B923" s="4">
        <v>45192</v>
      </c>
      <c r="C923" s="1" t="s">
        <v>34</v>
      </c>
      <c r="D923" s="1" t="s">
        <v>43</v>
      </c>
      <c r="E923">
        <v>237722</v>
      </c>
      <c r="F923">
        <v>12</v>
      </c>
      <c r="G923" s="1" t="s">
        <v>39</v>
      </c>
      <c r="H923">
        <v>45713</v>
      </c>
      <c r="I923">
        <v>48397</v>
      </c>
      <c r="J923" s="1" t="s">
        <v>33</v>
      </c>
      <c r="K923" s="3">
        <v>3</v>
      </c>
      <c r="L923" s="1" t="s">
        <v>40</v>
      </c>
      <c r="M923" s="1" t="s">
        <v>29</v>
      </c>
      <c r="N923" s="3">
        <v>2024010123</v>
      </c>
      <c r="O923" s="3">
        <f t="shared" si="126"/>
        <v>1.23</v>
      </c>
      <c r="P923" s="6">
        <f t="shared" si="127"/>
        <v>292398.06</v>
      </c>
      <c r="Q923" s="3" t="str">
        <f t="shared" si="128"/>
        <v>Excellent</v>
      </c>
      <c r="R923" s="3">
        <f t="shared" si="129"/>
        <v>2684</v>
      </c>
      <c r="S923" s="7">
        <f t="shared" si="130"/>
        <v>32208</v>
      </c>
      <c r="T923" s="3" t="str">
        <f t="shared" si="131"/>
        <v>High Profit</v>
      </c>
      <c r="U923" s="3" t="str">
        <f t="shared" si="132"/>
        <v>Low Discount</v>
      </c>
      <c r="V923" s="3" t="str">
        <f t="shared" si="133"/>
        <v>Priority D</v>
      </c>
      <c r="W923">
        <f t="shared" si="134"/>
        <v>23772.2</v>
      </c>
      <c r="X923" t="s">
        <v>23</v>
      </c>
      <c r="Y923" t="s">
        <v>23</v>
      </c>
      <c r="Z923" t="s">
        <v>23</v>
      </c>
      <c r="AA923" t="s">
        <v>23</v>
      </c>
      <c r="AB923" t="s">
        <v>23</v>
      </c>
      <c r="AC923" t="s">
        <v>23</v>
      </c>
      <c r="AD923" t="s">
        <v>23</v>
      </c>
      <c r="AE923" t="s">
        <v>23</v>
      </c>
      <c r="AF923" t="s">
        <v>23</v>
      </c>
      <c r="AG923" t="s">
        <v>23</v>
      </c>
      <c r="AH923" t="s">
        <v>23</v>
      </c>
      <c r="AI923" t="s">
        <v>23</v>
      </c>
      <c r="AJ923" t="s">
        <v>23</v>
      </c>
    </row>
    <row r="924" spans="1:36" x14ac:dyDescent="0.35">
      <c r="A924" s="2">
        <v>1922</v>
      </c>
      <c r="B924" s="4">
        <v>45122</v>
      </c>
      <c r="C924" s="1" t="s">
        <v>34</v>
      </c>
      <c r="D924" s="1" t="s">
        <v>43</v>
      </c>
      <c r="E924">
        <v>951616</v>
      </c>
      <c r="F924">
        <v>4</v>
      </c>
      <c r="G924" s="1" t="s">
        <v>26</v>
      </c>
      <c r="H924">
        <v>42650</v>
      </c>
      <c r="I924">
        <v>47587</v>
      </c>
      <c r="J924" s="1" t="s">
        <v>33</v>
      </c>
      <c r="K924" s="3">
        <v>4</v>
      </c>
      <c r="L924" s="1" t="s">
        <v>36</v>
      </c>
      <c r="M924" s="1" t="s">
        <v>29</v>
      </c>
      <c r="N924" s="3">
        <v>2024010123</v>
      </c>
      <c r="O924" s="3">
        <f t="shared" si="126"/>
        <v>1.23</v>
      </c>
      <c r="P924" s="6">
        <f t="shared" si="127"/>
        <v>1170487.68</v>
      </c>
      <c r="Q924" s="3" t="str">
        <f t="shared" si="128"/>
        <v>Excellent</v>
      </c>
      <c r="R924" s="3">
        <f t="shared" si="129"/>
        <v>4937</v>
      </c>
      <c r="S924" s="7">
        <f t="shared" si="130"/>
        <v>19748</v>
      </c>
      <c r="T924" s="3" t="str">
        <f t="shared" si="131"/>
        <v>High Profit</v>
      </c>
      <c r="U924" s="3" t="str">
        <f t="shared" si="132"/>
        <v>Low Discount</v>
      </c>
      <c r="V924" s="3" t="str">
        <f t="shared" si="133"/>
        <v>Priority D</v>
      </c>
      <c r="W924">
        <f t="shared" si="134"/>
        <v>95161.600000000006</v>
      </c>
      <c r="X924" t="s">
        <v>23</v>
      </c>
      <c r="Y924" t="s">
        <v>23</v>
      </c>
      <c r="Z924" t="s">
        <v>23</v>
      </c>
      <c r="AA924" t="s">
        <v>23</v>
      </c>
      <c r="AB924" t="s">
        <v>23</v>
      </c>
      <c r="AC924" t="s">
        <v>23</v>
      </c>
      <c r="AD924" t="s">
        <v>23</v>
      </c>
      <c r="AE924" t="s">
        <v>23</v>
      </c>
      <c r="AF924" t="s">
        <v>23</v>
      </c>
      <c r="AG924" t="s">
        <v>23</v>
      </c>
      <c r="AH924" t="s">
        <v>23</v>
      </c>
      <c r="AI924" t="s">
        <v>23</v>
      </c>
      <c r="AJ924" t="s">
        <v>23</v>
      </c>
    </row>
    <row r="925" spans="1:36" x14ac:dyDescent="0.35">
      <c r="A925" s="2">
        <v>1923</v>
      </c>
      <c r="B925" s="4">
        <v>44965</v>
      </c>
      <c r="C925" s="1" t="s">
        <v>34</v>
      </c>
      <c r="D925" s="1" t="s">
        <v>25</v>
      </c>
      <c r="E925">
        <v>922092</v>
      </c>
      <c r="F925">
        <v>12</v>
      </c>
      <c r="G925" s="1" t="s">
        <v>32</v>
      </c>
      <c r="H925">
        <v>39552</v>
      </c>
      <c r="I925">
        <v>42486</v>
      </c>
      <c r="J925" s="1" t="s">
        <v>33</v>
      </c>
      <c r="K925" s="3">
        <v>7</v>
      </c>
      <c r="L925" s="1" t="s">
        <v>36</v>
      </c>
      <c r="M925" s="1" t="s">
        <v>29</v>
      </c>
      <c r="N925" s="3">
        <v>2024010123</v>
      </c>
      <c r="O925" s="3">
        <f t="shared" si="126"/>
        <v>1.23</v>
      </c>
      <c r="P925" s="6">
        <f t="shared" si="127"/>
        <v>1134173.1599999999</v>
      </c>
      <c r="Q925" s="3" t="str">
        <f t="shared" si="128"/>
        <v>Excellent</v>
      </c>
      <c r="R925" s="3">
        <f t="shared" si="129"/>
        <v>2934</v>
      </c>
      <c r="S925" s="7">
        <f t="shared" si="130"/>
        <v>35208</v>
      </c>
      <c r="T925" s="3" t="str">
        <f t="shared" si="131"/>
        <v>High Profit</v>
      </c>
      <c r="U925" s="3" t="str">
        <f t="shared" si="132"/>
        <v>Medium Discount</v>
      </c>
      <c r="V925" s="3" t="str">
        <f t="shared" si="133"/>
        <v>Priority D</v>
      </c>
      <c r="W925">
        <f t="shared" si="134"/>
        <v>92209.200000000012</v>
      </c>
      <c r="X925" t="s">
        <v>23</v>
      </c>
      <c r="Y925" t="s">
        <v>23</v>
      </c>
      <c r="Z925" t="s">
        <v>23</v>
      </c>
      <c r="AA925" t="s">
        <v>23</v>
      </c>
      <c r="AB925" t="s">
        <v>23</v>
      </c>
      <c r="AC925" t="s">
        <v>23</v>
      </c>
      <c r="AD925" t="s">
        <v>23</v>
      </c>
      <c r="AE925" t="s">
        <v>23</v>
      </c>
      <c r="AF925" t="s">
        <v>23</v>
      </c>
      <c r="AG925" t="s">
        <v>23</v>
      </c>
      <c r="AH925" t="s">
        <v>23</v>
      </c>
      <c r="AI925" t="s">
        <v>23</v>
      </c>
      <c r="AJ925" t="s">
        <v>23</v>
      </c>
    </row>
    <row r="926" spans="1:36" x14ac:dyDescent="0.35">
      <c r="A926" s="2">
        <v>1924</v>
      </c>
      <c r="B926" s="4">
        <v>45168</v>
      </c>
      <c r="C926" s="1" t="s">
        <v>41</v>
      </c>
      <c r="D926" s="1" t="s">
        <v>43</v>
      </c>
      <c r="E926">
        <v>580077</v>
      </c>
      <c r="F926">
        <v>10</v>
      </c>
      <c r="G926" s="1" t="s">
        <v>39</v>
      </c>
      <c r="H926">
        <v>54332</v>
      </c>
      <c r="I926">
        <v>56371</v>
      </c>
      <c r="J926" s="1" t="s">
        <v>27</v>
      </c>
      <c r="K926" s="3">
        <v>8</v>
      </c>
      <c r="L926" s="1" t="s">
        <v>36</v>
      </c>
      <c r="M926" s="1" t="s">
        <v>37</v>
      </c>
      <c r="N926" s="3">
        <v>2024010123</v>
      </c>
      <c r="O926" s="3">
        <f t="shared" si="126"/>
        <v>1.23</v>
      </c>
      <c r="P926" s="6">
        <f t="shared" si="127"/>
        <v>713494.71</v>
      </c>
      <c r="Q926" s="3" t="str">
        <f t="shared" si="128"/>
        <v>Excellent</v>
      </c>
      <c r="R926" s="3">
        <f t="shared" si="129"/>
        <v>2039</v>
      </c>
      <c r="S926" s="7">
        <f t="shared" si="130"/>
        <v>20390</v>
      </c>
      <c r="T926" s="3" t="str">
        <f t="shared" si="131"/>
        <v>High Profit</v>
      </c>
      <c r="U926" s="3" t="str">
        <f t="shared" si="132"/>
        <v>Medium Discount</v>
      </c>
      <c r="V926" s="3" t="str">
        <f t="shared" si="133"/>
        <v>Priority C</v>
      </c>
      <c r="W926">
        <f t="shared" si="134"/>
        <v>87011.55</v>
      </c>
      <c r="X926" t="s">
        <v>23</v>
      </c>
      <c r="Y926" t="s">
        <v>23</v>
      </c>
      <c r="Z926" t="s">
        <v>23</v>
      </c>
      <c r="AA926" t="s">
        <v>23</v>
      </c>
      <c r="AB926" t="s">
        <v>23</v>
      </c>
      <c r="AC926" t="s">
        <v>23</v>
      </c>
      <c r="AD926" t="s">
        <v>23</v>
      </c>
      <c r="AE926" t="s">
        <v>23</v>
      </c>
      <c r="AF926" t="s">
        <v>23</v>
      </c>
      <c r="AG926" t="s">
        <v>23</v>
      </c>
      <c r="AH926" t="s">
        <v>23</v>
      </c>
      <c r="AI926" t="s">
        <v>23</v>
      </c>
      <c r="AJ926" t="s">
        <v>23</v>
      </c>
    </row>
    <row r="927" spans="1:36" x14ac:dyDescent="0.35">
      <c r="A927" s="2">
        <v>1925</v>
      </c>
      <c r="B927" s="4">
        <v>45011</v>
      </c>
      <c r="C927" s="1" t="s">
        <v>34</v>
      </c>
      <c r="D927" s="1" t="s">
        <v>31</v>
      </c>
      <c r="E927">
        <v>871614</v>
      </c>
      <c r="F927">
        <v>5</v>
      </c>
      <c r="G927" s="1" t="s">
        <v>35</v>
      </c>
      <c r="H927">
        <v>43780</v>
      </c>
      <c r="I927">
        <v>46278</v>
      </c>
      <c r="J927" s="1" t="s">
        <v>33</v>
      </c>
      <c r="K927" s="3">
        <v>7</v>
      </c>
      <c r="L927" s="1" t="s">
        <v>36</v>
      </c>
      <c r="M927" s="1" t="s">
        <v>29</v>
      </c>
      <c r="N927" s="3">
        <v>2024010123</v>
      </c>
      <c r="O927" s="3">
        <f t="shared" si="126"/>
        <v>1.23</v>
      </c>
      <c r="P927" s="6">
        <f t="shared" si="127"/>
        <v>1072085.22</v>
      </c>
      <c r="Q927" s="3" t="str">
        <f t="shared" si="128"/>
        <v>Excellent</v>
      </c>
      <c r="R927" s="3">
        <f t="shared" si="129"/>
        <v>2498</v>
      </c>
      <c r="S927" s="7">
        <f t="shared" si="130"/>
        <v>12490</v>
      </c>
      <c r="T927" s="3" t="str">
        <f t="shared" si="131"/>
        <v>High Profit</v>
      </c>
      <c r="U927" s="3" t="str">
        <f t="shared" si="132"/>
        <v>Medium Discount</v>
      </c>
      <c r="V927" s="3" t="str">
        <f t="shared" si="133"/>
        <v>Priority D</v>
      </c>
      <c r="W927">
        <f t="shared" si="134"/>
        <v>87161.400000000009</v>
      </c>
      <c r="X927" t="s">
        <v>23</v>
      </c>
      <c r="Y927" t="s">
        <v>23</v>
      </c>
      <c r="Z927" t="s">
        <v>23</v>
      </c>
      <c r="AA927" t="s">
        <v>23</v>
      </c>
      <c r="AB927" t="s">
        <v>23</v>
      </c>
      <c r="AC927" t="s">
        <v>23</v>
      </c>
      <c r="AD927" t="s">
        <v>23</v>
      </c>
      <c r="AE927" t="s">
        <v>23</v>
      </c>
      <c r="AF927" t="s">
        <v>23</v>
      </c>
      <c r="AG927" t="s">
        <v>23</v>
      </c>
      <c r="AH927" t="s">
        <v>23</v>
      </c>
      <c r="AI927" t="s">
        <v>23</v>
      </c>
      <c r="AJ927" t="s">
        <v>23</v>
      </c>
    </row>
    <row r="928" spans="1:36" x14ac:dyDescent="0.35">
      <c r="A928" s="2">
        <v>1926</v>
      </c>
      <c r="B928" s="4">
        <v>45245</v>
      </c>
      <c r="C928" s="1" t="s">
        <v>30</v>
      </c>
      <c r="D928" s="1" t="s">
        <v>25</v>
      </c>
      <c r="E928">
        <v>40784</v>
      </c>
      <c r="F928">
        <v>12</v>
      </c>
      <c r="G928" s="1" t="s">
        <v>32</v>
      </c>
      <c r="H928">
        <v>37904</v>
      </c>
      <c r="I928">
        <v>42763</v>
      </c>
      <c r="J928" s="1" t="s">
        <v>27</v>
      </c>
      <c r="K928" s="3">
        <v>21</v>
      </c>
      <c r="L928" s="1" t="s">
        <v>40</v>
      </c>
      <c r="M928" s="1" t="s">
        <v>29</v>
      </c>
      <c r="N928" s="3">
        <v>2024010123</v>
      </c>
      <c r="O928" s="3">
        <f t="shared" si="126"/>
        <v>1.23</v>
      </c>
      <c r="P928" s="6">
        <f t="shared" si="127"/>
        <v>50164.32</v>
      </c>
      <c r="Q928" s="3" t="str">
        <f t="shared" si="128"/>
        <v>Excellent</v>
      </c>
      <c r="R928" s="3">
        <f t="shared" si="129"/>
        <v>4859</v>
      </c>
      <c r="S928" s="7">
        <f t="shared" si="130"/>
        <v>58308</v>
      </c>
      <c r="T928" s="3" t="str">
        <f t="shared" si="131"/>
        <v>High Profit</v>
      </c>
      <c r="U928" s="3" t="str">
        <f t="shared" si="132"/>
        <v>High Discount</v>
      </c>
      <c r="V928" s="3" t="str">
        <f t="shared" si="133"/>
        <v>Priority D</v>
      </c>
      <c r="W928">
        <f t="shared" si="134"/>
        <v>6117.5999999999995</v>
      </c>
      <c r="X928" t="s">
        <v>23</v>
      </c>
      <c r="Y928" t="s">
        <v>23</v>
      </c>
      <c r="Z928" t="s">
        <v>23</v>
      </c>
      <c r="AA928" t="s">
        <v>23</v>
      </c>
      <c r="AB928" t="s">
        <v>23</v>
      </c>
      <c r="AC928" t="s">
        <v>23</v>
      </c>
      <c r="AD928" t="s">
        <v>23</v>
      </c>
      <c r="AE928" t="s">
        <v>23</v>
      </c>
      <c r="AF928" t="s">
        <v>23</v>
      </c>
      <c r="AG928" t="s">
        <v>23</v>
      </c>
      <c r="AH928" t="s">
        <v>23</v>
      </c>
      <c r="AI928" t="s">
        <v>23</v>
      </c>
      <c r="AJ928" t="s">
        <v>23</v>
      </c>
    </row>
    <row r="929" spans="1:36" x14ac:dyDescent="0.35">
      <c r="A929" s="2">
        <v>1927</v>
      </c>
      <c r="B929" s="4">
        <v>45110</v>
      </c>
      <c r="C929" s="1" t="s">
        <v>38</v>
      </c>
      <c r="D929" s="1" t="s">
        <v>25</v>
      </c>
      <c r="E929">
        <v>297888</v>
      </c>
      <c r="F929">
        <v>4</v>
      </c>
      <c r="G929" s="1" t="s">
        <v>35</v>
      </c>
      <c r="H929">
        <v>46170</v>
      </c>
      <c r="I929">
        <v>48058</v>
      </c>
      <c r="J929" s="1" t="s">
        <v>27</v>
      </c>
      <c r="K929" s="3">
        <v>26</v>
      </c>
      <c r="L929" s="1" t="s">
        <v>28</v>
      </c>
      <c r="M929" s="1" t="s">
        <v>37</v>
      </c>
      <c r="N929" s="3">
        <v>2024010123</v>
      </c>
      <c r="O929" s="3">
        <f t="shared" si="126"/>
        <v>1.23</v>
      </c>
      <c r="P929" s="6">
        <f t="shared" si="127"/>
        <v>366402.24</v>
      </c>
      <c r="Q929" s="3" t="str">
        <f t="shared" si="128"/>
        <v>Excellent</v>
      </c>
      <c r="R929" s="3">
        <f t="shared" si="129"/>
        <v>1888</v>
      </c>
      <c r="S929" s="7">
        <f t="shared" si="130"/>
        <v>7552</v>
      </c>
      <c r="T929" s="3" t="str">
        <f t="shared" si="131"/>
        <v>High Profit</v>
      </c>
      <c r="U929" s="3" t="str">
        <f t="shared" si="132"/>
        <v>High Discount</v>
      </c>
      <c r="V929" s="3" t="str">
        <f t="shared" si="133"/>
        <v>Priority C</v>
      </c>
      <c r="W929">
        <f t="shared" si="134"/>
        <v>44683.199999999997</v>
      </c>
      <c r="X929" t="s">
        <v>23</v>
      </c>
      <c r="Y929" t="s">
        <v>23</v>
      </c>
      <c r="Z929" t="s">
        <v>23</v>
      </c>
      <c r="AA929" t="s">
        <v>23</v>
      </c>
      <c r="AB929" t="s">
        <v>23</v>
      </c>
      <c r="AC929" t="s">
        <v>23</v>
      </c>
      <c r="AD929" t="s">
        <v>23</v>
      </c>
      <c r="AE929" t="s">
        <v>23</v>
      </c>
      <c r="AF929" t="s">
        <v>23</v>
      </c>
      <c r="AG929" t="s">
        <v>23</v>
      </c>
      <c r="AH929" t="s">
        <v>23</v>
      </c>
      <c r="AI929" t="s">
        <v>23</v>
      </c>
      <c r="AJ929" t="s">
        <v>23</v>
      </c>
    </row>
    <row r="930" spans="1:36" x14ac:dyDescent="0.35">
      <c r="A930" s="2">
        <v>1928</v>
      </c>
      <c r="B930" s="4">
        <v>45244</v>
      </c>
      <c r="C930" s="1" t="s">
        <v>30</v>
      </c>
      <c r="D930" s="1" t="s">
        <v>42</v>
      </c>
      <c r="E930">
        <v>878694</v>
      </c>
      <c r="F930">
        <v>12</v>
      </c>
      <c r="G930" s="1" t="s">
        <v>35</v>
      </c>
      <c r="H930">
        <v>47224</v>
      </c>
      <c r="I930">
        <v>52169</v>
      </c>
      <c r="J930" s="1" t="s">
        <v>33</v>
      </c>
      <c r="K930" s="3">
        <v>16</v>
      </c>
      <c r="L930" s="1" t="s">
        <v>28</v>
      </c>
      <c r="M930" s="1" t="s">
        <v>29</v>
      </c>
      <c r="N930" s="3">
        <v>2024010123</v>
      </c>
      <c r="O930" s="3">
        <f t="shared" si="126"/>
        <v>1.23</v>
      </c>
      <c r="P930" s="6">
        <f t="shared" si="127"/>
        <v>1080793.6199999999</v>
      </c>
      <c r="Q930" s="3" t="str">
        <f t="shared" si="128"/>
        <v>Excellent</v>
      </c>
      <c r="R930" s="3">
        <f t="shared" si="129"/>
        <v>4945</v>
      </c>
      <c r="S930" s="7">
        <f t="shared" si="130"/>
        <v>59340</v>
      </c>
      <c r="T930" s="3" t="str">
        <f t="shared" si="131"/>
        <v>High Profit</v>
      </c>
      <c r="U930" s="3" t="str">
        <f t="shared" si="132"/>
        <v>High Discount</v>
      </c>
      <c r="V930" s="3" t="str">
        <f t="shared" si="133"/>
        <v>Priority D</v>
      </c>
      <c r="W930">
        <f t="shared" si="134"/>
        <v>87869.400000000009</v>
      </c>
      <c r="X930" t="s">
        <v>23</v>
      </c>
      <c r="Y930" t="s">
        <v>23</v>
      </c>
      <c r="Z930" t="s">
        <v>23</v>
      </c>
      <c r="AA930" t="s">
        <v>23</v>
      </c>
      <c r="AB930" t="s">
        <v>23</v>
      </c>
      <c r="AC930" t="s">
        <v>23</v>
      </c>
      <c r="AD930" t="s">
        <v>23</v>
      </c>
      <c r="AE930" t="s">
        <v>23</v>
      </c>
      <c r="AF930" t="s">
        <v>23</v>
      </c>
      <c r="AG930" t="s">
        <v>23</v>
      </c>
      <c r="AH930" t="s">
        <v>23</v>
      </c>
      <c r="AI930" t="s">
        <v>23</v>
      </c>
      <c r="AJ930" t="s">
        <v>23</v>
      </c>
    </row>
    <row r="931" spans="1:36" x14ac:dyDescent="0.35">
      <c r="A931" s="2">
        <v>1929</v>
      </c>
      <c r="B931" s="4">
        <v>45289</v>
      </c>
      <c r="C931" s="1" t="s">
        <v>38</v>
      </c>
      <c r="D931" s="1" t="s">
        <v>43</v>
      </c>
      <c r="E931">
        <v>512006</v>
      </c>
      <c r="F931">
        <v>4</v>
      </c>
      <c r="G931" s="1" t="s">
        <v>32</v>
      </c>
      <c r="H931">
        <v>52385</v>
      </c>
      <c r="I931">
        <v>55372</v>
      </c>
      <c r="J931" s="1" t="s">
        <v>27</v>
      </c>
      <c r="K931" s="3">
        <v>17</v>
      </c>
      <c r="L931" s="1" t="s">
        <v>40</v>
      </c>
      <c r="M931" s="1" t="s">
        <v>29</v>
      </c>
      <c r="N931" s="3">
        <v>2024010123</v>
      </c>
      <c r="O931" s="3">
        <f t="shared" si="126"/>
        <v>1.23</v>
      </c>
      <c r="P931" s="6">
        <f t="shared" si="127"/>
        <v>629767.38</v>
      </c>
      <c r="Q931" s="3" t="str">
        <f t="shared" si="128"/>
        <v>Excellent</v>
      </c>
      <c r="R931" s="3">
        <f t="shared" si="129"/>
        <v>2987</v>
      </c>
      <c r="S931" s="7">
        <f t="shared" si="130"/>
        <v>11948</v>
      </c>
      <c r="T931" s="3" t="str">
        <f t="shared" si="131"/>
        <v>High Profit</v>
      </c>
      <c r="U931" s="3" t="str">
        <f t="shared" si="132"/>
        <v>High Discount</v>
      </c>
      <c r="V931" s="3" t="str">
        <f t="shared" si="133"/>
        <v>Priority D</v>
      </c>
      <c r="W931">
        <f t="shared" si="134"/>
        <v>76800.899999999994</v>
      </c>
      <c r="X931" t="s">
        <v>23</v>
      </c>
      <c r="Y931" t="s">
        <v>23</v>
      </c>
      <c r="Z931" t="s">
        <v>23</v>
      </c>
      <c r="AA931" t="s">
        <v>23</v>
      </c>
      <c r="AB931" t="s">
        <v>23</v>
      </c>
      <c r="AC931" t="s">
        <v>23</v>
      </c>
      <c r="AD931" t="s">
        <v>23</v>
      </c>
      <c r="AE931" t="s">
        <v>23</v>
      </c>
      <c r="AF931" t="s">
        <v>23</v>
      </c>
      <c r="AG931" t="s">
        <v>23</v>
      </c>
      <c r="AH931" t="s">
        <v>23</v>
      </c>
      <c r="AI931" t="s">
        <v>23</v>
      </c>
      <c r="AJ931" t="s">
        <v>23</v>
      </c>
    </row>
    <row r="932" spans="1:36" x14ac:dyDescent="0.35">
      <c r="A932" s="2">
        <v>1930</v>
      </c>
      <c r="B932" s="4">
        <v>45072</v>
      </c>
      <c r="C932" s="1" t="s">
        <v>34</v>
      </c>
      <c r="D932" s="1" t="s">
        <v>43</v>
      </c>
      <c r="E932">
        <v>73924</v>
      </c>
      <c r="F932">
        <v>23</v>
      </c>
      <c r="G932" s="1" t="s">
        <v>39</v>
      </c>
      <c r="H932">
        <v>24749</v>
      </c>
      <c r="I932">
        <v>34333</v>
      </c>
      <c r="J932" s="1" t="s">
        <v>33</v>
      </c>
      <c r="K932" s="3">
        <v>0</v>
      </c>
      <c r="L932" s="1" t="s">
        <v>36</v>
      </c>
      <c r="M932" s="1" t="s">
        <v>37</v>
      </c>
      <c r="N932" s="3">
        <v>2024010123</v>
      </c>
      <c r="O932" s="3">
        <f t="shared" si="126"/>
        <v>1.23</v>
      </c>
      <c r="P932" s="6">
        <f t="shared" si="127"/>
        <v>90926.52</v>
      </c>
      <c r="Q932" s="3" t="str">
        <f t="shared" si="128"/>
        <v>Excellent</v>
      </c>
      <c r="R932" s="3">
        <f t="shared" si="129"/>
        <v>9584</v>
      </c>
      <c r="S932" s="7">
        <f t="shared" si="130"/>
        <v>220432</v>
      </c>
      <c r="T932" s="3" t="str">
        <f t="shared" si="131"/>
        <v>High Profit</v>
      </c>
      <c r="U932" s="3" t="str">
        <f t="shared" si="132"/>
        <v>No Discount</v>
      </c>
      <c r="V932" s="3" t="str">
        <f t="shared" si="133"/>
        <v>Priority B</v>
      </c>
      <c r="W932">
        <f t="shared" si="134"/>
        <v>7392.4000000000005</v>
      </c>
      <c r="X932" t="s">
        <v>23</v>
      </c>
      <c r="Y932" t="s">
        <v>23</v>
      </c>
      <c r="Z932" t="s">
        <v>23</v>
      </c>
      <c r="AA932" t="s">
        <v>23</v>
      </c>
      <c r="AB932" t="s">
        <v>23</v>
      </c>
      <c r="AC932" t="s">
        <v>23</v>
      </c>
      <c r="AD932" t="s">
        <v>23</v>
      </c>
      <c r="AE932" t="s">
        <v>23</v>
      </c>
      <c r="AF932" t="s">
        <v>23</v>
      </c>
      <c r="AG932" t="s">
        <v>23</v>
      </c>
      <c r="AH932" t="s">
        <v>23</v>
      </c>
      <c r="AI932" t="s">
        <v>23</v>
      </c>
      <c r="AJ932" t="s">
        <v>23</v>
      </c>
    </row>
    <row r="933" spans="1:36" x14ac:dyDescent="0.35">
      <c r="A933" s="2">
        <v>1931</v>
      </c>
      <c r="B933" s="4">
        <v>44961</v>
      </c>
      <c r="C933" s="1" t="s">
        <v>41</v>
      </c>
      <c r="D933" s="1" t="s">
        <v>25</v>
      </c>
      <c r="E933">
        <v>809903</v>
      </c>
      <c r="F933">
        <v>18</v>
      </c>
      <c r="G933" s="1" t="s">
        <v>32</v>
      </c>
      <c r="H933">
        <v>19022</v>
      </c>
      <c r="I933">
        <v>28330</v>
      </c>
      <c r="J933" s="1" t="s">
        <v>27</v>
      </c>
      <c r="K933" s="3">
        <v>3</v>
      </c>
      <c r="L933" s="1" t="s">
        <v>36</v>
      </c>
      <c r="M933" s="1" t="s">
        <v>29</v>
      </c>
      <c r="N933" s="3">
        <v>2024010123</v>
      </c>
      <c r="O933" s="3">
        <f t="shared" si="126"/>
        <v>1.23</v>
      </c>
      <c r="P933" s="6">
        <f t="shared" si="127"/>
        <v>996180.69</v>
      </c>
      <c r="Q933" s="3" t="str">
        <f t="shared" si="128"/>
        <v>Excellent</v>
      </c>
      <c r="R933" s="3">
        <f t="shared" si="129"/>
        <v>9308</v>
      </c>
      <c r="S933" s="7">
        <f t="shared" si="130"/>
        <v>167544</v>
      </c>
      <c r="T933" s="3" t="str">
        <f t="shared" si="131"/>
        <v>High Profit</v>
      </c>
      <c r="U933" s="3" t="str">
        <f t="shared" si="132"/>
        <v>Low Discount</v>
      </c>
      <c r="V933" s="3" t="str">
        <f t="shared" si="133"/>
        <v>Priority C</v>
      </c>
      <c r="W933">
        <f t="shared" si="134"/>
        <v>121485.45</v>
      </c>
      <c r="X933" t="s">
        <v>23</v>
      </c>
      <c r="Y933" t="s">
        <v>23</v>
      </c>
      <c r="Z933" t="s">
        <v>23</v>
      </c>
      <c r="AA933" t="s">
        <v>23</v>
      </c>
      <c r="AB933" t="s">
        <v>23</v>
      </c>
      <c r="AC933" t="s">
        <v>23</v>
      </c>
      <c r="AD933" t="s">
        <v>23</v>
      </c>
      <c r="AE933" t="s">
        <v>23</v>
      </c>
      <c r="AF933" t="s">
        <v>23</v>
      </c>
      <c r="AG933" t="s">
        <v>23</v>
      </c>
      <c r="AH933" t="s">
        <v>23</v>
      </c>
      <c r="AI933" t="s">
        <v>23</v>
      </c>
      <c r="AJ933" t="s">
        <v>23</v>
      </c>
    </row>
    <row r="934" spans="1:36" x14ac:dyDescent="0.35">
      <c r="A934" s="2">
        <v>1932</v>
      </c>
      <c r="B934" s="4">
        <v>44942</v>
      </c>
      <c r="C934" s="1" t="s">
        <v>38</v>
      </c>
      <c r="D934" s="1" t="s">
        <v>43</v>
      </c>
      <c r="E934">
        <v>979421</v>
      </c>
      <c r="F934">
        <v>12</v>
      </c>
      <c r="G934" s="1" t="s">
        <v>35</v>
      </c>
      <c r="H934">
        <v>17352</v>
      </c>
      <c r="I934">
        <v>24932</v>
      </c>
      <c r="J934" s="1" t="s">
        <v>33</v>
      </c>
      <c r="K934" s="3">
        <v>2</v>
      </c>
      <c r="L934" s="1" t="s">
        <v>36</v>
      </c>
      <c r="M934" s="1" t="s">
        <v>29</v>
      </c>
      <c r="N934" s="3">
        <v>2024010123</v>
      </c>
      <c r="O934" s="3">
        <f t="shared" si="126"/>
        <v>1.23</v>
      </c>
      <c r="P934" s="6">
        <f t="shared" si="127"/>
        <v>1204687.83</v>
      </c>
      <c r="Q934" s="3" t="str">
        <f t="shared" si="128"/>
        <v>Excellent</v>
      </c>
      <c r="R934" s="3">
        <f t="shared" si="129"/>
        <v>7580</v>
      </c>
      <c r="S934" s="7">
        <f t="shared" si="130"/>
        <v>90960</v>
      </c>
      <c r="T934" s="3" t="str">
        <f t="shared" si="131"/>
        <v>High Profit</v>
      </c>
      <c r="U934" s="3" t="str">
        <f t="shared" si="132"/>
        <v>Low Discount</v>
      </c>
      <c r="V934" s="3" t="str">
        <f t="shared" si="133"/>
        <v>Priority D</v>
      </c>
      <c r="W934">
        <f t="shared" si="134"/>
        <v>97942.1</v>
      </c>
      <c r="X934" t="s">
        <v>23</v>
      </c>
      <c r="Y934" t="s">
        <v>23</v>
      </c>
      <c r="Z934" t="s">
        <v>23</v>
      </c>
      <c r="AA934" t="s">
        <v>23</v>
      </c>
      <c r="AB934" t="s">
        <v>23</v>
      </c>
      <c r="AC934" t="s">
        <v>23</v>
      </c>
      <c r="AD934" t="s">
        <v>23</v>
      </c>
      <c r="AE934" t="s">
        <v>23</v>
      </c>
      <c r="AF934" t="s">
        <v>23</v>
      </c>
      <c r="AG934" t="s">
        <v>23</v>
      </c>
      <c r="AH934" t="s">
        <v>23</v>
      </c>
      <c r="AI934" t="s">
        <v>23</v>
      </c>
      <c r="AJ934" t="s">
        <v>23</v>
      </c>
    </row>
    <row r="935" spans="1:36" x14ac:dyDescent="0.35">
      <c r="A935" s="2">
        <v>1933</v>
      </c>
      <c r="B935" s="4">
        <v>44993</v>
      </c>
      <c r="C935" s="1" t="s">
        <v>41</v>
      </c>
      <c r="D935" s="1" t="s">
        <v>42</v>
      </c>
      <c r="E935">
        <v>220084</v>
      </c>
      <c r="F935">
        <v>12</v>
      </c>
      <c r="G935" s="1" t="s">
        <v>32</v>
      </c>
      <c r="H935">
        <v>15407</v>
      </c>
      <c r="I935">
        <v>28823</v>
      </c>
      <c r="J935" s="1" t="s">
        <v>33</v>
      </c>
      <c r="K935" s="3">
        <v>5</v>
      </c>
      <c r="L935" s="1" t="s">
        <v>28</v>
      </c>
      <c r="M935" s="1" t="s">
        <v>29</v>
      </c>
      <c r="N935" s="3">
        <v>2024010123</v>
      </c>
      <c r="O935" s="3">
        <f t="shared" si="126"/>
        <v>1.23</v>
      </c>
      <c r="P935" s="6">
        <f t="shared" si="127"/>
        <v>270703.32</v>
      </c>
      <c r="Q935" s="3" t="str">
        <f t="shared" si="128"/>
        <v>Excellent</v>
      </c>
      <c r="R935" s="3">
        <f t="shared" si="129"/>
        <v>13416</v>
      </c>
      <c r="S935" s="7">
        <f t="shared" si="130"/>
        <v>160992</v>
      </c>
      <c r="T935" s="3" t="str">
        <f t="shared" si="131"/>
        <v>High Profit</v>
      </c>
      <c r="U935" s="3" t="str">
        <f t="shared" si="132"/>
        <v>Medium Discount</v>
      </c>
      <c r="V935" s="3" t="str">
        <f t="shared" si="133"/>
        <v>Priority D</v>
      </c>
      <c r="W935">
        <f t="shared" si="134"/>
        <v>22008.400000000001</v>
      </c>
      <c r="X935" t="s">
        <v>23</v>
      </c>
      <c r="Y935" t="s">
        <v>23</v>
      </c>
      <c r="Z935" t="s">
        <v>23</v>
      </c>
      <c r="AA935" t="s">
        <v>23</v>
      </c>
      <c r="AB935" t="s">
        <v>23</v>
      </c>
      <c r="AC935" t="s">
        <v>23</v>
      </c>
      <c r="AD935" t="s">
        <v>23</v>
      </c>
      <c r="AE935" t="s">
        <v>23</v>
      </c>
      <c r="AF935" t="s">
        <v>23</v>
      </c>
      <c r="AG935" t="s">
        <v>23</v>
      </c>
      <c r="AH935" t="s">
        <v>23</v>
      </c>
      <c r="AI935" t="s">
        <v>23</v>
      </c>
      <c r="AJ935" t="s">
        <v>23</v>
      </c>
    </row>
    <row r="936" spans="1:36" x14ac:dyDescent="0.35">
      <c r="A936" s="2">
        <v>1934</v>
      </c>
      <c r="B936" s="4">
        <v>44991</v>
      </c>
      <c r="C936" s="1" t="s">
        <v>41</v>
      </c>
      <c r="D936" s="1" t="s">
        <v>43</v>
      </c>
      <c r="E936">
        <v>211821</v>
      </c>
      <c r="F936">
        <v>12</v>
      </c>
      <c r="G936" s="1" t="s">
        <v>39</v>
      </c>
      <c r="H936">
        <v>15581</v>
      </c>
      <c r="I936">
        <v>23042</v>
      </c>
      <c r="J936" s="1" t="s">
        <v>27</v>
      </c>
      <c r="K936" s="3">
        <v>11</v>
      </c>
      <c r="L936" s="1" t="s">
        <v>28</v>
      </c>
      <c r="M936" s="1" t="s">
        <v>29</v>
      </c>
      <c r="N936" s="3">
        <v>2024010123</v>
      </c>
      <c r="O936" s="3">
        <f t="shared" si="126"/>
        <v>1.23</v>
      </c>
      <c r="P936" s="6">
        <f t="shared" si="127"/>
        <v>260539.83</v>
      </c>
      <c r="Q936" s="3" t="str">
        <f t="shared" si="128"/>
        <v>Excellent</v>
      </c>
      <c r="R936" s="3">
        <f t="shared" si="129"/>
        <v>7461</v>
      </c>
      <c r="S936" s="7">
        <f t="shared" si="130"/>
        <v>89532</v>
      </c>
      <c r="T936" s="3" t="str">
        <f t="shared" si="131"/>
        <v>High Profit</v>
      </c>
      <c r="U936" s="3" t="str">
        <f t="shared" si="132"/>
        <v>Medium Discount</v>
      </c>
      <c r="V936" s="3" t="str">
        <f t="shared" si="133"/>
        <v>Priority D</v>
      </c>
      <c r="W936">
        <f t="shared" si="134"/>
        <v>31773.149999999998</v>
      </c>
      <c r="X936" t="s">
        <v>23</v>
      </c>
      <c r="Y936" t="s">
        <v>23</v>
      </c>
      <c r="Z936" t="s">
        <v>23</v>
      </c>
      <c r="AA936" t="s">
        <v>23</v>
      </c>
      <c r="AB936" t="s">
        <v>23</v>
      </c>
      <c r="AC936" t="s">
        <v>23</v>
      </c>
      <c r="AD936" t="s">
        <v>23</v>
      </c>
      <c r="AE936" t="s">
        <v>23</v>
      </c>
      <c r="AF936" t="s">
        <v>23</v>
      </c>
      <c r="AG936" t="s">
        <v>23</v>
      </c>
      <c r="AH936" t="s">
        <v>23</v>
      </c>
      <c r="AI936" t="s">
        <v>23</v>
      </c>
      <c r="AJ936" t="s">
        <v>23</v>
      </c>
    </row>
    <row r="937" spans="1:36" x14ac:dyDescent="0.35">
      <c r="A937" s="2">
        <v>1935</v>
      </c>
      <c r="B937" s="4">
        <v>45053</v>
      </c>
      <c r="C937" s="1" t="s">
        <v>30</v>
      </c>
      <c r="D937" s="1" t="s">
        <v>31</v>
      </c>
      <c r="E937">
        <v>604192</v>
      </c>
      <c r="F937">
        <v>45</v>
      </c>
      <c r="G937" s="1" t="s">
        <v>39</v>
      </c>
      <c r="H937">
        <v>25842</v>
      </c>
      <c r="I937">
        <v>38526</v>
      </c>
      <c r="J937" s="1" t="s">
        <v>33</v>
      </c>
      <c r="K937" s="3">
        <v>5</v>
      </c>
      <c r="L937" s="1" t="s">
        <v>40</v>
      </c>
      <c r="M937" s="1" t="s">
        <v>37</v>
      </c>
      <c r="N937" s="3">
        <v>2024010123</v>
      </c>
      <c r="O937" s="3">
        <f t="shared" si="126"/>
        <v>1.23</v>
      </c>
      <c r="P937" s="6">
        <f t="shared" si="127"/>
        <v>743156.16</v>
      </c>
      <c r="Q937" s="3" t="str">
        <f t="shared" si="128"/>
        <v>Excellent</v>
      </c>
      <c r="R937" s="3">
        <f t="shared" si="129"/>
        <v>12684</v>
      </c>
      <c r="S937" s="7">
        <f t="shared" si="130"/>
        <v>570780</v>
      </c>
      <c r="T937" s="3" t="str">
        <f t="shared" si="131"/>
        <v>High Profit</v>
      </c>
      <c r="U937" s="3" t="str">
        <f t="shared" si="132"/>
        <v>Medium Discount</v>
      </c>
      <c r="V937" s="3" t="str">
        <f t="shared" si="133"/>
        <v>Priority A</v>
      </c>
      <c r="W937">
        <f t="shared" si="134"/>
        <v>60419.200000000004</v>
      </c>
      <c r="X937" t="s">
        <v>23</v>
      </c>
      <c r="Y937" t="s">
        <v>23</v>
      </c>
      <c r="Z937" t="s">
        <v>23</v>
      </c>
      <c r="AA937" t="s">
        <v>23</v>
      </c>
      <c r="AB937" t="s">
        <v>23</v>
      </c>
      <c r="AC937" t="s">
        <v>23</v>
      </c>
      <c r="AD937" t="s">
        <v>23</v>
      </c>
      <c r="AE937" t="s">
        <v>23</v>
      </c>
      <c r="AF937" t="s">
        <v>23</v>
      </c>
      <c r="AG937" t="s">
        <v>23</v>
      </c>
      <c r="AH937" t="s">
        <v>23</v>
      </c>
      <c r="AI937" t="s">
        <v>23</v>
      </c>
      <c r="AJ937" t="s">
        <v>23</v>
      </c>
    </row>
    <row r="938" spans="1:36" x14ac:dyDescent="0.35">
      <c r="A938" s="2">
        <v>1936</v>
      </c>
      <c r="B938" s="4">
        <v>45223</v>
      </c>
      <c r="C938" s="1" t="s">
        <v>24</v>
      </c>
      <c r="D938" s="1" t="s">
        <v>25</v>
      </c>
      <c r="E938">
        <v>411624</v>
      </c>
      <c r="F938">
        <v>27</v>
      </c>
      <c r="G938" s="1" t="s">
        <v>26</v>
      </c>
      <c r="H938">
        <v>23347</v>
      </c>
      <c r="I938">
        <v>36022</v>
      </c>
      <c r="J938" s="1" t="s">
        <v>33</v>
      </c>
      <c r="K938" s="3">
        <v>16</v>
      </c>
      <c r="L938" s="1" t="s">
        <v>28</v>
      </c>
      <c r="M938" s="1" t="s">
        <v>29</v>
      </c>
      <c r="N938" s="3">
        <v>2024010123</v>
      </c>
      <c r="O938" s="3">
        <f t="shared" si="126"/>
        <v>1.23</v>
      </c>
      <c r="P938" s="6">
        <f t="shared" si="127"/>
        <v>506297.52</v>
      </c>
      <c r="Q938" s="3" t="str">
        <f t="shared" si="128"/>
        <v>Excellent</v>
      </c>
      <c r="R938" s="3">
        <f t="shared" si="129"/>
        <v>12675</v>
      </c>
      <c r="S938" s="7">
        <f t="shared" si="130"/>
        <v>342225</v>
      </c>
      <c r="T938" s="3" t="str">
        <f t="shared" si="131"/>
        <v>High Profit</v>
      </c>
      <c r="U938" s="3" t="str">
        <f t="shared" si="132"/>
        <v>High Discount</v>
      </c>
      <c r="V938" s="3" t="str">
        <f t="shared" si="133"/>
        <v>Priority C</v>
      </c>
      <c r="W938">
        <f t="shared" si="134"/>
        <v>41162.400000000001</v>
      </c>
      <c r="X938" t="s">
        <v>23</v>
      </c>
      <c r="Y938" t="s">
        <v>23</v>
      </c>
      <c r="Z938" t="s">
        <v>23</v>
      </c>
      <c r="AA938" t="s">
        <v>23</v>
      </c>
      <c r="AB938" t="s">
        <v>23</v>
      </c>
      <c r="AC938" t="s">
        <v>23</v>
      </c>
      <c r="AD938" t="s">
        <v>23</v>
      </c>
      <c r="AE938" t="s">
        <v>23</v>
      </c>
      <c r="AF938" t="s">
        <v>23</v>
      </c>
      <c r="AG938" t="s">
        <v>23</v>
      </c>
      <c r="AH938" t="s">
        <v>23</v>
      </c>
      <c r="AI938" t="s">
        <v>23</v>
      </c>
      <c r="AJ938" t="s">
        <v>23</v>
      </c>
    </row>
    <row r="939" spans="1:36" x14ac:dyDescent="0.35">
      <c r="A939" s="2">
        <v>1937</v>
      </c>
      <c r="B939" s="4">
        <v>45056</v>
      </c>
      <c r="C939" s="1" t="s">
        <v>34</v>
      </c>
      <c r="D939" s="1" t="s">
        <v>43</v>
      </c>
      <c r="E939">
        <v>938518</v>
      </c>
      <c r="F939">
        <v>28</v>
      </c>
      <c r="G939" s="1" t="s">
        <v>26</v>
      </c>
      <c r="H939">
        <v>10632</v>
      </c>
      <c r="I939">
        <v>17191</v>
      </c>
      <c r="J939" s="1" t="s">
        <v>27</v>
      </c>
      <c r="K939" s="3">
        <v>18</v>
      </c>
      <c r="L939" s="1" t="s">
        <v>40</v>
      </c>
      <c r="M939" s="1" t="s">
        <v>29</v>
      </c>
      <c r="N939" s="3">
        <v>2024010123</v>
      </c>
      <c r="O939" s="3">
        <f t="shared" si="126"/>
        <v>1.23</v>
      </c>
      <c r="P939" s="6">
        <f t="shared" si="127"/>
        <v>1154377.1399999999</v>
      </c>
      <c r="Q939" s="3" t="str">
        <f t="shared" si="128"/>
        <v>Excellent</v>
      </c>
      <c r="R939" s="3">
        <f t="shared" si="129"/>
        <v>6559</v>
      </c>
      <c r="S939" s="7">
        <f t="shared" si="130"/>
        <v>183652</v>
      </c>
      <c r="T939" s="3" t="str">
        <f t="shared" si="131"/>
        <v>High Profit</v>
      </c>
      <c r="U939" s="3" t="str">
        <f t="shared" si="132"/>
        <v>High Discount</v>
      </c>
      <c r="V939" s="3" t="str">
        <f t="shared" si="133"/>
        <v>Priority C</v>
      </c>
      <c r="W939">
        <f t="shared" si="134"/>
        <v>140777.69999999998</v>
      </c>
      <c r="X939" t="s">
        <v>23</v>
      </c>
      <c r="Y939" t="s">
        <v>23</v>
      </c>
      <c r="Z939" t="s">
        <v>23</v>
      </c>
      <c r="AA939" t="s">
        <v>23</v>
      </c>
      <c r="AB939" t="s">
        <v>23</v>
      </c>
      <c r="AC939" t="s">
        <v>23</v>
      </c>
      <c r="AD939" t="s">
        <v>23</v>
      </c>
      <c r="AE939" t="s">
        <v>23</v>
      </c>
      <c r="AF939" t="s">
        <v>23</v>
      </c>
      <c r="AG939" t="s">
        <v>23</v>
      </c>
      <c r="AH939" t="s">
        <v>23</v>
      </c>
      <c r="AI939" t="s">
        <v>23</v>
      </c>
      <c r="AJ939" t="s">
        <v>23</v>
      </c>
    </row>
    <row r="940" spans="1:36" x14ac:dyDescent="0.35">
      <c r="A940" s="2">
        <v>1938</v>
      </c>
      <c r="B940" s="4">
        <v>44971</v>
      </c>
      <c r="C940" s="1" t="s">
        <v>30</v>
      </c>
      <c r="D940" s="1" t="s">
        <v>42</v>
      </c>
      <c r="E940">
        <v>462646</v>
      </c>
      <c r="F940">
        <v>12</v>
      </c>
      <c r="G940" s="1" t="s">
        <v>35</v>
      </c>
      <c r="H940">
        <v>15743</v>
      </c>
      <c r="I940">
        <v>22730</v>
      </c>
      <c r="J940" s="1" t="s">
        <v>33</v>
      </c>
      <c r="K940" s="3">
        <v>28</v>
      </c>
      <c r="L940" s="1" t="s">
        <v>36</v>
      </c>
      <c r="M940" s="1" t="s">
        <v>37</v>
      </c>
      <c r="N940" s="3">
        <v>2024010123</v>
      </c>
      <c r="O940" s="3">
        <f t="shared" si="126"/>
        <v>1.23</v>
      </c>
      <c r="P940" s="6">
        <f t="shared" si="127"/>
        <v>569054.57999999996</v>
      </c>
      <c r="Q940" s="3" t="str">
        <f t="shared" si="128"/>
        <v>Excellent</v>
      </c>
      <c r="R940" s="3">
        <f t="shared" si="129"/>
        <v>6987</v>
      </c>
      <c r="S940" s="7">
        <f t="shared" si="130"/>
        <v>83844</v>
      </c>
      <c r="T940" s="3" t="str">
        <f t="shared" si="131"/>
        <v>High Profit</v>
      </c>
      <c r="U940" s="3" t="str">
        <f t="shared" si="132"/>
        <v>High Discount</v>
      </c>
      <c r="V940" s="3" t="str">
        <f t="shared" si="133"/>
        <v>Priority C</v>
      </c>
      <c r="W940">
        <f t="shared" si="134"/>
        <v>46264.600000000006</v>
      </c>
      <c r="X940" t="s">
        <v>23</v>
      </c>
      <c r="Y940" t="s">
        <v>23</v>
      </c>
      <c r="Z940" t="s">
        <v>23</v>
      </c>
      <c r="AA940" t="s">
        <v>23</v>
      </c>
      <c r="AB940" t="s">
        <v>23</v>
      </c>
      <c r="AC940" t="s">
        <v>23</v>
      </c>
      <c r="AD940" t="s">
        <v>23</v>
      </c>
      <c r="AE940" t="s">
        <v>23</v>
      </c>
      <c r="AF940" t="s">
        <v>23</v>
      </c>
      <c r="AG940" t="s">
        <v>23</v>
      </c>
      <c r="AH940" t="s">
        <v>23</v>
      </c>
      <c r="AI940" t="s">
        <v>23</v>
      </c>
      <c r="AJ940" t="s">
        <v>23</v>
      </c>
    </row>
    <row r="941" spans="1:36" x14ac:dyDescent="0.35">
      <c r="A941" s="2">
        <v>1939</v>
      </c>
      <c r="B941" s="4">
        <v>45129</v>
      </c>
      <c r="C941" s="1" t="s">
        <v>24</v>
      </c>
      <c r="D941" s="1" t="s">
        <v>25</v>
      </c>
      <c r="E941">
        <v>424356</v>
      </c>
      <c r="F941">
        <v>49</v>
      </c>
      <c r="G941" s="1" t="s">
        <v>32</v>
      </c>
      <c r="H941">
        <v>12168</v>
      </c>
      <c r="I941">
        <v>23156</v>
      </c>
      <c r="J941" s="1" t="s">
        <v>27</v>
      </c>
      <c r="K941" s="3">
        <v>21</v>
      </c>
      <c r="L941" s="1" t="s">
        <v>40</v>
      </c>
      <c r="M941" s="1" t="s">
        <v>29</v>
      </c>
      <c r="N941" s="3">
        <v>2024010123</v>
      </c>
      <c r="O941" s="3">
        <f t="shared" si="126"/>
        <v>1.23</v>
      </c>
      <c r="P941" s="6">
        <f t="shared" si="127"/>
        <v>521957.88</v>
      </c>
      <c r="Q941" s="3" t="str">
        <f t="shared" si="128"/>
        <v>Excellent</v>
      </c>
      <c r="R941" s="3">
        <f t="shared" si="129"/>
        <v>10988</v>
      </c>
      <c r="S941" s="7">
        <f t="shared" si="130"/>
        <v>538412</v>
      </c>
      <c r="T941" s="3" t="str">
        <f t="shared" si="131"/>
        <v>High Profit</v>
      </c>
      <c r="U941" s="3" t="str">
        <f t="shared" si="132"/>
        <v>High Discount</v>
      </c>
      <c r="V941" s="3" t="str">
        <f t="shared" si="133"/>
        <v>Priority B</v>
      </c>
      <c r="W941">
        <f t="shared" si="134"/>
        <v>63653.399999999994</v>
      </c>
      <c r="X941" t="s">
        <v>23</v>
      </c>
      <c r="Y941" t="s">
        <v>23</v>
      </c>
      <c r="Z941" t="s">
        <v>23</v>
      </c>
      <c r="AA941" t="s">
        <v>23</v>
      </c>
      <c r="AB941" t="s">
        <v>23</v>
      </c>
      <c r="AC941" t="s">
        <v>23</v>
      </c>
      <c r="AD941" t="s">
        <v>23</v>
      </c>
      <c r="AE941" t="s">
        <v>23</v>
      </c>
      <c r="AF941" t="s">
        <v>23</v>
      </c>
      <c r="AG941" t="s">
        <v>23</v>
      </c>
      <c r="AH941" t="s">
        <v>23</v>
      </c>
      <c r="AI941" t="s">
        <v>23</v>
      </c>
      <c r="AJ941" t="s">
        <v>23</v>
      </c>
    </row>
    <row r="942" spans="1:36" x14ac:dyDescent="0.35">
      <c r="A942" s="2">
        <v>1940</v>
      </c>
      <c r="B942" s="4">
        <v>45287</v>
      </c>
      <c r="C942" s="1" t="s">
        <v>41</v>
      </c>
      <c r="D942" s="1" t="s">
        <v>42</v>
      </c>
      <c r="E942">
        <v>208082</v>
      </c>
      <c r="F942">
        <v>18</v>
      </c>
      <c r="G942" s="1" t="s">
        <v>32</v>
      </c>
      <c r="H942">
        <v>39392</v>
      </c>
      <c r="I942">
        <v>47065</v>
      </c>
      <c r="J942" s="1" t="s">
        <v>27</v>
      </c>
      <c r="K942" s="3">
        <v>0</v>
      </c>
      <c r="L942" s="1" t="s">
        <v>28</v>
      </c>
      <c r="M942" s="1" t="s">
        <v>29</v>
      </c>
      <c r="N942" s="3">
        <v>2024010123</v>
      </c>
      <c r="O942" s="3">
        <f t="shared" si="126"/>
        <v>1.23</v>
      </c>
      <c r="P942" s="6">
        <f t="shared" si="127"/>
        <v>255940.86</v>
      </c>
      <c r="Q942" s="3" t="str">
        <f t="shared" si="128"/>
        <v>Excellent</v>
      </c>
      <c r="R942" s="3">
        <f t="shared" si="129"/>
        <v>7673</v>
      </c>
      <c r="S942" s="7">
        <f t="shared" si="130"/>
        <v>138114</v>
      </c>
      <c r="T942" s="3" t="str">
        <f t="shared" si="131"/>
        <v>High Profit</v>
      </c>
      <c r="U942" s="3" t="str">
        <f t="shared" si="132"/>
        <v>No Discount</v>
      </c>
      <c r="V942" s="3" t="str">
        <f t="shared" si="133"/>
        <v>Priority C</v>
      </c>
      <c r="W942">
        <f t="shared" si="134"/>
        <v>31212.3</v>
      </c>
      <c r="X942" t="s">
        <v>23</v>
      </c>
      <c r="Y942" t="s">
        <v>23</v>
      </c>
      <c r="Z942" t="s">
        <v>23</v>
      </c>
      <c r="AA942" t="s">
        <v>23</v>
      </c>
      <c r="AB942" t="s">
        <v>23</v>
      </c>
      <c r="AC942" t="s">
        <v>23</v>
      </c>
      <c r="AD942" t="s">
        <v>23</v>
      </c>
      <c r="AE942" t="s">
        <v>23</v>
      </c>
      <c r="AF942" t="s">
        <v>23</v>
      </c>
      <c r="AG942" t="s">
        <v>23</v>
      </c>
      <c r="AH942" t="s">
        <v>23</v>
      </c>
      <c r="AI942" t="s">
        <v>23</v>
      </c>
      <c r="AJ942" t="s">
        <v>23</v>
      </c>
    </row>
    <row r="943" spans="1:36" x14ac:dyDescent="0.35">
      <c r="A943" s="2">
        <v>1941</v>
      </c>
      <c r="B943" s="4">
        <v>45033</v>
      </c>
      <c r="C943" s="1" t="s">
        <v>30</v>
      </c>
      <c r="D943" s="1" t="s">
        <v>31</v>
      </c>
      <c r="E943">
        <v>698321</v>
      </c>
      <c r="F943">
        <v>18</v>
      </c>
      <c r="G943" s="1" t="s">
        <v>35</v>
      </c>
      <c r="H943">
        <v>38053</v>
      </c>
      <c r="I943">
        <v>45294</v>
      </c>
      <c r="J943" s="1" t="s">
        <v>27</v>
      </c>
      <c r="K943" s="3">
        <v>2</v>
      </c>
      <c r="L943" s="1" t="s">
        <v>36</v>
      </c>
      <c r="M943" s="1" t="s">
        <v>37</v>
      </c>
      <c r="N943" s="3">
        <v>2024010123</v>
      </c>
      <c r="O943" s="3">
        <f t="shared" si="126"/>
        <v>1.23</v>
      </c>
      <c r="P943" s="6">
        <f t="shared" si="127"/>
        <v>858934.83</v>
      </c>
      <c r="Q943" s="3" t="str">
        <f t="shared" si="128"/>
        <v>Excellent</v>
      </c>
      <c r="R943" s="3">
        <f t="shared" si="129"/>
        <v>7241</v>
      </c>
      <c r="S943" s="7">
        <f t="shared" si="130"/>
        <v>130338</v>
      </c>
      <c r="T943" s="3" t="str">
        <f t="shared" si="131"/>
        <v>High Profit</v>
      </c>
      <c r="U943" s="3" t="str">
        <f t="shared" si="132"/>
        <v>Low Discount</v>
      </c>
      <c r="V943" s="3" t="str">
        <f t="shared" si="133"/>
        <v>Priority C</v>
      </c>
      <c r="W943">
        <f t="shared" si="134"/>
        <v>104748.15</v>
      </c>
      <c r="X943" t="s">
        <v>23</v>
      </c>
      <c r="Y943" t="s">
        <v>23</v>
      </c>
      <c r="Z943" t="s">
        <v>23</v>
      </c>
      <c r="AA943" t="s">
        <v>23</v>
      </c>
      <c r="AB943" t="s">
        <v>23</v>
      </c>
      <c r="AC943" t="s">
        <v>23</v>
      </c>
      <c r="AD943" t="s">
        <v>23</v>
      </c>
      <c r="AE943" t="s">
        <v>23</v>
      </c>
      <c r="AF943" t="s">
        <v>23</v>
      </c>
      <c r="AG943" t="s">
        <v>23</v>
      </c>
      <c r="AH943" t="s">
        <v>23</v>
      </c>
      <c r="AI943" t="s">
        <v>23</v>
      </c>
      <c r="AJ943" t="s">
        <v>23</v>
      </c>
    </row>
    <row r="944" spans="1:36" x14ac:dyDescent="0.35">
      <c r="A944" s="2">
        <v>1942</v>
      </c>
      <c r="B944" s="4">
        <v>45198</v>
      </c>
      <c r="C944" s="1" t="s">
        <v>41</v>
      </c>
      <c r="D944" s="1" t="s">
        <v>25</v>
      </c>
      <c r="E944">
        <v>347142</v>
      </c>
      <c r="F944">
        <v>18</v>
      </c>
      <c r="G944" s="1" t="s">
        <v>39</v>
      </c>
      <c r="H944">
        <v>35689</v>
      </c>
      <c r="I944">
        <v>43630</v>
      </c>
      <c r="J944" s="1" t="s">
        <v>33</v>
      </c>
      <c r="K944" s="3">
        <v>4</v>
      </c>
      <c r="L944" s="1" t="s">
        <v>28</v>
      </c>
      <c r="M944" s="1" t="s">
        <v>37</v>
      </c>
      <c r="N944" s="3">
        <v>2024010123</v>
      </c>
      <c r="O944" s="3">
        <f t="shared" si="126"/>
        <v>1.23</v>
      </c>
      <c r="P944" s="6">
        <f t="shared" si="127"/>
        <v>426984.66</v>
      </c>
      <c r="Q944" s="3" t="str">
        <f t="shared" si="128"/>
        <v>Excellent</v>
      </c>
      <c r="R944" s="3">
        <f t="shared" si="129"/>
        <v>7941</v>
      </c>
      <c r="S944" s="7">
        <f t="shared" si="130"/>
        <v>142938</v>
      </c>
      <c r="T944" s="3" t="str">
        <f t="shared" si="131"/>
        <v>High Profit</v>
      </c>
      <c r="U944" s="3" t="str">
        <f t="shared" si="132"/>
        <v>Low Discount</v>
      </c>
      <c r="V944" s="3" t="str">
        <f t="shared" si="133"/>
        <v>Priority C</v>
      </c>
      <c r="W944">
        <f t="shared" si="134"/>
        <v>34714.200000000004</v>
      </c>
      <c r="X944" t="s">
        <v>23</v>
      </c>
      <c r="Y944" t="s">
        <v>23</v>
      </c>
      <c r="Z944" t="s">
        <v>23</v>
      </c>
      <c r="AA944" t="s">
        <v>23</v>
      </c>
      <c r="AB944" t="s">
        <v>23</v>
      </c>
      <c r="AC944" t="s">
        <v>23</v>
      </c>
      <c r="AD944" t="s">
        <v>23</v>
      </c>
      <c r="AE944" t="s">
        <v>23</v>
      </c>
      <c r="AF944" t="s">
        <v>23</v>
      </c>
      <c r="AG944" t="s">
        <v>23</v>
      </c>
      <c r="AH944" t="s">
        <v>23</v>
      </c>
      <c r="AI944" t="s">
        <v>23</v>
      </c>
      <c r="AJ944" t="s">
        <v>23</v>
      </c>
    </row>
    <row r="945" spans="1:36" x14ac:dyDescent="0.35">
      <c r="A945" s="2">
        <v>1943</v>
      </c>
      <c r="B945" s="4">
        <v>45170</v>
      </c>
      <c r="C945" s="1" t="s">
        <v>24</v>
      </c>
      <c r="D945" s="1" t="s">
        <v>31</v>
      </c>
      <c r="E945">
        <v>711343</v>
      </c>
      <c r="F945">
        <v>18</v>
      </c>
      <c r="G945" s="1" t="s">
        <v>32</v>
      </c>
      <c r="H945">
        <v>34897</v>
      </c>
      <c r="I945">
        <v>42188</v>
      </c>
      <c r="J945" s="1" t="s">
        <v>27</v>
      </c>
      <c r="K945" s="3">
        <v>11</v>
      </c>
      <c r="L945" s="1" t="s">
        <v>28</v>
      </c>
      <c r="M945" s="1" t="s">
        <v>37</v>
      </c>
      <c r="N945" s="3">
        <v>2024010123</v>
      </c>
      <c r="O945" s="3">
        <f t="shared" si="126"/>
        <v>1.23</v>
      </c>
      <c r="P945" s="6">
        <f t="shared" si="127"/>
        <v>874951.89</v>
      </c>
      <c r="Q945" s="3" t="str">
        <f t="shared" si="128"/>
        <v>Excellent</v>
      </c>
      <c r="R945" s="3">
        <f t="shared" si="129"/>
        <v>7291</v>
      </c>
      <c r="S945" s="7">
        <f t="shared" si="130"/>
        <v>131238</v>
      </c>
      <c r="T945" s="3" t="str">
        <f t="shared" si="131"/>
        <v>High Profit</v>
      </c>
      <c r="U945" s="3" t="str">
        <f t="shared" si="132"/>
        <v>Medium Discount</v>
      </c>
      <c r="V945" s="3" t="str">
        <f t="shared" si="133"/>
        <v>Priority C</v>
      </c>
      <c r="W945">
        <f t="shared" si="134"/>
        <v>106701.45</v>
      </c>
      <c r="X945" t="s">
        <v>23</v>
      </c>
      <c r="Y945" t="s">
        <v>23</v>
      </c>
      <c r="Z945" t="s">
        <v>23</v>
      </c>
      <c r="AA945" t="s">
        <v>23</v>
      </c>
      <c r="AB945" t="s">
        <v>23</v>
      </c>
      <c r="AC945" t="s">
        <v>23</v>
      </c>
      <c r="AD945" t="s">
        <v>23</v>
      </c>
      <c r="AE945" t="s">
        <v>23</v>
      </c>
      <c r="AF945" t="s">
        <v>23</v>
      </c>
      <c r="AG945" t="s">
        <v>23</v>
      </c>
      <c r="AH945" t="s">
        <v>23</v>
      </c>
      <c r="AI945" t="s">
        <v>23</v>
      </c>
      <c r="AJ945" t="s">
        <v>23</v>
      </c>
    </row>
    <row r="946" spans="1:36" x14ac:dyDescent="0.35">
      <c r="A946" s="2">
        <v>1944</v>
      </c>
      <c r="B946" s="4">
        <v>44995</v>
      </c>
      <c r="C946" s="1" t="s">
        <v>34</v>
      </c>
      <c r="D946" s="1" t="s">
        <v>25</v>
      </c>
      <c r="E946">
        <v>738118</v>
      </c>
      <c r="F946">
        <v>18</v>
      </c>
      <c r="G946" s="1" t="s">
        <v>39</v>
      </c>
      <c r="H946">
        <v>26717</v>
      </c>
      <c r="I946">
        <v>33451</v>
      </c>
      <c r="J946" s="1" t="s">
        <v>27</v>
      </c>
      <c r="K946" s="3">
        <v>12</v>
      </c>
      <c r="L946" s="1" t="s">
        <v>36</v>
      </c>
      <c r="M946" s="1" t="s">
        <v>29</v>
      </c>
      <c r="N946" s="3">
        <v>2024010123</v>
      </c>
      <c r="O946" s="3">
        <f t="shared" si="126"/>
        <v>1.23</v>
      </c>
      <c r="P946" s="6">
        <f t="shared" si="127"/>
        <v>907885.14</v>
      </c>
      <c r="Q946" s="3" t="str">
        <f t="shared" si="128"/>
        <v>Excellent</v>
      </c>
      <c r="R946" s="3">
        <f t="shared" si="129"/>
        <v>6734</v>
      </c>
      <c r="S946" s="7">
        <f t="shared" si="130"/>
        <v>121212</v>
      </c>
      <c r="T946" s="3" t="str">
        <f t="shared" si="131"/>
        <v>High Profit</v>
      </c>
      <c r="U946" s="3" t="str">
        <f t="shared" si="132"/>
        <v>Medium Discount</v>
      </c>
      <c r="V946" s="3" t="str">
        <f t="shared" si="133"/>
        <v>Priority C</v>
      </c>
      <c r="W946">
        <f t="shared" si="134"/>
        <v>110717.7</v>
      </c>
      <c r="X946" t="s">
        <v>23</v>
      </c>
      <c r="Y946" t="s">
        <v>23</v>
      </c>
      <c r="Z946" t="s">
        <v>23</v>
      </c>
      <c r="AA946" t="s">
        <v>23</v>
      </c>
      <c r="AB946" t="s">
        <v>23</v>
      </c>
      <c r="AC946" t="s">
        <v>23</v>
      </c>
      <c r="AD946" t="s">
        <v>23</v>
      </c>
      <c r="AE946" t="s">
        <v>23</v>
      </c>
      <c r="AF946" t="s">
        <v>23</v>
      </c>
      <c r="AG946" t="s">
        <v>23</v>
      </c>
      <c r="AH946" t="s">
        <v>23</v>
      </c>
      <c r="AI946" t="s">
        <v>23</v>
      </c>
      <c r="AJ946" t="s">
        <v>23</v>
      </c>
    </row>
    <row r="947" spans="1:36" x14ac:dyDescent="0.35">
      <c r="A947" s="2">
        <v>1945</v>
      </c>
      <c r="B947" s="4">
        <v>44944</v>
      </c>
      <c r="C947" s="1" t="s">
        <v>24</v>
      </c>
      <c r="D947" s="1" t="s">
        <v>43</v>
      </c>
      <c r="E947">
        <v>579158</v>
      </c>
      <c r="F947">
        <v>18</v>
      </c>
      <c r="G947" s="1" t="s">
        <v>35</v>
      </c>
      <c r="H947">
        <v>37682</v>
      </c>
      <c r="I947">
        <v>41196</v>
      </c>
      <c r="J947" s="1" t="s">
        <v>33</v>
      </c>
      <c r="K947" s="3">
        <v>11</v>
      </c>
      <c r="L947" s="1" t="s">
        <v>40</v>
      </c>
      <c r="M947" s="1" t="s">
        <v>37</v>
      </c>
      <c r="N947" s="3">
        <v>2024010123</v>
      </c>
      <c r="O947" s="3">
        <f t="shared" si="126"/>
        <v>1.23</v>
      </c>
      <c r="P947" s="6">
        <f t="shared" si="127"/>
        <v>712364.34</v>
      </c>
      <c r="Q947" s="3" t="str">
        <f t="shared" si="128"/>
        <v>Excellent</v>
      </c>
      <c r="R947" s="3">
        <f t="shared" si="129"/>
        <v>3514</v>
      </c>
      <c r="S947" s="7">
        <f t="shared" si="130"/>
        <v>63252</v>
      </c>
      <c r="T947" s="3" t="str">
        <f t="shared" si="131"/>
        <v>High Profit</v>
      </c>
      <c r="U947" s="3" t="str">
        <f t="shared" si="132"/>
        <v>Medium Discount</v>
      </c>
      <c r="V947" s="3" t="str">
        <f t="shared" si="133"/>
        <v>Priority C</v>
      </c>
      <c r="W947">
        <f t="shared" si="134"/>
        <v>57915.8</v>
      </c>
      <c r="X947" t="s">
        <v>23</v>
      </c>
      <c r="Y947" t="s">
        <v>23</v>
      </c>
      <c r="Z947" t="s">
        <v>23</v>
      </c>
      <c r="AA947" t="s">
        <v>23</v>
      </c>
      <c r="AB947" t="s">
        <v>23</v>
      </c>
      <c r="AC947" t="s">
        <v>23</v>
      </c>
      <c r="AD947" t="s">
        <v>23</v>
      </c>
      <c r="AE947" t="s">
        <v>23</v>
      </c>
      <c r="AF947" t="s">
        <v>23</v>
      </c>
      <c r="AG947" t="s">
        <v>23</v>
      </c>
      <c r="AH947" t="s">
        <v>23</v>
      </c>
      <c r="AI947" t="s">
        <v>23</v>
      </c>
      <c r="AJ947" t="s">
        <v>23</v>
      </c>
    </row>
    <row r="948" spans="1:36" x14ac:dyDescent="0.35">
      <c r="A948" s="2">
        <v>1946</v>
      </c>
      <c r="B948" s="4">
        <v>45110</v>
      </c>
      <c r="C948" s="1" t="s">
        <v>30</v>
      </c>
      <c r="D948" s="1" t="s">
        <v>43</v>
      </c>
      <c r="E948">
        <v>509691</v>
      </c>
      <c r="F948">
        <v>11</v>
      </c>
      <c r="G948" s="1" t="s">
        <v>26</v>
      </c>
      <c r="H948">
        <v>44157</v>
      </c>
      <c r="I948">
        <v>50131</v>
      </c>
      <c r="J948" s="1" t="s">
        <v>27</v>
      </c>
      <c r="K948" s="3">
        <v>27</v>
      </c>
      <c r="L948" s="1" t="s">
        <v>28</v>
      </c>
      <c r="M948" s="1" t="s">
        <v>29</v>
      </c>
      <c r="N948" s="3">
        <v>2024010123</v>
      </c>
      <c r="O948" s="3">
        <f t="shared" si="126"/>
        <v>1.23</v>
      </c>
      <c r="P948" s="6">
        <f t="shared" si="127"/>
        <v>626919.92999999993</v>
      </c>
      <c r="Q948" s="3" t="str">
        <f t="shared" si="128"/>
        <v>Excellent</v>
      </c>
      <c r="R948" s="3">
        <f t="shared" si="129"/>
        <v>5974</v>
      </c>
      <c r="S948" s="7">
        <f t="shared" si="130"/>
        <v>65714</v>
      </c>
      <c r="T948" s="3" t="str">
        <f t="shared" si="131"/>
        <v>High Profit</v>
      </c>
      <c r="U948" s="3" t="str">
        <f t="shared" si="132"/>
        <v>High Discount</v>
      </c>
      <c r="V948" s="3" t="str">
        <f t="shared" si="133"/>
        <v>Priority D</v>
      </c>
      <c r="W948">
        <f t="shared" si="134"/>
        <v>76453.649999999994</v>
      </c>
      <c r="X948" t="s">
        <v>23</v>
      </c>
      <c r="Y948" t="s">
        <v>23</v>
      </c>
      <c r="Z948" t="s">
        <v>23</v>
      </c>
      <c r="AA948" t="s">
        <v>23</v>
      </c>
      <c r="AB948" t="s">
        <v>23</v>
      </c>
      <c r="AC948" t="s">
        <v>23</v>
      </c>
      <c r="AD948" t="s">
        <v>23</v>
      </c>
      <c r="AE948" t="s">
        <v>23</v>
      </c>
      <c r="AF948" t="s">
        <v>23</v>
      </c>
      <c r="AG948" t="s">
        <v>23</v>
      </c>
      <c r="AH948" t="s">
        <v>23</v>
      </c>
      <c r="AI948" t="s">
        <v>23</v>
      </c>
      <c r="AJ948" t="s">
        <v>23</v>
      </c>
    </row>
    <row r="949" spans="1:36" x14ac:dyDescent="0.35">
      <c r="A949" s="2">
        <v>1947</v>
      </c>
      <c r="B949" s="4">
        <v>45221</v>
      </c>
      <c r="C949" s="1" t="s">
        <v>24</v>
      </c>
      <c r="D949" s="1" t="s">
        <v>31</v>
      </c>
      <c r="E949">
        <v>881966</v>
      </c>
      <c r="F949">
        <v>18</v>
      </c>
      <c r="G949" s="1" t="s">
        <v>39</v>
      </c>
      <c r="H949">
        <v>19626</v>
      </c>
      <c r="I949">
        <v>26684</v>
      </c>
      <c r="J949" s="1" t="s">
        <v>27</v>
      </c>
      <c r="K949" s="3">
        <v>20</v>
      </c>
      <c r="L949" s="1" t="s">
        <v>36</v>
      </c>
      <c r="M949" s="1" t="s">
        <v>37</v>
      </c>
      <c r="N949" s="3">
        <v>2024010123</v>
      </c>
      <c r="O949" s="3">
        <f t="shared" si="126"/>
        <v>1.23</v>
      </c>
      <c r="P949" s="6">
        <f t="shared" si="127"/>
        <v>1084818.18</v>
      </c>
      <c r="Q949" s="3" t="str">
        <f t="shared" si="128"/>
        <v>Excellent</v>
      </c>
      <c r="R949" s="3">
        <f t="shared" si="129"/>
        <v>7058</v>
      </c>
      <c r="S949" s="7">
        <f t="shared" si="130"/>
        <v>127044</v>
      </c>
      <c r="T949" s="3" t="str">
        <f t="shared" si="131"/>
        <v>High Profit</v>
      </c>
      <c r="U949" s="3" t="str">
        <f t="shared" si="132"/>
        <v>High Discount</v>
      </c>
      <c r="V949" s="3" t="str">
        <f t="shared" si="133"/>
        <v>Priority C</v>
      </c>
      <c r="W949">
        <f t="shared" si="134"/>
        <v>132294.9</v>
      </c>
      <c r="X949" t="s">
        <v>23</v>
      </c>
      <c r="Y949" t="s">
        <v>23</v>
      </c>
      <c r="Z949" t="s">
        <v>23</v>
      </c>
      <c r="AA949" t="s">
        <v>23</v>
      </c>
      <c r="AB949" t="s">
        <v>23</v>
      </c>
      <c r="AC949" t="s">
        <v>23</v>
      </c>
      <c r="AD949" t="s">
        <v>23</v>
      </c>
      <c r="AE949" t="s">
        <v>23</v>
      </c>
      <c r="AF949" t="s">
        <v>23</v>
      </c>
      <c r="AG949" t="s">
        <v>23</v>
      </c>
      <c r="AH949" t="s">
        <v>23</v>
      </c>
      <c r="AI949" t="s">
        <v>23</v>
      </c>
      <c r="AJ949" t="s">
        <v>23</v>
      </c>
    </row>
    <row r="950" spans="1:36" x14ac:dyDescent="0.35">
      <c r="A950" s="2">
        <v>1948</v>
      </c>
      <c r="B950" s="4">
        <v>44977</v>
      </c>
      <c r="C950" s="1" t="s">
        <v>24</v>
      </c>
      <c r="D950" s="1" t="s">
        <v>25</v>
      </c>
      <c r="E950">
        <v>600990</v>
      </c>
      <c r="F950">
        <v>18</v>
      </c>
      <c r="G950" s="1" t="s">
        <v>35</v>
      </c>
      <c r="H950">
        <v>35803</v>
      </c>
      <c r="I950">
        <v>43712</v>
      </c>
      <c r="J950" s="1" t="s">
        <v>27</v>
      </c>
      <c r="K950" s="3">
        <v>26</v>
      </c>
      <c r="L950" s="1" t="s">
        <v>28</v>
      </c>
      <c r="M950" s="1" t="s">
        <v>37</v>
      </c>
      <c r="N950" s="3">
        <v>2024010123</v>
      </c>
      <c r="O950" s="3">
        <f t="shared" si="126"/>
        <v>1.23</v>
      </c>
      <c r="P950" s="6">
        <f t="shared" si="127"/>
        <v>739217.7</v>
      </c>
      <c r="Q950" s="3" t="str">
        <f t="shared" si="128"/>
        <v>Excellent</v>
      </c>
      <c r="R950" s="3">
        <f t="shared" si="129"/>
        <v>7909</v>
      </c>
      <c r="S950" s="7">
        <f t="shared" si="130"/>
        <v>142362</v>
      </c>
      <c r="T950" s="3" t="str">
        <f t="shared" si="131"/>
        <v>High Profit</v>
      </c>
      <c r="U950" s="3" t="str">
        <f t="shared" si="132"/>
        <v>High Discount</v>
      </c>
      <c r="V950" s="3" t="str">
        <f t="shared" si="133"/>
        <v>Priority C</v>
      </c>
      <c r="W950">
        <f t="shared" si="134"/>
        <v>90148.5</v>
      </c>
      <c r="X950" t="s">
        <v>23</v>
      </c>
      <c r="Y950" t="s">
        <v>23</v>
      </c>
      <c r="Z950" t="s">
        <v>23</v>
      </c>
      <c r="AA950" t="s">
        <v>23</v>
      </c>
      <c r="AB950" t="s">
        <v>23</v>
      </c>
      <c r="AC950" t="s">
        <v>23</v>
      </c>
      <c r="AD950" t="s">
        <v>23</v>
      </c>
      <c r="AE950" t="s">
        <v>23</v>
      </c>
      <c r="AF950" t="s">
        <v>23</v>
      </c>
      <c r="AG950" t="s">
        <v>23</v>
      </c>
      <c r="AH950" t="s">
        <v>23</v>
      </c>
      <c r="AI950" t="s">
        <v>23</v>
      </c>
      <c r="AJ950" t="s">
        <v>23</v>
      </c>
    </row>
    <row r="951" spans="1:36" x14ac:dyDescent="0.35">
      <c r="A951" s="2">
        <v>1949</v>
      </c>
      <c r="B951" s="4">
        <v>45000</v>
      </c>
      <c r="C951" s="1" t="s">
        <v>38</v>
      </c>
      <c r="D951" s="1" t="s">
        <v>42</v>
      </c>
      <c r="E951">
        <v>421831</v>
      </c>
      <c r="F951">
        <v>8</v>
      </c>
      <c r="G951" s="1" t="s">
        <v>35</v>
      </c>
      <c r="H951">
        <v>25405</v>
      </c>
      <c r="I951">
        <v>30166</v>
      </c>
      <c r="J951" s="1" t="s">
        <v>27</v>
      </c>
      <c r="K951" s="3">
        <v>24</v>
      </c>
      <c r="L951" s="1" t="s">
        <v>28</v>
      </c>
      <c r="M951" s="1" t="s">
        <v>37</v>
      </c>
      <c r="N951" s="3">
        <v>2024010123</v>
      </c>
      <c r="O951" s="3">
        <f t="shared" si="126"/>
        <v>1.23</v>
      </c>
      <c r="P951" s="6">
        <f t="shared" si="127"/>
        <v>518852.13</v>
      </c>
      <c r="Q951" s="3" t="str">
        <f t="shared" si="128"/>
        <v>Excellent</v>
      </c>
      <c r="R951" s="3">
        <f t="shared" si="129"/>
        <v>4761</v>
      </c>
      <c r="S951" s="7">
        <f t="shared" si="130"/>
        <v>38088</v>
      </c>
      <c r="T951" s="3" t="str">
        <f t="shared" si="131"/>
        <v>High Profit</v>
      </c>
      <c r="U951" s="3" t="str">
        <f t="shared" si="132"/>
        <v>High Discount</v>
      </c>
      <c r="V951" s="3" t="str">
        <f t="shared" si="133"/>
        <v>Priority C</v>
      </c>
      <c r="W951">
        <f t="shared" si="134"/>
        <v>63274.649999999994</v>
      </c>
      <c r="X951" t="s">
        <v>23</v>
      </c>
      <c r="Y951" t="s">
        <v>23</v>
      </c>
      <c r="Z951" t="s">
        <v>23</v>
      </c>
      <c r="AA951" t="s">
        <v>23</v>
      </c>
      <c r="AB951" t="s">
        <v>23</v>
      </c>
      <c r="AC951" t="s">
        <v>23</v>
      </c>
      <c r="AD951" t="s">
        <v>23</v>
      </c>
      <c r="AE951" t="s">
        <v>23</v>
      </c>
      <c r="AF951" t="s">
        <v>23</v>
      </c>
      <c r="AG951" t="s">
        <v>23</v>
      </c>
      <c r="AH951" t="s">
        <v>23</v>
      </c>
      <c r="AI951" t="s">
        <v>23</v>
      </c>
      <c r="AJ951" t="s">
        <v>23</v>
      </c>
    </row>
    <row r="952" spans="1:36" x14ac:dyDescent="0.35">
      <c r="A952" s="2">
        <v>1950</v>
      </c>
      <c r="B952" s="4">
        <v>45173</v>
      </c>
      <c r="C952" s="1" t="s">
        <v>38</v>
      </c>
      <c r="D952" s="1" t="s">
        <v>42</v>
      </c>
      <c r="E952">
        <v>494409</v>
      </c>
      <c r="F952">
        <v>12</v>
      </c>
      <c r="G952" s="1" t="s">
        <v>39</v>
      </c>
      <c r="H952">
        <v>21134</v>
      </c>
      <c r="I952">
        <v>25150</v>
      </c>
      <c r="J952" s="1" t="s">
        <v>27</v>
      </c>
      <c r="K952" s="3">
        <v>0</v>
      </c>
      <c r="L952" s="1" t="s">
        <v>28</v>
      </c>
      <c r="M952" s="1" t="s">
        <v>37</v>
      </c>
      <c r="N952" s="3">
        <v>2024010123</v>
      </c>
      <c r="O952" s="3">
        <f t="shared" si="126"/>
        <v>1.23</v>
      </c>
      <c r="P952" s="6">
        <f t="shared" si="127"/>
        <v>608123.06999999995</v>
      </c>
      <c r="Q952" s="3" t="str">
        <f t="shared" si="128"/>
        <v>Excellent</v>
      </c>
      <c r="R952" s="3">
        <f t="shared" si="129"/>
        <v>4016</v>
      </c>
      <c r="S952" s="7">
        <f t="shared" si="130"/>
        <v>48192</v>
      </c>
      <c r="T952" s="3" t="str">
        <f t="shared" si="131"/>
        <v>High Profit</v>
      </c>
      <c r="U952" s="3" t="str">
        <f t="shared" si="132"/>
        <v>No Discount</v>
      </c>
      <c r="V952" s="3" t="str">
        <f t="shared" si="133"/>
        <v>Priority C</v>
      </c>
      <c r="W952">
        <f t="shared" si="134"/>
        <v>74161.349999999991</v>
      </c>
      <c r="X952" t="s">
        <v>23</v>
      </c>
      <c r="Y952" t="s">
        <v>23</v>
      </c>
      <c r="Z952" t="s">
        <v>23</v>
      </c>
      <c r="AA952" t="s">
        <v>23</v>
      </c>
      <c r="AB952" t="s">
        <v>23</v>
      </c>
      <c r="AC952" t="s">
        <v>23</v>
      </c>
      <c r="AD952" t="s">
        <v>23</v>
      </c>
      <c r="AE952" t="s">
        <v>23</v>
      </c>
      <c r="AF952" t="s">
        <v>23</v>
      </c>
      <c r="AG952" t="s">
        <v>23</v>
      </c>
      <c r="AH952" t="s">
        <v>23</v>
      </c>
      <c r="AI952" t="s">
        <v>23</v>
      </c>
      <c r="AJ952" t="s">
        <v>23</v>
      </c>
    </row>
    <row r="953" spans="1:36" x14ac:dyDescent="0.35">
      <c r="A953" s="2">
        <v>1951</v>
      </c>
      <c r="B953" s="4">
        <v>44991</v>
      </c>
      <c r="C953" s="1" t="s">
        <v>38</v>
      </c>
      <c r="D953" s="1" t="s">
        <v>42</v>
      </c>
      <c r="E953">
        <v>69799</v>
      </c>
      <c r="F953">
        <v>12</v>
      </c>
      <c r="G953" s="1" t="s">
        <v>35</v>
      </c>
      <c r="H953">
        <v>42709</v>
      </c>
      <c r="I953">
        <v>47542</v>
      </c>
      <c r="J953" s="1" t="s">
        <v>33</v>
      </c>
      <c r="K953" s="3">
        <v>3</v>
      </c>
      <c r="L953" s="1" t="s">
        <v>28</v>
      </c>
      <c r="M953" s="1" t="s">
        <v>29</v>
      </c>
      <c r="N953" s="3">
        <v>2024010123</v>
      </c>
      <c r="O953" s="3">
        <f t="shared" si="126"/>
        <v>1.23</v>
      </c>
      <c r="P953" s="6">
        <f t="shared" si="127"/>
        <v>85852.77</v>
      </c>
      <c r="Q953" s="3" t="str">
        <f t="shared" si="128"/>
        <v>Excellent</v>
      </c>
      <c r="R953" s="3">
        <f t="shared" si="129"/>
        <v>4833</v>
      </c>
      <c r="S953" s="7">
        <f t="shared" si="130"/>
        <v>57996</v>
      </c>
      <c r="T953" s="3" t="str">
        <f t="shared" si="131"/>
        <v>High Profit</v>
      </c>
      <c r="U953" s="3" t="str">
        <f t="shared" si="132"/>
        <v>Low Discount</v>
      </c>
      <c r="V953" s="3" t="str">
        <f t="shared" si="133"/>
        <v>Priority D</v>
      </c>
      <c r="W953">
        <f t="shared" si="134"/>
        <v>6979.9000000000005</v>
      </c>
      <c r="X953" t="s">
        <v>23</v>
      </c>
      <c r="Y953" t="s">
        <v>23</v>
      </c>
      <c r="Z953" t="s">
        <v>23</v>
      </c>
      <c r="AA953" t="s">
        <v>23</v>
      </c>
      <c r="AB953" t="s">
        <v>23</v>
      </c>
      <c r="AC953" t="s">
        <v>23</v>
      </c>
      <c r="AD953" t="s">
        <v>23</v>
      </c>
      <c r="AE953" t="s">
        <v>23</v>
      </c>
      <c r="AF953" t="s">
        <v>23</v>
      </c>
      <c r="AG953" t="s">
        <v>23</v>
      </c>
      <c r="AH953" t="s">
        <v>23</v>
      </c>
      <c r="AI953" t="s">
        <v>23</v>
      </c>
      <c r="AJ953" t="s">
        <v>23</v>
      </c>
    </row>
    <row r="954" spans="1:36" x14ac:dyDescent="0.35">
      <c r="A954" s="2">
        <v>1952</v>
      </c>
      <c r="B954" s="4">
        <v>45277</v>
      </c>
      <c r="C954" s="1" t="s">
        <v>30</v>
      </c>
      <c r="D954" s="1" t="s">
        <v>43</v>
      </c>
      <c r="E954">
        <v>833360</v>
      </c>
      <c r="F954">
        <v>12</v>
      </c>
      <c r="G954" s="1" t="s">
        <v>32</v>
      </c>
      <c r="H954">
        <v>33764</v>
      </c>
      <c r="I954">
        <v>35362</v>
      </c>
      <c r="J954" s="1" t="s">
        <v>27</v>
      </c>
      <c r="K954" s="3">
        <v>4</v>
      </c>
      <c r="L954" s="1" t="s">
        <v>36</v>
      </c>
      <c r="M954" s="1" t="s">
        <v>29</v>
      </c>
      <c r="N954" s="3">
        <v>2024010123</v>
      </c>
      <c r="O954" s="3">
        <f t="shared" si="126"/>
        <v>1.23</v>
      </c>
      <c r="P954" s="6">
        <f t="shared" si="127"/>
        <v>1025032.7999999999</v>
      </c>
      <c r="Q954" s="3" t="str">
        <f t="shared" si="128"/>
        <v>Excellent</v>
      </c>
      <c r="R954" s="3">
        <f t="shared" si="129"/>
        <v>1598</v>
      </c>
      <c r="S954" s="7">
        <f t="shared" si="130"/>
        <v>19176</v>
      </c>
      <c r="T954" s="3" t="str">
        <f t="shared" si="131"/>
        <v>High Profit</v>
      </c>
      <c r="U954" s="3" t="str">
        <f t="shared" si="132"/>
        <v>Low Discount</v>
      </c>
      <c r="V954" s="3" t="str">
        <f t="shared" si="133"/>
        <v>Priority D</v>
      </c>
      <c r="W954">
        <f t="shared" si="134"/>
        <v>125004</v>
      </c>
      <c r="X954" t="s">
        <v>23</v>
      </c>
      <c r="Y954" t="s">
        <v>23</v>
      </c>
      <c r="Z954" t="s">
        <v>23</v>
      </c>
      <c r="AA954" t="s">
        <v>23</v>
      </c>
      <c r="AB954" t="s">
        <v>23</v>
      </c>
      <c r="AC954" t="s">
        <v>23</v>
      </c>
      <c r="AD954" t="s">
        <v>23</v>
      </c>
      <c r="AE954" t="s">
        <v>23</v>
      </c>
      <c r="AF954" t="s">
        <v>23</v>
      </c>
      <c r="AG954" t="s">
        <v>23</v>
      </c>
      <c r="AH954" t="s">
        <v>23</v>
      </c>
      <c r="AI954" t="s">
        <v>23</v>
      </c>
      <c r="AJ954" t="s">
        <v>23</v>
      </c>
    </row>
    <row r="955" spans="1:36" x14ac:dyDescent="0.35">
      <c r="A955" s="2">
        <v>1953</v>
      </c>
      <c r="B955" s="4">
        <v>45249</v>
      </c>
      <c r="C955" s="1" t="s">
        <v>24</v>
      </c>
      <c r="D955" s="1" t="s">
        <v>25</v>
      </c>
      <c r="E955">
        <v>999427</v>
      </c>
      <c r="F955">
        <v>7</v>
      </c>
      <c r="G955" s="1" t="s">
        <v>39</v>
      </c>
      <c r="H955">
        <v>26489</v>
      </c>
      <c r="I955">
        <v>30992</v>
      </c>
      <c r="J955" s="1" t="s">
        <v>27</v>
      </c>
      <c r="K955" s="3">
        <v>11</v>
      </c>
      <c r="L955" s="1" t="s">
        <v>40</v>
      </c>
      <c r="M955" s="1" t="s">
        <v>37</v>
      </c>
      <c r="N955" s="3">
        <v>2024010123</v>
      </c>
      <c r="O955" s="3">
        <f t="shared" si="126"/>
        <v>1.23</v>
      </c>
      <c r="P955" s="6">
        <f t="shared" si="127"/>
        <v>1229295.21</v>
      </c>
      <c r="Q955" s="3" t="str">
        <f t="shared" si="128"/>
        <v>Excellent</v>
      </c>
      <c r="R955" s="3">
        <f t="shared" si="129"/>
        <v>4503</v>
      </c>
      <c r="S955" s="7">
        <f t="shared" si="130"/>
        <v>31521</v>
      </c>
      <c r="T955" s="3" t="str">
        <f t="shared" si="131"/>
        <v>High Profit</v>
      </c>
      <c r="U955" s="3" t="str">
        <f t="shared" si="132"/>
        <v>Medium Discount</v>
      </c>
      <c r="V955" s="3" t="str">
        <f t="shared" si="133"/>
        <v>Priority C</v>
      </c>
      <c r="W955">
        <f t="shared" si="134"/>
        <v>149914.04999999999</v>
      </c>
      <c r="X955" t="s">
        <v>23</v>
      </c>
      <c r="Y955" t="s">
        <v>23</v>
      </c>
      <c r="Z955" t="s">
        <v>23</v>
      </c>
      <c r="AA955" t="s">
        <v>23</v>
      </c>
      <c r="AB955" t="s">
        <v>23</v>
      </c>
      <c r="AC955" t="s">
        <v>23</v>
      </c>
      <c r="AD955" t="s">
        <v>23</v>
      </c>
      <c r="AE955" t="s">
        <v>23</v>
      </c>
      <c r="AF955" t="s">
        <v>23</v>
      </c>
      <c r="AG955" t="s">
        <v>23</v>
      </c>
      <c r="AH955" t="s">
        <v>23</v>
      </c>
      <c r="AI955" t="s">
        <v>23</v>
      </c>
      <c r="AJ955" t="s">
        <v>23</v>
      </c>
    </row>
    <row r="956" spans="1:36" x14ac:dyDescent="0.35">
      <c r="A956" s="2">
        <v>1954</v>
      </c>
      <c r="B956" s="4">
        <v>45084</v>
      </c>
      <c r="C956" s="1" t="s">
        <v>34</v>
      </c>
      <c r="D956" s="1" t="s">
        <v>25</v>
      </c>
      <c r="E956">
        <v>887373</v>
      </c>
      <c r="F956">
        <v>12</v>
      </c>
      <c r="G956" s="1" t="s">
        <v>39</v>
      </c>
      <c r="H956">
        <v>32323</v>
      </c>
      <c r="I956">
        <v>35893</v>
      </c>
      <c r="J956" s="1" t="s">
        <v>33</v>
      </c>
      <c r="K956" s="3">
        <v>10</v>
      </c>
      <c r="L956" s="1" t="s">
        <v>36</v>
      </c>
      <c r="M956" s="1" t="s">
        <v>37</v>
      </c>
      <c r="N956" s="3">
        <v>2024010123</v>
      </c>
      <c r="O956" s="3">
        <f t="shared" si="126"/>
        <v>1.23</v>
      </c>
      <c r="P956" s="6">
        <f t="shared" si="127"/>
        <v>1091468.79</v>
      </c>
      <c r="Q956" s="3" t="str">
        <f t="shared" si="128"/>
        <v>Excellent</v>
      </c>
      <c r="R956" s="3">
        <f t="shared" si="129"/>
        <v>3570</v>
      </c>
      <c r="S956" s="7">
        <f t="shared" si="130"/>
        <v>42840</v>
      </c>
      <c r="T956" s="3" t="str">
        <f t="shared" si="131"/>
        <v>High Profit</v>
      </c>
      <c r="U956" s="3" t="str">
        <f t="shared" si="132"/>
        <v>Medium Discount</v>
      </c>
      <c r="V956" s="3" t="str">
        <f t="shared" si="133"/>
        <v>Priority C</v>
      </c>
      <c r="W956">
        <f t="shared" si="134"/>
        <v>88737.3</v>
      </c>
      <c r="X956" t="s">
        <v>23</v>
      </c>
      <c r="Y956" t="s">
        <v>23</v>
      </c>
      <c r="Z956" t="s">
        <v>23</v>
      </c>
      <c r="AA956" t="s">
        <v>23</v>
      </c>
      <c r="AB956" t="s">
        <v>23</v>
      </c>
      <c r="AC956" t="s">
        <v>23</v>
      </c>
      <c r="AD956" t="s">
        <v>23</v>
      </c>
      <c r="AE956" t="s">
        <v>23</v>
      </c>
      <c r="AF956" t="s">
        <v>23</v>
      </c>
      <c r="AG956" t="s">
        <v>23</v>
      </c>
      <c r="AH956" t="s">
        <v>23</v>
      </c>
      <c r="AI956" t="s">
        <v>23</v>
      </c>
      <c r="AJ956" t="s">
        <v>23</v>
      </c>
    </row>
    <row r="957" spans="1:36" x14ac:dyDescent="0.35">
      <c r="A957" s="2">
        <v>1955</v>
      </c>
      <c r="B957" s="4">
        <v>45002</v>
      </c>
      <c r="C957" s="1" t="s">
        <v>24</v>
      </c>
      <c r="D957" s="1" t="s">
        <v>31</v>
      </c>
      <c r="E957">
        <v>404788</v>
      </c>
      <c r="F957">
        <v>12</v>
      </c>
      <c r="G957" s="1" t="s">
        <v>39</v>
      </c>
      <c r="H957">
        <v>23985</v>
      </c>
      <c r="I957">
        <v>26201</v>
      </c>
      <c r="J957" s="1" t="s">
        <v>33</v>
      </c>
      <c r="K957" s="3">
        <v>9</v>
      </c>
      <c r="L957" s="1" t="s">
        <v>40</v>
      </c>
      <c r="M957" s="1" t="s">
        <v>29</v>
      </c>
      <c r="N957" s="3">
        <v>2024010123</v>
      </c>
      <c r="O957" s="3">
        <f t="shared" si="126"/>
        <v>1.23</v>
      </c>
      <c r="P957" s="6">
        <f t="shared" si="127"/>
        <v>497889.24</v>
      </c>
      <c r="Q957" s="3" t="str">
        <f t="shared" si="128"/>
        <v>Excellent</v>
      </c>
      <c r="R957" s="3">
        <f t="shared" si="129"/>
        <v>2216</v>
      </c>
      <c r="S957" s="7">
        <f t="shared" si="130"/>
        <v>26592</v>
      </c>
      <c r="T957" s="3" t="str">
        <f t="shared" si="131"/>
        <v>High Profit</v>
      </c>
      <c r="U957" s="3" t="str">
        <f t="shared" si="132"/>
        <v>Medium Discount</v>
      </c>
      <c r="V957" s="3" t="str">
        <f t="shared" si="133"/>
        <v>Priority D</v>
      </c>
      <c r="W957">
        <f t="shared" si="134"/>
        <v>40478.800000000003</v>
      </c>
      <c r="X957" t="s">
        <v>23</v>
      </c>
      <c r="Y957" t="s">
        <v>23</v>
      </c>
      <c r="Z957" t="s">
        <v>23</v>
      </c>
      <c r="AA957" t="s">
        <v>23</v>
      </c>
      <c r="AB957" t="s">
        <v>23</v>
      </c>
      <c r="AC957" t="s">
        <v>23</v>
      </c>
      <c r="AD957" t="s">
        <v>23</v>
      </c>
      <c r="AE957" t="s">
        <v>23</v>
      </c>
      <c r="AF957" t="s">
        <v>23</v>
      </c>
      <c r="AG957" t="s">
        <v>23</v>
      </c>
      <c r="AH957" t="s">
        <v>23</v>
      </c>
      <c r="AI957" t="s">
        <v>23</v>
      </c>
      <c r="AJ957" t="s">
        <v>23</v>
      </c>
    </row>
    <row r="958" spans="1:36" x14ac:dyDescent="0.35">
      <c r="A958" s="2">
        <v>1956</v>
      </c>
      <c r="B958" s="4">
        <v>44993</v>
      </c>
      <c r="C958" s="1" t="s">
        <v>34</v>
      </c>
      <c r="D958" s="1" t="s">
        <v>43</v>
      </c>
      <c r="E958">
        <v>429382</v>
      </c>
      <c r="F958">
        <v>8</v>
      </c>
      <c r="G958" s="1" t="s">
        <v>39</v>
      </c>
      <c r="H958">
        <v>37183</v>
      </c>
      <c r="I958">
        <v>41120</v>
      </c>
      <c r="J958" s="1" t="s">
        <v>27</v>
      </c>
      <c r="K958" s="3">
        <v>28</v>
      </c>
      <c r="L958" s="1" t="s">
        <v>36</v>
      </c>
      <c r="M958" s="1" t="s">
        <v>29</v>
      </c>
      <c r="N958" s="3">
        <v>2024010123</v>
      </c>
      <c r="O958" s="3">
        <f t="shared" si="126"/>
        <v>1.23</v>
      </c>
      <c r="P958" s="6">
        <f t="shared" si="127"/>
        <v>528139.86</v>
      </c>
      <c r="Q958" s="3" t="str">
        <f t="shared" si="128"/>
        <v>Excellent</v>
      </c>
      <c r="R958" s="3">
        <f t="shared" si="129"/>
        <v>3937</v>
      </c>
      <c r="S958" s="7">
        <f t="shared" si="130"/>
        <v>31496</v>
      </c>
      <c r="T958" s="3" t="str">
        <f t="shared" si="131"/>
        <v>High Profit</v>
      </c>
      <c r="U958" s="3" t="str">
        <f t="shared" si="132"/>
        <v>High Discount</v>
      </c>
      <c r="V958" s="3" t="str">
        <f t="shared" si="133"/>
        <v>Priority D</v>
      </c>
      <c r="W958">
        <f t="shared" si="134"/>
        <v>64407.299999999996</v>
      </c>
      <c r="X958" t="s">
        <v>23</v>
      </c>
      <c r="Y958" t="s">
        <v>23</v>
      </c>
      <c r="Z958" t="s">
        <v>23</v>
      </c>
      <c r="AA958" t="s">
        <v>23</v>
      </c>
      <c r="AB958" t="s">
        <v>23</v>
      </c>
      <c r="AC958" t="s">
        <v>23</v>
      </c>
      <c r="AD958" t="s">
        <v>23</v>
      </c>
      <c r="AE958" t="s">
        <v>23</v>
      </c>
      <c r="AF958" t="s">
        <v>23</v>
      </c>
      <c r="AG958" t="s">
        <v>23</v>
      </c>
      <c r="AH958" t="s">
        <v>23</v>
      </c>
      <c r="AI958" t="s">
        <v>23</v>
      </c>
      <c r="AJ958" t="s">
        <v>23</v>
      </c>
    </row>
    <row r="959" spans="1:36" x14ac:dyDescent="0.35">
      <c r="A959" s="2">
        <v>1957</v>
      </c>
      <c r="B959" s="4">
        <v>45245</v>
      </c>
      <c r="C959" s="1" t="s">
        <v>30</v>
      </c>
      <c r="D959" s="1" t="s">
        <v>43</v>
      </c>
      <c r="E959">
        <v>784829</v>
      </c>
      <c r="F959">
        <v>12</v>
      </c>
      <c r="G959" s="1" t="s">
        <v>26</v>
      </c>
      <c r="H959">
        <v>48114</v>
      </c>
      <c r="I959">
        <v>50952</v>
      </c>
      <c r="J959" s="1" t="s">
        <v>33</v>
      </c>
      <c r="K959" s="3">
        <v>24</v>
      </c>
      <c r="L959" s="1" t="s">
        <v>36</v>
      </c>
      <c r="M959" s="1" t="s">
        <v>29</v>
      </c>
      <c r="N959" s="3">
        <v>2024010123</v>
      </c>
      <c r="O959" s="3">
        <f t="shared" si="126"/>
        <v>1.23</v>
      </c>
      <c r="P959" s="6">
        <f t="shared" si="127"/>
        <v>965339.67</v>
      </c>
      <c r="Q959" s="3" t="str">
        <f t="shared" si="128"/>
        <v>Excellent</v>
      </c>
      <c r="R959" s="3">
        <f t="shared" si="129"/>
        <v>2838</v>
      </c>
      <c r="S959" s="7">
        <f t="shared" si="130"/>
        <v>34056</v>
      </c>
      <c r="T959" s="3" t="str">
        <f t="shared" si="131"/>
        <v>High Profit</v>
      </c>
      <c r="U959" s="3" t="str">
        <f t="shared" si="132"/>
        <v>High Discount</v>
      </c>
      <c r="V959" s="3" t="str">
        <f t="shared" si="133"/>
        <v>Priority D</v>
      </c>
      <c r="W959">
        <f t="shared" si="134"/>
        <v>78482.900000000009</v>
      </c>
      <c r="X959" t="s">
        <v>23</v>
      </c>
      <c r="Y959" t="s">
        <v>23</v>
      </c>
      <c r="Z959" t="s">
        <v>23</v>
      </c>
      <c r="AA959" t="s">
        <v>23</v>
      </c>
      <c r="AB959" t="s">
        <v>23</v>
      </c>
      <c r="AC959" t="s">
        <v>23</v>
      </c>
      <c r="AD959" t="s">
        <v>23</v>
      </c>
      <c r="AE959" t="s">
        <v>23</v>
      </c>
      <c r="AF959" t="s">
        <v>23</v>
      </c>
      <c r="AG959" t="s">
        <v>23</v>
      </c>
      <c r="AH959" t="s">
        <v>23</v>
      </c>
      <c r="AI959" t="s">
        <v>23</v>
      </c>
      <c r="AJ959" t="s">
        <v>23</v>
      </c>
    </row>
    <row r="960" spans="1:36" x14ac:dyDescent="0.35">
      <c r="A960" s="2">
        <v>1958</v>
      </c>
      <c r="B960" s="4">
        <v>45037</v>
      </c>
      <c r="C960" s="1" t="s">
        <v>24</v>
      </c>
      <c r="D960" s="1" t="s">
        <v>43</v>
      </c>
      <c r="E960">
        <v>346340</v>
      </c>
      <c r="F960">
        <v>12</v>
      </c>
      <c r="G960" s="1" t="s">
        <v>39</v>
      </c>
      <c r="H960">
        <v>45938</v>
      </c>
      <c r="I960">
        <v>49103</v>
      </c>
      <c r="J960" s="1" t="s">
        <v>33</v>
      </c>
      <c r="K960" s="3">
        <v>23</v>
      </c>
      <c r="L960" s="1" t="s">
        <v>40</v>
      </c>
      <c r="M960" s="1" t="s">
        <v>37</v>
      </c>
      <c r="N960" s="3">
        <v>2024010123</v>
      </c>
      <c r="O960" s="3">
        <f t="shared" si="126"/>
        <v>1.23</v>
      </c>
      <c r="P960" s="6">
        <f t="shared" si="127"/>
        <v>425998.2</v>
      </c>
      <c r="Q960" s="3" t="str">
        <f t="shared" si="128"/>
        <v>Excellent</v>
      </c>
      <c r="R960" s="3">
        <f t="shared" si="129"/>
        <v>3165</v>
      </c>
      <c r="S960" s="7">
        <f t="shared" si="130"/>
        <v>37980</v>
      </c>
      <c r="T960" s="3" t="str">
        <f t="shared" si="131"/>
        <v>High Profit</v>
      </c>
      <c r="U960" s="3" t="str">
        <f t="shared" si="132"/>
        <v>High Discount</v>
      </c>
      <c r="V960" s="3" t="str">
        <f t="shared" si="133"/>
        <v>Priority C</v>
      </c>
      <c r="W960">
        <f t="shared" si="134"/>
        <v>34634</v>
      </c>
      <c r="X960" t="s">
        <v>23</v>
      </c>
      <c r="Y960" t="s">
        <v>23</v>
      </c>
      <c r="Z960" t="s">
        <v>23</v>
      </c>
      <c r="AA960" t="s">
        <v>23</v>
      </c>
      <c r="AB960" t="s">
        <v>23</v>
      </c>
      <c r="AC960" t="s">
        <v>23</v>
      </c>
      <c r="AD960" t="s">
        <v>23</v>
      </c>
      <c r="AE960" t="s">
        <v>23</v>
      </c>
      <c r="AF960" t="s">
        <v>23</v>
      </c>
      <c r="AG960" t="s">
        <v>23</v>
      </c>
      <c r="AH960" t="s">
        <v>23</v>
      </c>
      <c r="AI960" t="s">
        <v>23</v>
      </c>
      <c r="AJ960" t="s">
        <v>23</v>
      </c>
    </row>
    <row r="961" spans="1:36" x14ac:dyDescent="0.35">
      <c r="A961" s="2">
        <v>1959</v>
      </c>
      <c r="B961" s="4">
        <v>45079</v>
      </c>
      <c r="C961" s="1" t="s">
        <v>24</v>
      </c>
      <c r="D961" s="1" t="s">
        <v>31</v>
      </c>
      <c r="E961">
        <v>231261</v>
      </c>
      <c r="F961">
        <v>12</v>
      </c>
      <c r="G961" s="1" t="s">
        <v>35</v>
      </c>
      <c r="H961">
        <v>51833</v>
      </c>
      <c r="I961">
        <v>55009</v>
      </c>
      <c r="J961" s="1" t="s">
        <v>33</v>
      </c>
      <c r="K961" s="3">
        <v>23</v>
      </c>
      <c r="L961" s="1" t="s">
        <v>40</v>
      </c>
      <c r="M961" s="1" t="s">
        <v>37</v>
      </c>
      <c r="N961" s="3">
        <v>2024010123</v>
      </c>
      <c r="O961" s="3">
        <f t="shared" si="126"/>
        <v>1.23</v>
      </c>
      <c r="P961" s="6">
        <f t="shared" si="127"/>
        <v>284451.02999999997</v>
      </c>
      <c r="Q961" s="3" t="str">
        <f t="shared" si="128"/>
        <v>Excellent</v>
      </c>
      <c r="R961" s="3">
        <f t="shared" si="129"/>
        <v>3176</v>
      </c>
      <c r="S961" s="7">
        <f t="shared" si="130"/>
        <v>38112</v>
      </c>
      <c r="T961" s="3" t="str">
        <f t="shared" si="131"/>
        <v>High Profit</v>
      </c>
      <c r="U961" s="3" t="str">
        <f t="shared" si="132"/>
        <v>High Discount</v>
      </c>
      <c r="V961" s="3" t="str">
        <f t="shared" si="133"/>
        <v>Priority C</v>
      </c>
      <c r="W961">
        <f t="shared" si="134"/>
        <v>23126.100000000002</v>
      </c>
      <c r="X961" t="s">
        <v>23</v>
      </c>
      <c r="Y961" t="s">
        <v>23</v>
      </c>
      <c r="Z961" t="s">
        <v>23</v>
      </c>
      <c r="AA961" t="s">
        <v>23</v>
      </c>
      <c r="AB961" t="s">
        <v>23</v>
      </c>
      <c r="AC961" t="s">
        <v>23</v>
      </c>
      <c r="AD961" t="s">
        <v>23</v>
      </c>
      <c r="AE961" t="s">
        <v>23</v>
      </c>
      <c r="AF961" t="s">
        <v>23</v>
      </c>
      <c r="AG961" t="s">
        <v>23</v>
      </c>
      <c r="AH961" t="s">
        <v>23</v>
      </c>
      <c r="AI961" t="s">
        <v>23</v>
      </c>
      <c r="AJ961" t="s">
        <v>23</v>
      </c>
    </row>
    <row r="962" spans="1:36" x14ac:dyDescent="0.35">
      <c r="A962" s="2">
        <v>1960</v>
      </c>
      <c r="B962" s="4">
        <v>45253</v>
      </c>
      <c r="C962" s="1" t="s">
        <v>34</v>
      </c>
      <c r="D962" s="1" t="s">
        <v>25</v>
      </c>
      <c r="E962">
        <v>341608</v>
      </c>
      <c r="F962">
        <v>22</v>
      </c>
      <c r="G962" s="1" t="s">
        <v>32</v>
      </c>
      <c r="H962">
        <v>13139</v>
      </c>
      <c r="I962">
        <v>20195</v>
      </c>
      <c r="J962" s="1" t="s">
        <v>27</v>
      </c>
      <c r="K962" s="3">
        <v>0</v>
      </c>
      <c r="L962" s="1" t="s">
        <v>36</v>
      </c>
      <c r="M962" s="1" t="s">
        <v>37</v>
      </c>
      <c r="N962" s="3">
        <v>2024010123</v>
      </c>
      <c r="O962" s="3">
        <f t="shared" si="126"/>
        <v>1.23</v>
      </c>
      <c r="P962" s="6">
        <f t="shared" si="127"/>
        <v>420177.83999999997</v>
      </c>
      <c r="Q962" s="3" t="str">
        <f t="shared" si="128"/>
        <v>Excellent</v>
      </c>
      <c r="R962" s="3">
        <f t="shared" si="129"/>
        <v>7056</v>
      </c>
      <c r="S962" s="7">
        <f t="shared" si="130"/>
        <v>155232</v>
      </c>
      <c r="T962" s="3" t="str">
        <f t="shared" si="131"/>
        <v>High Profit</v>
      </c>
      <c r="U962" s="3" t="str">
        <f t="shared" si="132"/>
        <v>No Discount</v>
      </c>
      <c r="V962" s="3" t="str">
        <f t="shared" si="133"/>
        <v>Priority B</v>
      </c>
      <c r="W962">
        <f t="shared" si="134"/>
        <v>51241.2</v>
      </c>
      <c r="X962" t="s">
        <v>23</v>
      </c>
      <c r="Y962" t="s">
        <v>23</v>
      </c>
      <c r="Z962" t="s">
        <v>23</v>
      </c>
      <c r="AA962" t="s">
        <v>23</v>
      </c>
      <c r="AB962" t="s">
        <v>23</v>
      </c>
      <c r="AC962" t="s">
        <v>23</v>
      </c>
      <c r="AD962" t="s">
        <v>23</v>
      </c>
      <c r="AE962" t="s">
        <v>23</v>
      </c>
      <c r="AF962" t="s">
        <v>23</v>
      </c>
      <c r="AG962" t="s">
        <v>23</v>
      </c>
      <c r="AH962" t="s">
        <v>23</v>
      </c>
      <c r="AI962" t="s">
        <v>23</v>
      </c>
      <c r="AJ962" t="s">
        <v>23</v>
      </c>
    </row>
    <row r="963" spans="1:36" x14ac:dyDescent="0.35">
      <c r="A963" s="2">
        <v>1961</v>
      </c>
      <c r="B963" s="4">
        <v>44957</v>
      </c>
      <c r="C963" s="1" t="s">
        <v>30</v>
      </c>
      <c r="D963" s="1" t="s">
        <v>42</v>
      </c>
      <c r="E963">
        <v>641896</v>
      </c>
      <c r="F963">
        <v>46</v>
      </c>
      <c r="G963" s="1" t="s">
        <v>32</v>
      </c>
      <c r="H963">
        <v>14217</v>
      </c>
      <c r="I963">
        <v>26942</v>
      </c>
      <c r="J963" s="1" t="s">
        <v>27</v>
      </c>
      <c r="K963" s="3">
        <v>4</v>
      </c>
      <c r="L963" s="1" t="s">
        <v>36</v>
      </c>
      <c r="M963" s="1" t="s">
        <v>29</v>
      </c>
      <c r="N963" s="3">
        <v>2024010123</v>
      </c>
      <c r="O963" s="3">
        <f t="shared" ref="O963:O1001" si="135">VALUE(RIGHT($N$2,3))/100</f>
        <v>1.23</v>
      </c>
      <c r="P963" s="6">
        <f t="shared" ref="P963:P1001" si="136">E963*$O963</f>
        <v>789532.08</v>
      </c>
      <c r="Q963" s="3" t="str">
        <f t="shared" ref="Q963:Q1001" si="137">IF(P963&gt;=5000,"Excellent",
   IF(P963&gt;=3000,"Good",
      IF(P963&gt;=1500,"Average","Below Average")))</f>
        <v>Excellent</v>
      </c>
      <c r="R963" s="3">
        <f t="shared" ref="R963:R1001" si="138">I963-H963</f>
        <v>12725</v>
      </c>
      <c r="S963" s="7">
        <f t="shared" ref="S963:S1001" si="139">R963*F963</f>
        <v>585350</v>
      </c>
      <c r="T963" s="3" t="str">
        <f t="shared" ref="T963:T1001" si="140">IF(S963&gt;=1000,"High Profit",
   IF(S963&gt;=500,"Medium Profit","Low Profit"))</f>
        <v>High Profit</v>
      </c>
      <c r="U963" s="3" t="str">
        <f t="shared" ref="U963:U1001" si="141">_xlfn.LET(
  _xlpm.d0, K963,
  _xlpm.d, IF(_xlpm.d0&gt;=1, _xlpm.d0/100, _xlpm.d0),
  IF(_xlpm.d&gt;=0.15, "High Discount",
     IF(_xlpm.d&gt;=0.05, "Medium Discount",
        IF(_xlpm.d&gt;0, "Low Discount", "No Discount")))
)</f>
        <v>Low Discount</v>
      </c>
      <c r="V963" s="3" t="str">
        <f t="shared" ref="V963:V1001" si="142">IF(AND(G963="Electronics",F963&gt;=30,M963="Online"),"Priority A",
   IF(AND(OR(G963="Furniture",G963="Electronics"),F963&gt;=20),"Priority B",
      IF(OR(M963="Online",F963&gt;=15),"Priority C","Priority D")))</f>
        <v>Priority B</v>
      </c>
      <c r="W963">
        <f t="shared" ref="W963:W1001" si="143">IF(AND(Q963="Excellent",J963="Returning",T963="High Profit"),E963*0.15,
   IF(AND(Q963="Excellent",J963="New"),E963*0.1,
      IF(AND(OR(Q963="Good",Q963="Excellent"),L963="Cash"),E963*0.08,
         IF(AND(Q963="Good",T963="High Profit"),E963*0.06,
            IF(Q963="Average",E963*0.03,
               IF(Q963="Below Average",E963*0.01,0))))))</f>
        <v>96284.4</v>
      </c>
      <c r="X963" t="s">
        <v>23</v>
      </c>
      <c r="Y963" t="s">
        <v>23</v>
      </c>
      <c r="Z963" t="s">
        <v>23</v>
      </c>
      <c r="AA963" t="s">
        <v>23</v>
      </c>
      <c r="AB963" t="s">
        <v>23</v>
      </c>
      <c r="AC963" t="s">
        <v>23</v>
      </c>
      <c r="AD963" t="s">
        <v>23</v>
      </c>
      <c r="AE963" t="s">
        <v>23</v>
      </c>
      <c r="AF963" t="s">
        <v>23</v>
      </c>
      <c r="AG963" t="s">
        <v>23</v>
      </c>
      <c r="AH963" t="s">
        <v>23</v>
      </c>
      <c r="AI963" t="s">
        <v>23</v>
      </c>
      <c r="AJ963" t="s">
        <v>23</v>
      </c>
    </row>
    <row r="964" spans="1:36" x14ac:dyDescent="0.35">
      <c r="A964" s="2">
        <v>1962</v>
      </c>
      <c r="B964" s="4">
        <v>45164</v>
      </c>
      <c r="C964" s="1" t="s">
        <v>41</v>
      </c>
      <c r="D964" s="1" t="s">
        <v>43</v>
      </c>
      <c r="E964">
        <v>553823</v>
      </c>
      <c r="F964">
        <v>20</v>
      </c>
      <c r="G964" s="1" t="s">
        <v>26</v>
      </c>
      <c r="H964">
        <v>10240</v>
      </c>
      <c r="I964">
        <v>22765</v>
      </c>
      <c r="J964" s="1" t="s">
        <v>27</v>
      </c>
      <c r="K964" s="3">
        <v>2</v>
      </c>
      <c r="L964" s="1" t="s">
        <v>40</v>
      </c>
      <c r="M964" s="1" t="s">
        <v>29</v>
      </c>
      <c r="N964" s="3">
        <v>2024010123</v>
      </c>
      <c r="O964" s="3">
        <f t="shared" si="135"/>
        <v>1.23</v>
      </c>
      <c r="P964" s="6">
        <f t="shared" si="136"/>
        <v>681202.29</v>
      </c>
      <c r="Q964" s="3" t="str">
        <f t="shared" si="137"/>
        <v>Excellent</v>
      </c>
      <c r="R964" s="3">
        <f t="shared" si="138"/>
        <v>12525</v>
      </c>
      <c r="S964" s="7">
        <f t="shared" si="139"/>
        <v>250500</v>
      </c>
      <c r="T964" s="3" t="str">
        <f t="shared" si="140"/>
        <v>High Profit</v>
      </c>
      <c r="U964" s="3" t="str">
        <f t="shared" si="141"/>
        <v>Low Discount</v>
      </c>
      <c r="V964" s="3" t="str">
        <f t="shared" si="142"/>
        <v>Priority C</v>
      </c>
      <c r="W964">
        <f t="shared" si="143"/>
        <v>83073.45</v>
      </c>
      <c r="X964" t="s">
        <v>23</v>
      </c>
      <c r="Y964" t="s">
        <v>23</v>
      </c>
      <c r="Z964" t="s">
        <v>23</v>
      </c>
      <c r="AA964" t="s">
        <v>23</v>
      </c>
      <c r="AB964" t="s">
        <v>23</v>
      </c>
      <c r="AC964" t="s">
        <v>23</v>
      </c>
      <c r="AD964" t="s">
        <v>23</v>
      </c>
      <c r="AE964" t="s">
        <v>23</v>
      </c>
      <c r="AF964" t="s">
        <v>23</v>
      </c>
      <c r="AG964" t="s">
        <v>23</v>
      </c>
      <c r="AH964" t="s">
        <v>23</v>
      </c>
      <c r="AI964" t="s">
        <v>23</v>
      </c>
      <c r="AJ964" t="s">
        <v>23</v>
      </c>
    </row>
    <row r="965" spans="1:36" x14ac:dyDescent="0.35">
      <c r="A965" s="2">
        <v>1963</v>
      </c>
      <c r="B965" s="4">
        <v>45288</v>
      </c>
      <c r="C965" s="1" t="s">
        <v>38</v>
      </c>
      <c r="D965" s="1" t="s">
        <v>43</v>
      </c>
      <c r="E965">
        <v>384692</v>
      </c>
      <c r="F965">
        <v>12</v>
      </c>
      <c r="G965" s="1" t="s">
        <v>26</v>
      </c>
      <c r="H965">
        <v>15373</v>
      </c>
      <c r="I965">
        <v>28074</v>
      </c>
      <c r="J965" s="1" t="s">
        <v>27</v>
      </c>
      <c r="K965" s="3">
        <v>7</v>
      </c>
      <c r="L965" s="1" t="s">
        <v>40</v>
      </c>
      <c r="M965" s="1" t="s">
        <v>37</v>
      </c>
      <c r="N965" s="3">
        <v>2024010123</v>
      </c>
      <c r="O965" s="3">
        <f t="shared" si="135"/>
        <v>1.23</v>
      </c>
      <c r="P965" s="6">
        <f t="shared" si="136"/>
        <v>473171.16</v>
      </c>
      <c r="Q965" s="3" t="str">
        <f t="shared" si="137"/>
        <v>Excellent</v>
      </c>
      <c r="R965" s="3">
        <f t="shared" si="138"/>
        <v>12701</v>
      </c>
      <c r="S965" s="7">
        <f t="shared" si="139"/>
        <v>152412</v>
      </c>
      <c r="T965" s="3" t="str">
        <f t="shared" si="140"/>
        <v>High Profit</v>
      </c>
      <c r="U965" s="3" t="str">
        <f t="shared" si="141"/>
        <v>Medium Discount</v>
      </c>
      <c r="V965" s="3" t="str">
        <f t="shared" si="142"/>
        <v>Priority C</v>
      </c>
      <c r="W965">
        <f t="shared" si="143"/>
        <v>57703.799999999996</v>
      </c>
      <c r="X965" t="s">
        <v>23</v>
      </c>
      <c r="Y965" t="s">
        <v>23</v>
      </c>
      <c r="Z965" t="s">
        <v>23</v>
      </c>
      <c r="AA965" t="s">
        <v>23</v>
      </c>
      <c r="AB965" t="s">
        <v>23</v>
      </c>
      <c r="AC965" t="s">
        <v>23</v>
      </c>
      <c r="AD965" t="s">
        <v>23</v>
      </c>
      <c r="AE965" t="s">
        <v>23</v>
      </c>
      <c r="AF965" t="s">
        <v>23</v>
      </c>
      <c r="AG965" t="s">
        <v>23</v>
      </c>
      <c r="AH965" t="s">
        <v>23</v>
      </c>
      <c r="AI965" t="s">
        <v>23</v>
      </c>
      <c r="AJ965" t="s">
        <v>23</v>
      </c>
    </row>
    <row r="966" spans="1:36" x14ac:dyDescent="0.35">
      <c r="A966" s="2">
        <v>1964</v>
      </c>
      <c r="B966" s="4">
        <v>45041</v>
      </c>
      <c r="C966" s="1" t="s">
        <v>24</v>
      </c>
      <c r="D966" s="1" t="s">
        <v>42</v>
      </c>
      <c r="E966">
        <v>497471</v>
      </c>
      <c r="F966">
        <v>50</v>
      </c>
      <c r="G966" s="1" t="s">
        <v>26</v>
      </c>
      <c r="H966">
        <v>29660</v>
      </c>
      <c r="I966">
        <v>36433</v>
      </c>
      <c r="J966" s="1" t="s">
        <v>27</v>
      </c>
      <c r="K966" s="3">
        <v>13</v>
      </c>
      <c r="L966" s="1" t="s">
        <v>28</v>
      </c>
      <c r="M966" s="1" t="s">
        <v>29</v>
      </c>
      <c r="N966" s="3">
        <v>2024010123</v>
      </c>
      <c r="O966" s="3">
        <f t="shared" si="135"/>
        <v>1.23</v>
      </c>
      <c r="P966" s="6">
        <f t="shared" si="136"/>
        <v>611889.32999999996</v>
      </c>
      <c r="Q966" s="3" t="str">
        <f t="shared" si="137"/>
        <v>Excellent</v>
      </c>
      <c r="R966" s="3">
        <f t="shared" si="138"/>
        <v>6773</v>
      </c>
      <c r="S966" s="7">
        <f t="shared" si="139"/>
        <v>338650</v>
      </c>
      <c r="T966" s="3" t="str">
        <f t="shared" si="140"/>
        <v>High Profit</v>
      </c>
      <c r="U966" s="3" t="str">
        <f t="shared" si="141"/>
        <v>Medium Discount</v>
      </c>
      <c r="V966" s="3" t="str">
        <f t="shared" si="142"/>
        <v>Priority C</v>
      </c>
      <c r="W966">
        <f t="shared" si="143"/>
        <v>74620.649999999994</v>
      </c>
      <c r="X966" t="s">
        <v>23</v>
      </c>
      <c r="Y966" t="s">
        <v>23</v>
      </c>
      <c r="Z966" t="s">
        <v>23</v>
      </c>
      <c r="AA966" t="s">
        <v>23</v>
      </c>
      <c r="AB966" t="s">
        <v>23</v>
      </c>
      <c r="AC966" t="s">
        <v>23</v>
      </c>
      <c r="AD966" t="s">
        <v>23</v>
      </c>
      <c r="AE966" t="s">
        <v>23</v>
      </c>
      <c r="AF966" t="s">
        <v>23</v>
      </c>
      <c r="AG966" t="s">
        <v>23</v>
      </c>
      <c r="AH966" t="s">
        <v>23</v>
      </c>
      <c r="AI966" t="s">
        <v>23</v>
      </c>
      <c r="AJ966" t="s">
        <v>23</v>
      </c>
    </row>
    <row r="967" spans="1:36" x14ac:dyDescent="0.35">
      <c r="A967" s="2">
        <v>1965</v>
      </c>
      <c r="B967" s="4">
        <v>45243</v>
      </c>
      <c r="C967" s="1" t="s">
        <v>24</v>
      </c>
      <c r="D967" s="1" t="s">
        <v>43</v>
      </c>
      <c r="E967">
        <v>300939</v>
      </c>
      <c r="F967">
        <v>12</v>
      </c>
      <c r="G967" s="1" t="s">
        <v>35</v>
      </c>
      <c r="H967">
        <v>16223</v>
      </c>
      <c r="I967">
        <v>22841</v>
      </c>
      <c r="J967" s="1" t="s">
        <v>33</v>
      </c>
      <c r="K967" s="3">
        <v>9</v>
      </c>
      <c r="L967" s="1" t="s">
        <v>28</v>
      </c>
      <c r="M967" s="1" t="s">
        <v>37</v>
      </c>
      <c r="N967" s="3">
        <v>2024010123</v>
      </c>
      <c r="O967" s="3">
        <f t="shared" si="135"/>
        <v>1.23</v>
      </c>
      <c r="P967" s="6">
        <f t="shared" si="136"/>
        <v>370154.97</v>
      </c>
      <c r="Q967" s="3" t="str">
        <f t="shared" si="137"/>
        <v>Excellent</v>
      </c>
      <c r="R967" s="3">
        <f t="shared" si="138"/>
        <v>6618</v>
      </c>
      <c r="S967" s="7">
        <f t="shared" si="139"/>
        <v>79416</v>
      </c>
      <c r="T967" s="3" t="str">
        <f t="shared" si="140"/>
        <v>High Profit</v>
      </c>
      <c r="U967" s="3" t="str">
        <f t="shared" si="141"/>
        <v>Medium Discount</v>
      </c>
      <c r="V967" s="3" t="str">
        <f t="shared" si="142"/>
        <v>Priority C</v>
      </c>
      <c r="W967">
        <f t="shared" si="143"/>
        <v>30093.9</v>
      </c>
      <c r="X967" t="s">
        <v>23</v>
      </c>
      <c r="Y967" t="s">
        <v>23</v>
      </c>
      <c r="Z967" t="s">
        <v>23</v>
      </c>
      <c r="AA967" t="s">
        <v>23</v>
      </c>
      <c r="AB967" t="s">
        <v>23</v>
      </c>
      <c r="AC967" t="s">
        <v>23</v>
      </c>
      <c r="AD967" t="s">
        <v>23</v>
      </c>
      <c r="AE967" t="s">
        <v>23</v>
      </c>
      <c r="AF967" t="s">
        <v>23</v>
      </c>
      <c r="AG967" t="s">
        <v>23</v>
      </c>
      <c r="AH967" t="s">
        <v>23</v>
      </c>
      <c r="AI967" t="s">
        <v>23</v>
      </c>
      <c r="AJ967" t="s">
        <v>23</v>
      </c>
    </row>
    <row r="968" spans="1:36" x14ac:dyDescent="0.35">
      <c r="A968" s="2">
        <v>1966</v>
      </c>
      <c r="B968" s="4">
        <v>44927</v>
      </c>
      <c r="C968" s="1" t="s">
        <v>30</v>
      </c>
      <c r="D968" s="1" t="s">
        <v>25</v>
      </c>
      <c r="E968">
        <v>545461</v>
      </c>
      <c r="F968">
        <v>42</v>
      </c>
      <c r="G968" s="1" t="s">
        <v>39</v>
      </c>
      <c r="H968">
        <v>25964</v>
      </c>
      <c r="I968">
        <v>33321</v>
      </c>
      <c r="J968" s="1" t="s">
        <v>33</v>
      </c>
      <c r="K968" s="3">
        <v>26</v>
      </c>
      <c r="L968" s="1" t="s">
        <v>40</v>
      </c>
      <c r="M968" s="1" t="s">
        <v>29</v>
      </c>
      <c r="N968" s="3">
        <v>2024010123</v>
      </c>
      <c r="O968" s="3">
        <f t="shared" si="135"/>
        <v>1.23</v>
      </c>
      <c r="P968" s="6">
        <f t="shared" si="136"/>
        <v>670917.03</v>
      </c>
      <c r="Q968" s="3" t="str">
        <f t="shared" si="137"/>
        <v>Excellent</v>
      </c>
      <c r="R968" s="3">
        <f t="shared" si="138"/>
        <v>7357</v>
      </c>
      <c r="S968" s="7">
        <f t="shared" si="139"/>
        <v>308994</v>
      </c>
      <c r="T968" s="3" t="str">
        <f t="shared" si="140"/>
        <v>High Profit</v>
      </c>
      <c r="U968" s="3" t="str">
        <f t="shared" si="141"/>
        <v>High Discount</v>
      </c>
      <c r="V968" s="3" t="str">
        <f t="shared" si="142"/>
        <v>Priority B</v>
      </c>
      <c r="W968">
        <f t="shared" si="143"/>
        <v>54546.100000000006</v>
      </c>
      <c r="X968" t="s">
        <v>23</v>
      </c>
      <c r="Y968" t="s">
        <v>23</v>
      </c>
      <c r="Z968" t="s">
        <v>23</v>
      </c>
      <c r="AA968" t="s">
        <v>23</v>
      </c>
      <c r="AB968" t="s">
        <v>23</v>
      </c>
      <c r="AC968" t="s">
        <v>23</v>
      </c>
      <c r="AD968" t="s">
        <v>23</v>
      </c>
      <c r="AE968" t="s">
        <v>23</v>
      </c>
      <c r="AF968" t="s">
        <v>23</v>
      </c>
      <c r="AG968" t="s">
        <v>23</v>
      </c>
      <c r="AH968" t="s">
        <v>23</v>
      </c>
      <c r="AI968" t="s">
        <v>23</v>
      </c>
      <c r="AJ968" t="s">
        <v>23</v>
      </c>
    </row>
    <row r="969" spans="1:36" x14ac:dyDescent="0.35">
      <c r="A969" s="2">
        <v>1967</v>
      </c>
      <c r="B969" s="4">
        <v>45169</v>
      </c>
      <c r="C969" s="1" t="s">
        <v>41</v>
      </c>
      <c r="D969" s="1" t="s">
        <v>43</v>
      </c>
      <c r="E969">
        <v>491315</v>
      </c>
      <c r="F969">
        <v>16</v>
      </c>
      <c r="G969" s="1" t="s">
        <v>35</v>
      </c>
      <c r="H969">
        <v>12329</v>
      </c>
      <c r="I969">
        <v>22776</v>
      </c>
      <c r="J969" s="1" t="s">
        <v>27</v>
      </c>
      <c r="K969" s="3">
        <v>16</v>
      </c>
      <c r="L969" s="1" t="s">
        <v>36</v>
      </c>
      <c r="M969" s="1" t="s">
        <v>37</v>
      </c>
      <c r="N969" s="3">
        <v>2024010123</v>
      </c>
      <c r="O969" s="3">
        <f t="shared" si="135"/>
        <v>1.23</v>
      </c>
      <c r="P969" s="6">
        <f t="shared" si="136"/>
        <v>604317.44999999995</v>
      </c>
      <c r="Q969" s="3" t="str">
        <f t="shared" si="137"/>
        <v>Excellent</v>
      </c>
      <c r="R969" s="3">
        <f t="shared" si="138"/>
        <v>10447</v>
      </c>
      <c r="S969" s="7">
        <f t="shared" si="139"/>
        <v>167152</v>
      </c>
      <c r="T969" s="3" t="str">
        <f t="shared" si="140"/>
        <v>High Profit</v>
      </c>
      <c r="U969" s="3" t="str">
        <f t="shared" si="141"/>
        <v>High Discount</v>
      </c>
      <c r="V969" s="3" t="str">
        <f t="shared" si="142"/>
        <v>Priority C</v>
      </c>
      <c r="W969">
        <f t="shared" si="143"/>
        <v>73697.25</v>
      </c>
      <c r="X969" t="s">
        <v>23</v>
      </c>
      <c r="Y969" t="s">
        <v>23</v>
      </c>
      <c r="Z969" t="s">
        <v>23</v>
      </c>
      <c r="AA969" t="s">
        <v>23</v>
      </c>
      <c r="AB969" t="s">
        <v>23</v>
      </c>
      <c r="AC969" t="s">
        <v>23</v>
      </c>
      <c r="AD969" t="s">
        <v>23</v>
      </c>
      <c r="AE969" t="s">
        <v>23</v>
      </c>
      <c r="AF969" t="s">
        <v>23</v>
      </c>
      <c r="AG969" t="s">
        <v>23</v>
      </c>
      <c r="AH969" t="s">
        <v>23</v>
      </c>
      <c r="AI969" t="s">
        <v>23</v>
      </c>
      <c r="AJ969" t="s">
        <v>23</v>
      </c>
    </row>
    <row r="970" spans="1:36" x14ac:dyDescent="0.35">
      <c r="A970" s="2">
        <v>1968</v>
      </c>
      <c r="B970" s="4">
        <v>45121</v>
      </c>
      <c r="C970" s="1" t="s">
        <v>34</v>
      </c>
      <c r="D970" s="1" t="s">
        <v>31</v>
      </c>
      <c r="E970">
        <v>98212</v>
      </c>
      <c r="F970">
        <v>40</v>
      </c>
      <c r="G970" s="1" t="s">
        <v>35</v>
      </c>
      <c r="H970">
        <v>27365</v>
      </c>
      <c r="I970">
        <v>37608</v>
      </c>
      <c r="J970" s="1" t="s">
        <v>27</v>
      </c>
      <c r="K970" s="3">
        <v>16</v>
      </c>
      <c r="L970" s="1" t="s">
        <v>28</v>
      </c>
      <c r="M970" s="1" t="s">
        <v>29</v>
      </c>
      <c r="N970" s="3">
        <v>2024010123</v>
      </c>
      <c r="O970" s="3">
        <f t="shared" si="135"/>
        <v>1.23</v>
      </c>
      <c r="P970" s="6">
        <f t="shared" si="136"/>
        <v>120800.76</v>
      </c>
      <c r="Q970" s="3" t="str">
        <f t="shared" si="137"/>
        <v>Excellent</v>
      </c>
      <c r="R970" s="3">
        <f t="shared" si="138"/>
        <v>10243</v>
      </c>
      <c r="S970" s="7">
        <f t="shared" si="139"/>
        <v>409720</v>
      </c>
      <c r="T970" s="3" t="str">
        <f t="shared" si="140"/>
        <v>High Profit</v>
      </c>
      <c r="U970" s="3" t="str">
        <f t="shared" si="141"/>
        <v>High Discount</v>
      </c>
      <c r="V970" s="3" t="str">
        <f t="shared" si="142"/>
        <v>Priority C</v>
      </c>
      <c r="W970">
        <f t="shared" si="143"/>
        <v>14731.8</v>
      </c>
      <c r="X970" t="s">
        <v>23</v>
      </c>
      <c r="Y970" t="s">
        <v>23</v>
      </c>
      <c r="Z970" t="s">
        <v>23</v>
      </c>
      <c r="AA970" t="s">
        <v>23</v>
      </c>
      <c r="AB970" t="s">
        <v>23</v>
      </c>
      <c r="AC970" t="s">
        <v>23</v>
      </c>
      <c r="AD970" t="s">
        <v>23</v>
      </c>
      <c r="AE970" t="s">
        <v>23</v>
      </c>
      <c r="AF970" t="s">
        <v>23</v>
      </c>
      <c r="AG970" t="s">
        <v>23</v>
      </c>
      <c r="AH970" t="s">
        <v>23</v>
      </c>
      <c r="AI970" t="s">
        <v>23</v>
      </c>
      <c r="AJ970" t="s">
        <v>23</v>
      </c>
    </row>
    <row r="971" spans="1:36" x14ac:dyDescent="0.35">
      <c r="A971" s="2">
        <v>1969</v>
      </c>
      <c r="B971" s="4">
        <v>44988</v>
      </c>
      <c r="C971" s="1" t="s">
        <v>38</v>
      </c>
      <c r="D971" s="1" t="s">
        <v>31</v>
      </c>
      <c r="E971">
        <v>183206</v>
      </c>
      <c r="F971">
        <v>44</v>
      </c>
      <c r="G971" s="1" t="s">
        <v>32</v>
      </c>
      <c r="H971">
        <v>27027</v>
      </c>
      <c r="I971">
        <v>36280</v>
      </c>
      <c r="J971" s="1" t="s">
        <v>33</v>
      </c>
      <c r="K971" s="3">
        <v>17</v>
      </c>
      <c r="L971" s="1" t="s">
        <v>36</v>
      </c>
      <c r="M971" s="1" t="s">
        <v>29</v>
      </c>
      <c r="N971" s="3">
        <v>2024010123</v>
      </c>
      <c r="O971" s="3">
        <f t="shared" si="135"/>
        <v>1.23</v>
      </c>
      <c r="P971" s="6">
        <f t="shared" si="136"/>
        <v>225343.38</v>
      </c>
      <c r="Q971" s="3" t="str">
        <f t="shared" si="137"/>
        <v>Excellent</v>
      </c>
      <c r="R971" s="3">
        <f t="shared" si="138"/>
        <v>9253</v>
      </c>
      <c r="S971" s="7">
        <f t="shared" si="139"/>
        <v>407132</v>
      </c>
      <c r="T971" s="3" t="str">
        <f t="shared" si="140"/>
        <v>High Profit</v>
      </c>
      <c r="U971" s="3" t="str">
        <f t="shared" si="141"/>
        <v>High Discount</v>
      </c>
      <c r="V971" s="3" t="str">
        <f t="shared" si="142"/>
        <v>Priority B</v>
      </c>
      <c r="W971">
        <f t="shared" si="143"/>
        <v>18320.600000000002</v>
      </c>
      <c r="X971" t="s">
        <v>23</v>
      </c>
      <c r="Y971" t="s">
        <v>23</v>
      </c>
      <c r="Z971" t="s">
        <v>23</v>
      </c>
      <c r="AA971" t="s">
        <v>23</v>
      </c>
      <c r="AB971" t="s">
        <v>23</v>
      </c>
      <c r="AC971" t="s">
        <v>23</v>
      </c>
      <c r="AD971" t="s">
        <v>23</v>
      </c>
      <c r="AE971" t="s">
        <v>23</v>
      </c>
      <c r="AF971" t="s">
        <v>23</v>
      </c>
      <c r="AG971" t="s">
        <v>23</v>
      </c>
      <c r="AH971" t="s">
        <v>23</v>
      </c>
      <c r="AI971" t="s">
        <v>23</v>
      </c>
      <c r="AJ971" t="s">
        <v>23</v>
      </c>
    </row>
    <row r="972" spans="1:36" x14ac:dyDescent="0.35">
      <c r="A972" s="2">
        <v>1970</v>
      </c>
      <c r="B972" s="4">
        <v>45288</v>
      </c>
      <c r="C972" s="1" t="s">
        <v>24</v>
      </c>
      <c r="D972" s="1" t="s">
        <v>43</v>
      </c>
      <c r="E972">
        <v>534175</v>
      </c>
      <c r="F972">
        <v>18</v>
      </c>
      <c r="G972" s="1" t="s">
        <v>26</v>
      </c>
      <c r="H972">
        <v>39186</v>
      </c>
      <c r="I972">
        <v>44813</v>
      </c>
      <c r="J972" s="1" t="s">
        <v>27</v>
      </c>
      <c r="K972" s="3">
        <v>0</v>
      </c>
      <c r="L972" s="1" t="s">
        <v>28</v>
      </c>
      <c r="M972" s="1" t="s">
        <v>29</v>
      </c>
      <c r="N972" s="3">
        <v>2024010123</v>
      </c>
      <c r="O972" s="3">
        <f t="shared" si="135"/>
        <v>1.23</v>
      </c>
      <c r="P972" s="6">
        <f t="shared" si="136"/>
        <v>657035.25</v>
      </c>
      <c r="Q972" s="3" t="str">
        <f t="shared" si="137"/>
        <v>Excellent</v>
      </c>
      <c r="R972" s="3">
        <f t="shared" si="138"/>
        <v>5627</v>
      </c>
      <c r="S972" s="7">
        <f t="shared" si="139"/>
        <v>101286</v>
      </c>
      <c r="T972" s="3" t="str">
        <f t="shared" si="140"/>
        <v>High Profit</v>
      </c>
      <c r="U972" s="3" t="str">
        <f t="shared" si="141"/>
        <v>No Discount</v>
      </c>
      <c r="V972" s="3" t="str">
        <f t="shared" si="142"/>
        <v>Priority C</v>
      </c>
      <c r="W972">
        <f t="shared" si="143"/>
        <v>80126.25</v>
      </c>
      <c r="X972" t="s">
        <v>23</v>
      </c>
      <c r="Y972" t="s">
        <v>23</v>
      </c>
      <c r="Z972" t="s">
        <v>23</v>
      </c>
      <c r="AA972" t="s">
        <v>23</v>
      </c>
      <c r="AB972" t="s">
        <v>23</v>
      </c>
      <c r="AC972" t="s">
        <v>23</v>
      </c>
      <c r="AD972" t="s">
        <v>23</v>
      </c>
      <c r="AE972" t="s">
        <v>23</v>
      </c>
      <c r="AF972" t="s">
        <v>23</v>
      </c>
      <c r="AG972" t="s">
        <v>23</v>
      </c>
      <c r="AH972" t="s">
        <v>23</v>
      </c>
      <c r="AI972" t="s">
        <v>23</v>
      </c>
      <c r="AJ972" t="s">
        <v>23</v>
      </c>
    </row>
    <row r="973" spans="1:36" x14ac:dyDescent="0.35">
      <c r="A973" s="2">
        <v>1971</v>
      </c>
      <c r="B973" s="4">
        <v>45127</v>
      </c>
      <c r="C973" s="1" t="s">
        <v>24</v>
      </c>
      <c r="D973" s="1" t="s">
        <v>42</v>
      </c>
      <c r="E973">
        <v>165006</v>
      </c>
      <c r="F973">
        <v>18</v>
      </c>
      <c r="G973" s="1" t="s">
        <v>39</v>
      </c>
      <c r="H973">
        <v>28860</v>
      </c>
      <c r="I973">
        <v>33727</v>
      </c>
      <c r="J973" s="1" t="s">
        <v>33</v>
      </c>
      <c r="K973" s="3">
        <v>3</v>
      </c>
      <c r="L973" s="1" t="s">
        <v>28</v>
      </c>
      <c r="M973" s="1" t="s">
        <v>29</v>
      </c>
      <c r="N973" s="3">
        <v>2024010123</v>
      </c>
      <c r="O973" s="3">
        <f t="shared" si="135"/>
        <v>1.23</v>
      </c>
      <c r="P973" s="6">
        <f t="shared" si="136"/>
        <v>202957.38</v>
      </c>
      <c r="Q973" s="3" t="str">
        <f t="shared" si="137"/>
        <v>Excellent</v>
      </c>
      <c r="R973" s="3">
        <f t="shared" si="138"/>
        <v>4867</v>
      </c>
      <c r="S973" s="7">
        <f t="shared" si="139"/>
        <v>87606</v>
      </c>
      <c r="T973" s="3" t="str">
        <f t="shared" si="140"/>
        <v>High Profit</v>
      </c>
      <c r="U973" s="3" t="str">
        <f t="shared" si="141"/>
        <v>Low Discount</v>
      </c>
      <c r="V973" s="3" t="str">
        <f t="shared" si="142"/>
        <v>Priority C</v>
      </c>
      <c r="W973">
        <f t="shared" si="143"/>
        <v>16500.600000000002</v>
      </c>
      <c r="X973" t="s">
        <v>23</v>
      </c>
      <c r="Y973" t="s">
        <v>23</v>
      </c>
      <c r="Z973" t="s">
        <v>23</v>
      </c>
      <c r="AA973" t="s">
        <v>23</v>
      </c>
      <c r="AB973" t="s">
        <v>23</v>
      </c>
      <c r="AC973" t="s">
        <v>23</v>
      </c>
      <c r="AD973" t="s">
        <v>23</v>
      </c>
      <c r="AE973" t="s">
        <v>23</v>
      </c>
      <c r="AF973" t="s">
        <v>23</v>
      </c>
      <c r="AG973" t="s">
        <v>23</v>
      </c>
      <c r="AH973" t="s">
        <v>23</v>
      </c>
      <c r="AI973" t="s">
        <v>23</v>
      </c>
      <c r="AJ973" t="s">
        <v>23</v>
      </c>
    </row>
    <row r="974" spans="1:36" x14ac:dyDescent="0.35">
      <c r="A974" s="2">
        <v>1972</v>
      </c>
      <c r="B974" s="4">
        <v>45113</v>
      </c>
      <c r="C974" s="1" t="s">
        <v>38</v>
      </c>
      <c r="D974" s="1" t="s">
        <v>43</v>
      </c>
      <c r="E974">
        <v>997934</v>
      </c>
      <c r="F974">
        <v>18</v>
      </c>
      <c r="G974" s="1" t="s">
        <v>32</v>
      </c>
      <c r="H974">
        <v>39105</v>
      </c>
      <c r="I974">
        <v>46123</v>
      </c>
      <c r="J974" s="1" t="s">
        <v>27</v>
      </c>
      <c r="K974" s="3">
        <v>3</v>
      </c>
      <c r="L974" s="1" t="s">
        <v>36</v>
      </c>
      <c r="M974" s="1" t="s">
        <v>29</v>
      </c>
      <c r="N974" s="3">
        <v>2024010123</v>
      </c>
      <c r="O974" s="3">
        <f t="shared" si="135"/>
        <v>1.23</v>
      </c>
      <c r="P974" s="6">
        <f t="shared" si="136"/>
        <v>1227458.82</v>
      </c>
      <c r="Q974" s="3" t="str">
        <f t="shared" si="137"/>
        <v>Excellent</v>
      </c>
      <c r="R974" s="3">
        <f t="shared" si="138"/>
        <v>7018</v>
      </c>
      <c r="S974" s="7">
        <f t="shared" si="139"/>
        <v>126324</v>
      </c>
      <c r="T974" s="3" t="str">
        <f t="shared" si="140"/>
        <v>High Profit</v>
      </c>
      <c r="U974" s="3" t="str">
        <f t="shared" si="141"/>
        <v>Low Discount</v>
      </c>
      <c r="V974" s="3" t="str">
        <f t="shared" si="142"/>
        <v>Priority C</v>
      </c>
      <c r="W974">
        <f t="shared" si="143"/>
        <v>149690.1</v>
      </c>
      <c r="X974" t="s">
        <v>23</v>
      </c>
      <c r="Y974" t="s">
        <v>23</v>
      </c>
      <c r="Z974" t="s">
        <v>23</v>
      </c>
      <c r="AA974" t="s">
        <v>23</v>
      </c>
      <c r="AB974" t="s">
        <v>23</v>
      </c>
      <c r="AC974" t="s">
        <v>23</v>
      </c>
      <c r="AD974" t="s">
        <v>23</v>
      </c>
      <c r="AE974" t="s">
        <v>23</v>
      </c>
      <c r="AF974" t="s">
        <v>23</v>
      </c>
      <c r="AG974" t="s">
        <v>23</v>
      </c>
      <c r="AH974" t="s">
        <v>23</v>
      </c>
      <c r="AI974" t="s">
        <v>23</v>
      </c>
      <c r="AJ974" t="s">
        <v>23</v>
      </c>
    </row>
    <row r="975" spans="1:36" x14ac:dyDescent="0.35">
      <c r="A975" s="2">
        <v>1973</v>
      </c>
      <c r="B975" s="4">
        <v>44949</v>
      </c>
      <c r="C975" s="1" t="s">
        <v>38</v>
      </c>
      <c r="D975" s="1" t="s">
        <v>42</v>
      </c>
      <c r="E975">
        <v>433525</v>
      </c>
      <c r="F975">
        <v>18</v>
      </c>
      <c r="G975" s="1" t="s">
        <v>35</v>
      </c>
      <c r="H975">
        <v>21668</v>
      </c>
      <c r="I975">
        <v>26877</v>
      </c>
      <c r="J975" s="1" t="s">
        <v>27</v>
      </c>
      <c r="K975" s="3">
        <v>6</v>
      </c>
      <c r="L975" s="1" t="s">
        <v>28</v>
      </c>
      <c r="M975" s="1" t="s">
        <v>37</v>
      </c>
      <c r="N975" s="3">
        <v>2024010123</v>
      </c>
      <c r="O975" s="3">
        <f t="shared" si="135"/>
        <v>1.23</v>
      </c>
      <c r="P975" s="6">
        <f t="shared" si="136"/>
        <v>533235.75</v>
      </c>
      <c r="Q975" s="3" t="str">
        <f t="shared" si="137"/>
        <v>Excellent</v>
      </c>
      <c r="R975" s="3">
        <f t="shared" si="138"/>
        <v>5209</v>
      </c>
      <c r="S975" s="7">
        <f t="shared" si="139"/>
        <v>93762</v>
      </c>
      <c r="T975" s="3" t="str">
        <f t="shared" si="140"/>
        <v>High Profit</v>
      </c>
      <c r="U975" s="3" t="str">
        <f t="shared" si="141"/>
        <v>Medium Discount</v>
      </c>
      <c r="V975" s="3" t="str">
        <f t="shared" si="142"/>
        <v>Priority C</v>
      </c>
      <c r="W975">
        <f t="shared" si="143"/>
        <v>65028.75</v>
      </c>
      <c r="X975" t="s">
        <v>23</v>
      </c>
      <c r="Y975" t="s">
        <v>23</v>
      </c>
      <c r="Z975" t="s">
        <v>23</v>
      </c>
      <c r="AA975" t="s">
        <v>23</v>
      </c>
      <c r="AB975" t="s">
        <v>23</v>
      </c>
      <c r="AC975" t="s">
        <v>23</v>
      </c>
      <c r="AD975" t="s">
        <v>23</v>
      </c>
      <c r="AE975" t="s">
        <v>23</v>
      </c>
      <c r="AF975" t="s">
        <v>23</v>
      </c>
      <c r="AG975" t="s">
        <v>23</v>
      </c>
      <c r="AH975" t="s">
        <v>23</v>
      </c>
      <c r="AI975" t="s">
        <v>23</v>
      </c>
      <c r="AJ975" t="s">
        <v>23</v>
      </c>
    </row>
    <row r="976" spans="1:36" x14ac:dyDescent="0.35">
      <c r="A976" s="2">
        <v>1974</v>
      </c>
      <c r="B976" s="4">
        <v>45243</v>
      </c>
      <c r="C976" s="1" t="s">
        <v>38</v>
      </c>
      <c r="D976" s="1" t="s">
        <v>43</v>
      </c>
      <c r="E976">
        <v>911250</v>
      </c>
      <c r="F976">
        <v>18</v>
      </c>
      <c r="G976" s="1" t="s">
        <v>32</v>
      </c>
      <c r="H976">
        <v>19778</v>
      </c>
      <c r="I976">
        <v>25559</v>
      </c>
      <c r="J976" s="1" t="s">
        <v>33</v>
      </c>
      <c r="K976" s="3">
        <v>13</v>
      </c>
      <c r="L976" s="1" t="s">
        <v>36</v>
      </c>
      <c r="M976" s="1" t="s">
        <v>37</v>
      </c>
      <c r="N976" s="3">
        <v>2024010123</v>
      </c>
      <c r="O976" s="3">
        <f t="shared" si="135"/>
        <v>1.23</v>
      </c>
      <c r="P976" s="6">
        <f t="shared" si="136"/>
        <v>1120837.5</v>
      </c>
      <c r="Q976" s="3" t="str">
        <f t="shared" si="137"/>
        <v>Excellent</v>
      </c>
      <c r="R976" s="3">
        <f t="shared" si="138"/>
        <v>5781</v>
      </c>
      <c r="S976" s="7">
        <f t="shared" si="139"/>
        <v>104058</v>
      </c>
      <c r="T976" s="3" t="str">
        <f t="shared" si="140"/>
        <v>High Profit</v>
      </c>
      <c r="U976" s="3" t="str">
        <f t="shared" si="141"/>
        <v>Medium Discount</v>
      </c>
      <c r="V976" s="3" t="str">
        <f t="shared" si="142"/>
        <v>Priority C</v>
      </c>
      <c r="W976">
        <f t="shared" si="143"/>
        <v>91125</v>
      </c>
      <c r="X976" t="s">
        <v>23</v>
      </c>
      <c r="Y976" t="s">
        <v>23</v>
      </c>
      <c r="Z976" t="s">
        <v>23</v>
      </c>
      <c r="AA976" t="s">
        <v>23</v>
      </c>
      <c r="AB976" t="s">
        <v>23</v>
      </c>
      <c r="AC976" t="s">
        <v>23</v>
      </c>
      <c r="AD976" t="s">
        <v>23</v>
      </c>
      <c r="AE976" t="s">
        <v>23</v>
      </c>
      <c r="AF976" t="s">
        <v>23</v>
      </c>
      <c r="AG976" t="s">
        <v>23</v>
      </c>
      <c r="AH976" t="s">
        <v>23</v>
      </c>
      <c r="AI976" t="s">
        <v>23</v>
      </c>
      <c r="AJ976" t="s">
        <v>23</v>
      </c>
    </row>
    <row r="977" spans="1:36" x14ac:dyDescent="0.35">
      <c r="A977" s="2">
        <v>1975</v>
      </c>
      <c r="B977" s="4">
        <v>45162</v>
      </c>
      <c r="C977" s="1" t="s">
        <v>34</v>
      </c>
      <c r="D977" s="1" t="s">
        <v>25</v>
      </c>
      <c r="E977">
        <v>357036</v>
      </c>
      <c r="F977">
        <v>12</v>
      </c>
      <c r="G977" s="1" t="s">
        <v>32</v>
      </c>
      <c r="H977">
        <v>10000</v>
      </c>
      <c r="I977">
        <v>20000</v>
      </c>
      <c r="J977" s="1" t="s">
        <v>33</v>
      </c>
      <c r="K977" s="3">
        <v>12</v>
      </c>
      <c r="L977" s="1" t="s">
        <v>28</v>
      </c>
      <c r="M977" s="1" t="s">
        <v>29</v>
      </c>
      <c r="N977" s="3">
        <v>2024010123</v>
      </c>
      <c r="O977" s="3">
        <f t="shared" si="135"/>
        <v>1.23</v>
      </c>
      <c r="P977" s="6">
        <f t="shared" si="136"/>
        <v>439154.27999999997</v>
      </c>
      <c r="Q977" s="3" t="str">
        <f t="shared" si="137"/>
        <v>Excellent</v>
      </c>
      <c r="R977" s="3">
        <f t="shared" si="138"/>
        <v>10000</v>
      </c>
      <c r="S977" s="7">
        <f t="shared" si="139"/>
        <v>120000</v>
      </c>
      <c r="T977" s="3" t="str">
        <f t="shared" si="140"/>
        <v>High Profit</v>
      </c>
      <c r="U977" s="3" t="str">
        <f t="shared" si="141"/>
        <v>Medium Discount</v>
      </c>
      <c r="V977" s="3" t="str">
        <f t="shared" si="142"/>
        <v>Priority D</v>
      </c>
      <c r="W977">
        <f t="shared" si="143"/>
        <v>35703.599999999999</v>
      </c>
      <c r="X977" t="s">
        <v>23</v>
      </c>
      <c r="Y977" t="s">
        <v>23</v>
      </c>
      <c r="Z977" t="s">
        <v>23</v>
      </c>
      <c r="AA977" t="s">
        <v>23</v>
      </c>
      <c r="AB977" t="s">
        <v>23</v>
      </c>
      <c r="AC977" t="s">
        <v>23</v>
      </c>
      <c r="AD977" t="s">
        <v>23</v>
      </c>
      <c r="AE977" t="s">
        <v>23</v>
      </c>
      <c r="AF977" t="s">
        <v>23</v>
      </c>
      <c r="AG977" t="s">
        <v>23</v>
      </c>
      <c r="AH977" t="s">
        <v>23</v>
      </c>
      <c r="AI977" t="s">
        <v>23</v>
      </c>
      <c r="AJ977" t="s">
        <v>23</v>
      </c>
    </row>
    <row r="978" spans="1:36" x14ac:dyDescent="0.35">
      <c r="A978" s="2">
        <v>1976</v>
      </c>
      <c r="B978" s="4">
        <v>44945</v>
      </c>
      <c r="C978" s="1" t="s">
        <v>38</v>
      </c>
      <c r="D978" s="1" t="s">
        <v>31</v>
      </c>
      <c r="E978">
        <v>727006</v>
      </c>
      <c r="F978">
        <v>18</v>
      </c>
      <c r="G978" s="1" t="s">
        <v>35</v>
      </c>
      <c r="H978">
        <v>26480</v>
      </c>
      <c r="I978">
        <v>30764</v>
      </c>
      <c r="J978" s="1" t="s">
        <v>27</v>
      </c>
      <c r="K978" s="3">
        <v>25</v>
      </c>
      <c r="L978" s="1" t="s">
        <v>28</v>
      </c>
      <c r="M978" s="1" t="s">
        <v>29</v>
      </c>
      <c r="N978" s="3">
        <v>2024010123</v>
      </c>
      <c r="O978" s="3">
        <f t="shared" si="135"/>
        <v>1.23</v>
      </c>
      <c r="P978" s="6">
        <f t="shared" si="136"/>
        <v>894217.38</v>
      </c>
      <c r="Q978" s="3" t="str">
        <f t="shared" si="137"/>
        <v>Excellent</v>
      </c>
      <c r="R978" s="3">
        <f t="shared" si="138"/>
        <v>4284</v>
      </c>
      <c r="S978" s="7">
        <f t="shared" si="139"/>
        <v>77112</v>
      </c>
      <c r="T978" s="3" t="str">
        <f t="shared" si="140"/>
        <v>High Profit</v>
      </c>
      <c r="U978" s="3" t="str">
        <f t="shared" si="141"/>
        <v>High Discount</v>
      </c>
      <c r="V978" s="3" t="str">
        <f t="shared" si="142"/>
        <v>Priority C</v>
      </c>
      <c r="W978">
        <f t="shared" si="143"/>
        <v>109050.9</v>
      </c>
      <c r="X978" t="s">
        <v>23</v>
      </c>
      <c r="Y978" t="s">
        <v>23</v>
      </c>
      <c r="Z978" t="s">
        <v>23</v>
      </c>
      <c r="AA978" t="s">
        <v>23</v>
      </c>
      <c r="AB978" t="s">
        <v>23</v>
      </c>
      <c r="AC978" t="s">
        <v>23</v>
      </c>
      <c r="AD978" t="s">
        <v>23</v>
      </c>
      <c r="AE978" t="s">
        <v>23</v>
      </c>
      <c r="AF978" t="s">
        <v>23</v>
      </c>
      <c r="AG978" t="s">
        <v>23</v>
      </c>
      <c r="AH978" t="s">
        <v>23</v>
      </c>
      <c r="AI978" t="s">
        <v>23</v>
      </c>
      <c r="AJ978" t="s">
        <v>23</v>
      </c>
    </row>
    <row r="979" spans="1:36" x14ac:dyDescent="0.35">
      <c r="A979" s="2">
        <v>1977</v>
      </c>
      <c r="B979" s="4">
        <v>45050</v>
      </c>
      <c r="C979" s="1" t="s">
        <v>41</v>
      </c>
      <c r="D979" s="1" t="s">
        <v>25</v>
      </c>
      <c r="E979">
        <v>797330</v>
      </c>
      <c r="F979">
        <v>18</v>
      </c>
      <c r="G979" s="1" t="s">
        <v>26</v>
      </c>
      <c r="H979">
        <v>17882</v>
      </c>
      <c r="I979">
        <v>22200</v>
      </c>
      <c r="J979" s="1" t="s">
        <v>33</v>
      </c>
      <c r="K979" s="3">
        <v>25</v>
      </c>
      <c r="L979" s="1" t="s">
        <v>28</v>
      </c>
      <c r="M979" s="1" t="s">
        <v>29</v>
      </c>
      <c r="N979" s="3">
        <v>2024010123</v>
      </c>
      <c r="O979" s="3">
        <f t="shared" si="135"/>
        <v>1.23</v>
      </c>
      <c r="P979" s="6">
        <f t="shared" si="136"/>
        <v>980715.9</v>
      </c>
      <c r="Q979" s="3" t="str">
        <f t="shared" si="137"/>
        <v>Excellent</v>
      </c>
      <c r="R979" s="3">
        <f t="shared" si="138"/>
        <v>4318</v>
      </c>
      <c r="S979" s="7">
        <f t="shared" si="139"/>
        <v>77724</v>
      </c>
      <c r="T979" s="3" t="str">
        <f t="shared" si="140"/>
        <v>High Profit</v>
      </c>
      <c r="U979" s="3" t="str">
        <f t="shared" si="141"/>
        <v>High Discount</v>
      </c>
      <c r="V979" s="3" t="str">
        <f t="shared" si="142"/>
        <v>Priority C</v>
      </c>
      <c r="W979">
        <f t="shared" si="143"/>
        <v>79733</v>
      </c>
      <c r="X979" t="s">
        <v>23</v>
      </c>
      <c r="Y979" t="s">
        <v>23</v>
      </c>
      <c r="Z979" t="s">
        <v>23</v>
      </c>
      <c r="AA979" t="s">
        <v>23</v>
      </c>
      <c r="AB979" t="s">
        <v>23</v>
      </c>
      <c r="AC979" t="s">
        <v>23</v>
      </c>
      <c r="AD979" t="s">
        <v>23</v>
      </c>
      <c r="AE979" t="s">
        <v>23</v>
      </c>
      <c r="AF979" t="s">
        <v>23</v>
      </c>
      <c r="AG979" t="s">
        <v>23</v>
      </c>
      <c r="AH979" t="s">
        <v>23</v>
      </c>
      <c r="AI979" t="s">
        <v>23</v>
      </c>
      <c r="AJ979" t="s">
        <v>23</v>
      </c>
    </row>
    <row r="980" spans="1:36" x14ac:dyDescent="0.35">
      <c r="A980" s="2">
        <v>1978</v>
      </c>
      <c r="B980" s="4">
        <v>45105</v>
      </c>
      <c r="C980" s="1" t="s">
        <v>24</v>
      </c>
      <c r="D980" s="1" t="s">
        <v>31</v>
      </c>
      <c r="E980">
        <v>552454</v>
      </c>
      <c r="F980">
        <v>17</v>
      </c>
      <c r="G980" s="1" t="s">
        <v>26</v>
      </c>
      <c r="H980">
        <v>24292</v>
      </c>
      <c r="I980">
        <v>31795</v>
      </c>
      <c r="J980" s="1" t="s">
        <v>27</v>
      </c>
      <c r="K980" s="3">
        <v>22</v>
      </c>
      <c r="L980" s="1" t="s">
        <v>40</v>
      </c>
      <c r="M980" s="1" t="s">
        <v>29</v>
      </c>
      <c r="N980" s="3">
        <v>2024010123</v>
      </c>
      <c r="O980" s="3">
        <f t="shared" si="135"/>
        <v>1.23</v>
      </c>
      <c r="P980" s="6">
        <f t="shared" si="136"/>
        <v>679518.42</v>
      </c>
      <c r="Q980" s="3" t="str">
        <f t="shared" si="137"/>
        <v>Excellent</v>
      </c>
      <c r="R980" s="3">
        <f t="shared" si="138"/>
        <v>7503</v>
      </c>
      <c r="S980" s="7">
        <f t="shared" si="139"/>
        <v>127551</v>
      </c>
      <c r="T980" s="3" t="str">
        <f t="shared" si="140"/>
        <v>High Profit</v>
      </c>
      <c r="U980" s="3" t="str">
        <f t="shared" si="141"/>
        <v>High Discount</v>
      </c>
      <c r="V980" s="3" t="str">
        <f t="shared" si="142"/>
        <v>Priority C</v>
      </c>
      <c r="W980">
        <f t="shared" si="143"/>
        <v>82868.099999999991</v>
      </c>
      <c r="X980" t="s">
        <v>23</v>
      </c>
      <c r="Y980" t="s">
        <v>23</v>
      </c>
      <c r="Z980" t="s">
        <v>23</v>
      </c>
      <c r="AA980" t="s">
        <v>23</v>
      </c>
      <c r="AB980" t="s">
        <v>23</v>
      </c>
      <c r="AC980" t="s">
        <v>23</v>
      </c>
      <c r="AD980" t="s">
        <v>23</v>
      </c>
      <c r="AE980" t="s">
        <v>23</v>
      </c>
      <c r="AF980" t="s">
        <v>23</v>
      </c>
      <c r="AG980" t="s">
        <v>23</v>
      </c>
      <c r="AH980" t="s">
        <v>23</v>
      </c>
      <c r="AI980" t="s">
        <v>23</v>
      </c>
      <c r="AJ980" t="s">
        <v>23</v>
      </c>
    </row>
    <row r="981" spans="1:36" x14ac:dyDescent="0.35">
      <c r="A981" s="2">
        <v>1979</v>
      </c>
      <c r="B981" s="4">
        <v>45055</v>
      </c>
      <c r="C981" s="1" t="s">
        <v>30</v>
      </c>
      <c r="D981" s="1" t="s">
        <v>42</v>
      </c>
      <c r="E981">
        <v>820573</v>
      </c>
      <c r="F981">
        <v>18</v>
      </c>
      <c r="G981" s="1" t="s">
        <v>26</v>
      </c>
      <c r="H981">
        <v>24566</v>
      </c>
      <c r="I981">
        <v>28708</v>
      </c>
      <c r="J981" s="1" t="s">
        <v>27</v>
      </c>
      <c r="K981" s="3">
        <v>28</v>
      </c>
      <c r="L981" s="1" t="s">
        <v>36</v>
      </c>
      <c r="M981" s="1" t="s">
        <v>29</v>
      </c>
      <c r="N981" s="3">
        <v>2024010123</v>
      </c>
      <c r="O981" s="3">
        <f t="shared" si="135"/>
        <v>1.23</v>
      </c>
      <c r="P981" s="6">
        <f t="shared" si="136"/>
        <v>1009304.79</v>
      </c>
      <c r="Q981" s="3" t="str">
        <f t="shared" si="137"/>
        <v>Excellent</v>
      </c>
      <c r="R981" s="3">
        <f t="shared" si="138"/>
        <v>4142</v>
      </c>
      <c r="S981" s="7">
        <f t="shared" si="139"/>
        <v>74556</v>
      </c>
      <c r="T981" s="3" t="str">
        <f t="shared" si="140"/>
        <v>High Profit</v>
      </c>
      <c r="U981" s="3" t="str">
        <f t="shared" si="141"/>
        <v>High Discount</v>
      </c>
      <c r="V981" s="3" t="str">
        <f t="shared" si="142"/>
        <v>Priority C</v>
      </c>
      <c r="W981">
        <f t="shared" si="143"/>
        <v>123085.95</v>
      </c>
      <c r="X981" t="s">
        <v>23</v>
      </c>
      <c r="Y981" t="s">
        <v>23</v>
      </c>
      <c r="Z981" t="s">
        <v>23</v>
      </c>
      <c r="AA981" t="s">
        <v>23</v>
      </c>
      <c r="AB981" t="s">
        <v>23</v>
      </c>
      <c r="AC981" t="s">
        <v>23</v>
      </c>
      <c r="AD981" t="s">
        <v>23</v>
      </c>
      <c r="AE981" t="s">
        <v>23</v>
      </c>
      <c r="AF981" t="s">
        <v>23</v>
      </c>
      <c r="AG981" t="s">
        <v>23</v>
      </c>
      <c r="AH981" t="s">
        <v>23</v>
      </c>
      <c r="AI981" t="s">
        <v>23</v>
      </c>
      <c r="AJ981" t="s">
        <v>23</v>
      </c>
    </row>
    <row r="982" spans="1:36" x14ac:dyDescent="0.35">
      <c r="A982" s="2">
        <v>1980</v>
      </c>
      <c r="B982" s="4">
        <v>45085</v>
      </c>
      <c r="C982" s="1" t="s">
        <v>30</v>
      </c>
      <c r="D982" s="1" t="s">
        <v>43</v>
      </c>
      <c r="E982">
        <v>416645</v>
      </c>
      <c r="F982">
        <v>7</v>
      </c>
      <c r="G982" s="1" t="s">
        <v>35</v>
      </c>
      <c r="H982">
        <v>24781</v>
      </c>
      <c r="I982">
        <v>27187</v>
      </c>
      <c r="J982" s="1" t="s">
        <v>27</v>
      </c>
      <c r="K982" s="3">
        <v>0</v>
      </c>
      <c r="L982" s="1" t="s">
        <v>40</v>
      </c>
      <c r="M982" s="1" t="s">
        <v>37</v>
      </c>
      <c r="N982" s="3">
        <v>2024010123</v>
      </c>
      <c r="O982" s="3">
        <f t="shared" si="135"/>
        <v>1.23</v>
      </c>
      <c r="P982" s="6">
        <f t="shared" si="136"/>
        <v>512473.35</v>
      </c>
      <c r="Q982" s="3" t="str">
        <f t="shared" si="137"/>
        <v>Excellent</v>
      </c>
      <c r="R982" s="3">
        <f t="shared" si="138"/>
        <v>2406</v>
      </c>
      <c r="S982" s="7">
        <f t="shared" si="139"/>
        <v>16842</v>
      </c>
      <c r="T982" s="3" t="str">
        <f t="shared" si="140"/>
        <v>High Profit</v>
      </c>
      <c r="U982" s="3" t="str">
        <f t="shared" si="141"/>
        <v>No Discount</v>
      </c>
      <c r="V982" s="3" t="str">
        <f t="shared" si="142"/>
        <v>Priority C</v>
      </c>
      <c r="W982">
        <f t="shared" si="143"/>
        <v>62496.75</v>
      </c>
      <c r="X982" t="s">
        <v>23</v>
      </c>
      <c r="Y982" t="s">
        <v>23</v>
      </c>
      <c r="Z982" t="s">
        <v>23</v>
      </c>
      <c r="AA982" t="s">
        <v>23</v>
      </c>
      <c r="AB982" t="s">
        <v>23</v>
      </c>
      <c r="AC982" t="s">
        <v>23</v>
      </c>
      <c r="AD982" t="s">
        <v>23</v>
      </c>
      <c r="AE982" t="s">
        <v>23</v>
      </c>
      <c r="AF982" t="s">
        <v>23</v>
      </c>
      <c r="AG982" t="s">
        <v>23</v>
      </c>
      <c r="AH982" t="s">
        <v>23</v>
      </c>
      <c r="AI982" t="s">
        <v>23</v>
      </c>
      <c r="AJ982" t="s">
        <v>23</v>
      </c>
    </row>
    <row r="983" spans="1:36" x14ac:dyDescent="0.35">
      <c r="A983" s="2">
        <v>1981</v>
      </c>
      <c r="B983" s="4">
        <v>45106</v>
      </c>
      <c r="C983" s="1" t="s">
        <v>34</v>
      </c>
      <c r="D983" s="1" t="s">
        <v>31</v>
      </c>
      <c r="E983">
        <v>365083</v>
      </c>
      <c r="F983">
        <v>12</v>
      </c>
      <c r="G983" s="1" t="s">
        <v>26</v>
      </c>
      <c r="H983">
        <v>51574</v>
      </c>
      <c r="I983">
        <v>53409</v>
      </c>
      <c r="J983" s="1" t="s">
        <v>27</v>
      </c>
      <c r="K983" s="3">
        <v>3</v>
      </c>
      <c r="L983" s="1" t="s">
        <v>40</v>
      </c>
      <c r="M983" s="1" t="s">
        <v>29</v>
      </c>
      <c r="N983" s="3">
        <v>2024010123</v>
      </c>
      <c r="O983" s="3">
        <f t="shared" si="135"/>
        <v>1.23</v>
      </c>
      <c r="P983" s="6">
        <f t="shared" si="136"/>
        <v>449052.08999999997</v>
      </c>
      <c r="Q983" s="3" t="str">
        <f t="shared" si="137"/>
        <v>Excellent</v>
      </c>
      <c r="R983" s="3">
        <f t="shared" si="138"/>
        <v>1835</v>
      </c>
      <c r="S983" s="7">
        <f t="shared" si="139"/>
        <v>22020</v>
      </c>
      <c r="T983" s="3" t="str">
        <f t="shared" si="140"/>
        <v>High Profit</v>
      </c>
      <c r="U983" s="3" t="str">
        <f t="shared" si="141"/>
        <v>Low Discount</v>
      </c>
      <c r="V983" s="3" t="str">
        <f t="shared" si="142"/>
        <v>Priority D</v>
      </c>
      <c r="W983">
        <f t="shared" si="143"/>
        <v>54762.45</v>
      </c>
      <c r="X983" t="s">
        <v>23</v>
      </c>
      <c r="Y983" t="s">
        <v>23</v>
      </c>
      <c r="Z983" t="s">
        <v>23</v>
      </c>
      <c r="AA983" t="s">
        <v>23</v>
      </c>
      <c r="AB983" t="s">
        <v>23</v>
      </c>
      <c r="AC983" t="s">
        <v>23</v>
      </c>
      <c r="AD983" t="s">
        <v>23</v>
      </c>
      <c r="AE983" t="s">
        <v>23</v>
      </c>
      <c r="AF983" t="s">
        <v>23</v>
      </c>
      <c r="AG983" t="s">
        <v>23</v>
      </c>
      <c r="AH983" t="s">
        <v>23</v>
      </c>
      <c r="AI983" t="s">
        <v>23</v>
      </c>
      <c r="AJ983" t="s">
        <v>23</v>
      </c>
    </row>
    <row r="984" spans="1:36" x14ac:dyDescent="0.35">
      <c r="A984" s="2">
        <v>1982</v>
      </c>
      <c r="B984" s="4">
        <v>44982</v>
      </c>
      <c r="C984" s="1" t="s">
        <v>24</v>
      </c>
      <c r="D984" s="1" t="s">
        <v>42</v>
      </c>
      <c r="E984">
        <v>705688</v>
      </c>
      <c r="F984">
        <v>12</v>
      </c>
      <c r="G984" s="1" t="s">
        <v>26</v>
      </c>
      <c r="H984">
        <v>43463</v>
      </c>
      <c r="I984">
        <v>45754</v>
      </c>
      <c r="J984" s="1" t="s">
        <v>27</v>
      </c>
      <c r="K984" s="3">
        <v>1</v>
      </c>
      <c r="L984" s="1" t="s">
        <v>28</v>
      </c>
      <c r="M984" s="1" t="s">
        <v>37</v>
      </c>
      <c r="N984" s="3">
        <v>2024010123</v>
      </c>
      <c r="O984" s="3">
        <f t="shared" si="135"/>
        <v>1.23</v>
      </c>
      <c r="P984" s="6">
        <f t="shared" si="136"/>
        <v>867996.24</v>
      </c>
      <c r="Q984" s="3" t="str">
        <f t="shared" si="137"/>
        <v>Excellent</v>
      </c>
      <c r="R984" s="3">
        <f t="shared" si="138"/>
        <v>2291</v>
      </c>
      <c r="S984" s="7">
        <f t="shared" si="139"/>
        <v>27492</v>
      </c>
      <c r="T984" s="3" t="str">
        <f t="shared" si="140"/>
        <v>High Profit</v>
      </c>
      <c r="U984" s="3" t="str">
        <f t="shared" si="141"/>
        <v>Low Discount</v>
      </c>
      <c r="V984" s="3" t="str">
        <f t="shared" si="142"/>
        <v>Priority C</v>
      </c>
      <c r="W984">
        <f t="shared" si="143"/>
        <v>105853.2</v>
      </c>
      <c r="X984" t="s">
        <v>23</v>
      </c>
      <c r="Y984" t="s">
        <v>23</v>
      </c>
      <c r="Z984" t="s">
        <v>23</v>
      </c>
      <c r="AA984" t="s">
        <v>23</v>
      </c>
      <c r="AB984" t="s">
        <v>23</v>
      </c>
      <c r="AC984" t="s">
        <v>23</v>
      </c>
      <c r="AD984" t="s">
        <v>23</v>
      </c>
      <c r="AE984" t="s">
        <v>23</v>
      </c>
      <c r="AF984" t="s">
        <v>23</v>
      </c>
      <c r="AG984" t="s">
        <v>23</v>
      </c>
      <c r="AH984" t="s">
        <v>23</v>
      </c>
      <c r="AI984" t="s">
        <v>23</v>
      </c>
      <c r="AJ984" t="s">
        <v>23</v>
      </c>
    </row>
    <row r="985" spans="1:36" x14ac:dyDescent="0.35">
      <c r="A985" s="2">
        <v>1983</v>
      </c>
      <c r="B985" s="4">
        <v>45077</v>
      </c>
      <c r="C985" s="1" t="s">
        <v>30</v>
      </c>
      <c r="D985" s="1" t="s">
        <v>43</v>
      </c>
      <c r="E985">
        <v>142554</v>
      </c>
      <c r="F985">
        <v>12</v>
      </c>
      <c r="G985" s="1" t="s">
        <v>26</v>
      </c>
      <c r="H985">
        <v>56940</v>
      </c>
      <c r="I985">
        <v>61597</v>
      </c>
      <c r="J985" s="1" t="s">
        <v>27</v>
      </c>
      <c r="K985" s="3">
        <v>9</v>
      </c>
      <c r="L985" s="1" t="s">
        <v>28</v>
      </c>
      <c r="M985" s="1" t="s">
        <v>37</v>
      </c>
      <c r="N985" s="3">
        <v>2024010123</v>
      </c>
      <c r="O985" s="3">
        <f t="shared" si="135"/>
        <v>1.23</v>
      </c>
      <c r="P985" s="6">
        <f t="shared" si="136"/>
        <v>175341.41999999998</v>
      </c>
      <c r="Q985" s="3" t="str">
        <f t="shared" si="137"/>
        <v>Excellent</v>
      </c>
      <c r="R985" s="3">
        <f t="shared" si="138"/>
        <v>4657</v>
      </c>
      <c r="S985" s="7">
        <f t="shared" si="139"/>
        <v>55884</v>
      </c>
      <c r="T985" s="3" t="str">
        <f t="shared" si="140"/>
        <v>High Profit</v>
      </c>
      <c r="U985" s="3" t="str">
        <f t="shared" si="141"/>
        <v>Medium Discount</v>
      </c>
      <c r="V985" s="3" t="str">
        <f t="shared" si="142"/>
        <v>Priority C</v>
      </c>
      <c r="W985">
        <f t="shared" si="143"/>
        <v>21383.1</v>
      </c>
      <c r="X985" t="s">
        <v>23</v>
      </c>
      <c r="Y985" t="s">
        <v>23</v>
      </c>
      <c r="Z985" t="s">
        <v>23</v>
      </c>
      <c r="AA985" t="s">
        <v>23</v>
      </c>
      <c r="AB985" t="s">
        <v>23</v>
      </c>
      <c r="AC985" t="s">
        <v>23</v>
      </c>
      <c r="AD985" t="s">
        <v>23</v>
      </c>
      <c r="AE985" t="s">
        <v>23</v>
      </c>
      <c r="AF985" t="s">
        <v>23</v>
      </c>
      <c r="AG985" t="s">
        <v>23</v>
      </c>
      <c r="AH985" t="s">
        <v>23</v>
      </c>
      <c r="AI985" t="s">
        <v>23</v>
      </c>
      <c r="AJ985" t="s">
        <v>23</v>
      </c>
    </row>
    <row r="986" spans="1:36" x14ac:dyDescent="0.35">
      <c r="A986" s="2">
        <v>1984</v>
      </c>
      <c r="B986" s="4">
        <v>45132</v>
      </c>
      <c r="C986" s="1" t="s">
        <v>34</v>
      </c>
      <c r="D986" s="1" t="s">
        <v>25</v>
      </c>
      <c r="E986">
        <v>563250</v>
      </c>
      <c r="F986">
        <v>12</v>
      </c>
      <c r="G986" s="1" t="s">
        <v>35</v>
      </c>
      <c r="H986">
        <v>29945</v>
      </c>
      <c r="I986">
        <v>31837</v>
      </c>
      <c r="J986" s="1" t="s">
        <v>33</v>
      </c>
      <c r="K986" s="3">
        <v>7</v>
      </c>
      <c r="L986" s="1" t="s">
        <v>36</v>
      </c>
      <c r="M986" s="1" t="s">
        <v>37</v>
      </c>
      <c r="N986" s="3">
        <v>2024010123</v>
      </c>
      <c r="O986" s="3">
        <f t="shared" si="135"/>
        <v>1.23</v>
      </c>
      <c r="P986" s="6">
        <f t="shared" si="136"/>
        <v>692797.5</v>
      </c>
      <c r="Q986" s="3" t="str">
        <f t="shared" si="137"/>
        <v>Excellent</v>
      </c>
      <c r="R986" s="3">
        <f t="shared" si="138"/>
        <v>1892</v>
      </c>
      <c r="S986" s="7">
        <f t="shared" si="139"/>
        <v>22704</v>
      </c>
      <c r="T986" s="3" t="str">
        <f t="shared" si="140"/>
        <v>High Profit</v>
      </c>
      <c r="U986" s="3" t="str">
        <f t="shared" si="141"/>
        <v>Medium Discount</v>
      </c>
      <c r="V986" s="3" t="str">
        <f t="shared" si="142"/>
        <v>Priority C</v>
      </c>
      <c r="W986">
        <f t="shared" si="143"/>
        <v>56325</v>
      </c>
      <c r="X986" t="s">
        <v>23</v>
      </c>
      <c r="Y986" t="s">
        <v>23</v>
      </c>
      <c r="Z986" t="s">
        <v>23</v>
      </c>
      <c r="AA986" t="s">
        <v>23</v>
      </c>
      <c r="AB986" t="s">
        <v>23</v>
      </c>
      <c r="AC986" t="s">
        <v>23</v>
      </c>
      <c r="AD986" t="s">
        <v>23</v>
      </c>
      <c r="AE986" t="s">
        <v>23</v>
      </c>
      <c r="AF986" t="s">
        <v>23</v>
      </c>
      <c r="AG986" t="s">
        <v>23</v>
      </c>
      <c r="AH986" t="s">
        <v>23</v>
      </c>
      <c r="AI986" t="s">
        <v>23</v>
      </c>
      <c r="AJ986" t="s">
        <v>23</v>
      </c>
    </row>
    <row r="987" spans="1:36" x14ac:dyDescent="0.35">
      <c r="A987" s="2">
        <v>1985</v>
      </c>
      <c r="B987" s="4">
        <v>45025</v>
      </c>
      <c r="C987" s="1" t="s">
        <v>34</v>
      </c>
      <c r="D987" s="1" t="s">
        <v>43</v>
      </c>
      <c r="E987">
        <v>844710</v>
      </c>
      <c r="F987">
        <v>12</v>
      </c>
      <c r="G987" s="1" t="s">
        <v>35</v>
      </c>
      <c r="H987">
        <v>45865</v>
      </c>
      <c r="I987">
        <v>48428</v>
      </c>
      <c r="J987" s="1" t="s">
        <v>27</v>
      </c>
      <c r="K987" s="3">
        <v>7</v>
      </c>
      <c r="L987" s="1" t="s">
        <v>28</v>
      </c>
      <c r="M987" s="1" t="s">
        <v>37</v>
      </c>
      <c r="N987" s="3">
        <v>2024010123</v>
      </c>
      <c r="O987" s="3">
        <f t="shared" si="135"/>
        <v>1.23</v>
      </c>
      <c r="P987" s="6">
        <f t="shared" si="136"/>
        <v>1038993.2999999999</v>
      </c>
      <c r="Q987" s="3" t="str">
        <f t="shared" si="137"/>
        <v>Excellent</v>
      </c>
      <c r="R987" s="3">
        <f t="shared" si="138"/>
        <v>2563</v>
      </c>
      <c r="S987" s="7">
        <f t="shared" si="139"/>
        <v>30756</v>
      </c>
      <c r="T987" s="3" t="str">
        <f t="shared" si="140"/>
        <v>High Profit</v>
      </c>
      <c r="U987" s="3" t="str">
        <f t="shared" si="141"/>
        <v>Medium Discount</v>
      </c>
      <c r="V987" s="3" t="str">
        <f t="shared" si="142"/>
        <v>Priority C</v>
      </c>
      <c r="W987">
        <f t="shared" si="143"/>
        <v>126706.5</v>
      </c>
      <c r="X987" t="s">
        <v>23</v>
      </c>
      <c r="Y987" t="s">
        <v>23</v>
      </c>
      <c r="Z987" t="s">
        <v>23</v>
      </c>
      <c r="AA987" t="s">
        <v>23</v>
      </c>
      <c r="AB987" t="s">
        <v>23</v>
      </c>
      <c r="AC987" t="s">
        <v>23</v>
      </c>
      <c r="AD987" t="s">
        <v>23</v>
      </c>
      <c r="AE987" t="s">
        <v>23</v>
      </c>
      <c r="AF987" t="s">
        <v>23</v>
      </c>
      <c r="AG987" t="s">
        <v>23</v>
      </c>
      <c r="AH987" t="s">
        <v>23</v>
      </c>
      <c r="AI987" t="s">
        <v>23</v>
      </c>
      <c r="AJ987" t="s">
        <v>23</v>
      </c>
    </row>
    <row r="988" spans="1:36" x14ac:dyDescent="0.35">
      <c r="A988" s="2">
        <v>1986</v>
      </c>
      <c r="B988" s="4">
        <v>45271</v>
      </c>
      <c r="C988" s="1" t="s">
        <v>34</v>
      </c>
      <c r="D988" s="1" t="s">
        <v>25</v>
      </c>
      <c r="E988">
        <v>475825</v>
      </c>
      <c r="F988">
        <v>9</v>
      </c>
      <c r="G988" s="1" t="s">
        <v>35</v>
      </c>
      <c r="H988">
        <v>36164</v>
      </c>
      <c r="I988">
        <v>39496</v>
      </c>
      <c r="J988" s="1" t="s">
        <v>33</v>
      </c>
      <c r="K988" s="3">
        <v>27</v>
      </c>
      <c r="L988" s="1" t="s">
        <v>28</v>
      </c>
      <c r="M988" s="1" t="s">
        <v>29</v>
      </c>
      <c r="N988" s="3">
        <v>2024010123</v>
      </c>
      <c r="O988" s="3">
        <f t="shared" si="135"/>
        <v>1.23</v>
      </c>
      <c r="P988" s="6">
        <f t="shared" si="136"/>
        <v>585264.75</v>
      </c>
      <c r="Q988" s="3" t="str">
        <f t="shared" si="137"/>
        <v>Excellent</v>
      </c>
      <c r="R988" s="3">
        <f t="shared" si="138"/>
        <v>3332</v>
      </c>
      <c r="S988" s="7">
        <f t="shared" si="139"/>
        <v>29988</v>
      </c>
      <c r="T988" s="3" t="str">
        <f t="shared" si="140"/>
        <v>High Profit</v>
      </c>
      <c r="U988" s="3" t="str">
        <f t="shared" si="141"/>
        <v>High Discount</v>
      </c>
      <c r="V988" s="3" t="str">
        <f t="shared" si="142"/>
        <v>Priority D</v>
      </c>
      <c r="W988">
        <f t="shared" si="143"/>
        <v>47582.5</v>
      </c>
      <c r="X988" t="s">
        <v>23</v>
      </c>
      <c r="Y988" t="s">
        <v>23</v>
      </c>
      <c r="Z988" t="s">
        <v>23</v>
      </c>
      <c r="AA988" t="s">
        <v>23</v>
      </c>
      <c r="AB988" t="s">
        <v>23</v>
      </c>
      <c r="AC988" t="s">
        <v>23</v>
      </c>
      <c r="AD988" t="s">
        <v>23</v>
      </c>
      <c r="AE988" t="s">
        <v>23</v>
      </c>
      <c r="AF988" t="s">
        <v>23</v>
      </c>
      <c r="AG988" t="s">
        <v>23</v>
      </c>
      <c r="AH988" t="s">
        <v>23</v>
      </c>
      <c r="AI988" t="s">
        <v>23</v>
      </c>
      <c r="AJ988" t="s">
        <v>23</v>
      </c>
    </row>
    <row r="989" spans="1:36" x14ac:dyDescent="0.35">
      <c r="A989" s="2">
        <v>1987</v>
      </c>
      <c r="B989" s="4">
        <v>45221</v>
      </c>
      <c r="C989" s="1" t="s">
        <v>38</v>
      </c>
      <c r="D989" s="1" t="s">
        <v>43</v>
      </c>
      <c r="E989">
        <v>302650</v>
      </c>
      <c r="F989">
        <v>12</v>
      </c>
      <c r="G989" s="1" t="s">
        <v>32</v>
      </c>
      <c r="H989">
        <v>24014</v>
      </c>
      <c r="I989">
        <v>25797</v>
      </c>
      <c r="J989" s="1" t="s">
        <v>33</v>
      </c>
      <c r="K989" s="3">
        <v>15</v>
      </c>
      <c r="L989" s="1" t="s">
        <v>28</v>
      </c>
      <c r="M989" s="1" t="s">
        <v>29</v>
      </c>
      <c r="N989" s="3">
        <v>2024010123</v>
      </c>
      <c r="O989" s="3">
        <f t="shared" si="135"/>
        <v>1.23</v>
      </c>
      <c r="P989" s="6">
        <f t="shared" si="136"/>
        <v>372259.5</v>
      </c>
      <c r="Q989" s="3" t="str">
        <f t="shared" si="137"/>
        <v>Excellent</v>
      </c>
      <c r="R989" s="3">
        <f t="shared" si="138"/>
        <v>1783</v>
      </c>
      <c r="S989" s="7">
        <f t="shared" si="139"/>
        <v>21396</v>
      </c>
      <c r="T989" s="3" t="str">
        <f t="shared" si="140"/>
        <v>High Profit</v>
      </c>
      <c r="U989" s="3" t="str">
        <f t="shared" si="141"/>
        <v>High Discount</v>
      </c>
      <c r="V989" s="3" t="str">
        <f t="shared" si="142"/>
        <v>Priority D</v>
      </c>
      <c r="W989">
        <f t="shared" si="143"/>
        <v>30265</v>
      </c>
      <c r="X989" t="s">
        <v>23</v>
      </c>
      <c r="Y989" t="s">
        <v>23</v>
      </c>
      <c r="Z989" t="s">
        <v>23</v>
      </c>
      <c r="AA989" t="s">
        <v>23</v>
      </c>
      <c r="AB989" t="s">
        <v>23</v>
      </c>
      <c r="AC989" t="s">
        <v>23</v>
      </c>
      <c r="AD989" t="s">
        <v>23</v>
      </c>
      <c r="AE989" t="s">
        <v>23</v>
      </c>
      <c r="AF989" t="s">
        <v>23</v>
      </c>
      <c r="AG989" t="s">
        <v>23</v>
      </c>
      <c r="AH989" t="s">
        <v>23</v>
      </c>
      <c r="AI989" t="s">
        <v>23</v>
      </c>
      <c r="AJ989" t="s">
        <v>23</v>
      </c>
    </row>
    <row r="990" spans="1:36" x14ac:dyDescent="0.35">
      <c r="A990" s="2">
        <v>1988</v>
      </c>
      <c r="B990" s="4">
        <v>45179</v>
      </c>
      <c r="C990" s="1" t="s">
        <v>41</v>
      </c>
      <c r="D990" s="1" t="s">
        <v>42</v>
      </c>
      <c r="E990">
        <v>179455</v>
      </c>
      <c r="F990">
        <v>10</v>
      </c>
      <c r="G990" s="1" t="s">
        <v>26</v>
      </c>
      <c r="H990">
        <v>28033</v>
      </c>
      <c r="I990">
        <v>31665</v>
      </c>
      <c r="J990" s="1" t="s">
        <v>33</v>
      </c>
      <c r="K990" s="3">
        <v>15</v>
      </c>
      <c r="L990" s="1" t="s">
        <v>36</v>
      </c>
      <c r="M990" s="1" t="s">
        <v>29</v>
      </c>
      <c r="N990" s="3">
        <v>2024010123</v>
      </c>
      <c r="O990" s="3">
        <f t="shared" si="135"/>
        <v>1.23</v>
      </c>
      <c r="P990" s="6">
        <f t="shared" si="136"/>
        <v>220729.65</v>
      </c>
      <c r="Q990" s="3" t="str">
        <f t="shared" si="137"/>
        <v>Excellent</v>
      </c>
      <c r="R990" s="3">
        <f t="shared" si="138"/>
        <v>3632</v>
      </c>
      <c r="S990" s="7">
        <f t="shared" si="139"/>
        <v>36320</v>
      </c>
      <c r="T990" s="3" t="str">
        <f t="shared" si="140"/>
        <v>High Profit</v>
      </c>
      <c r="U990" s="3" t="str">
        <f t="shared" si="141"/>
        <v>High Discount</v>
      </c>
      <c r="V990" s="3" t="str">
        <f t="shared" si="142"/>
        <v>Priority D</v>
      </c>
      <c r="W990">
        <f t="shared" si="143"/>
        <v>17945.5</v>
      </c>
      <c r="X990" t="s">
        <v>23</v>
      </c>
      <c r="Y990" t="s">
        <v>23</v>
      </c>
      <c r="Z990" t="s">
        <v>23</v>
      </c>
      <c r="AA990" t="s">
        <v>23</v>
      </c>
      <c r="AB990" t="s">
        <v>23</v>
      </c>
      <c r="AC990" t="s">
        <v>23</v>
      </c>
      <c r="AD990" t="s">
        <v>23</v>
      </c>
      <c r="AE990" t="s">
        <v>23</v>
      </c>
      <c r="AF990" t="s">
        <v>23</v>
      </c>
      <c r="AG990" t="s">
        <v>23</v>
      </c>
      <c r="AH990" t="s">
        <v>23</v>
      </c>
      <c r="AI990" t="s">
        <v>23</v>
      </c>
      <c r="AJ990" t="s">
        <v>23</v>
      </c>
    </row>
    <row r="991" spans="1:36" x14ac:dyDescent="0.35">
      <c r="A991" s="2">
        <v>1989</v>
      </c>
      <c r="B991" s="4">
        <v>45031</v>
      </c>
      <c r="C991" s="1" t="s">
        <v>38</v>
      </c>
      <c r="D991" s="1" t="s">
        <v>42</v>
      </c>
      <c r="E991">
        <v>149419</v>
      </c>
      <c r="F991">
        <v>12</v>
      </c>
      <c r="G991" s="1" t="s">
        <v>35</v>
      </c>
      <c r="H991">
        <v>30190</v>
      </c>
      <c r="I991">
        <v>35048</v>
      </c>
      <c r="J991" s="1" t="s">
        <v>27</v>
      </c>
      <c r="K991" s="3">
        <v>24</v>
      </c>
      <c r="L991" s="1" t="s">
        <v>28</v>
      </c>
      <c r="M991" s="1" t="s">
        <v>37</v>
      </c>
      <c r="N991" s="3">
        <v>2024010123</v>
      </c>
      <c r="O991" s="3">
        <f t="shared" si="135"/>
        <v>1.23</v>
      </c>
      <c r="P991" s="6">
        <f t="shared" si="136"/>
        <v>183785.37</v>
      </c>
      <c r="Q991" s="3" t="str">
        <f t="shared" si="137"/>
        <v>Excellent</v>
      </c>
      <c r="R991" s="3">
        <f t="shared" si="138"/>
        <v>4858</v>
      </c>
      <c r="S991" s="7">
        <f t="shared" si="139"/>
        <v>58296</v>
      </c>
      <c r="T991" s="3" t="str">
        <f t="shared" si="140"/>
        <v>High Profit</v>
      </c>
      <c r="U991" s="3" t="str">
        <f t="shared" si="141"/>
        <v>High Discount</v>
      </c>
      <c r="V991" s="3" t="str">
        <f t="shared" si="142"/>
        <v>Priority C</v>
      </c>
      <c r="W991">
        <f t="shared" si="143"/>
        <v>22412.85</v>
      </c>
      <c r="X991" t="s">
        <v>23</v>
      </c>
      <c r="Y991" t="s">
        <v>23</v>
      </c>
      <c r="Z991" t="s">
        <v>23</v>
      </c>
      <c r="AA991" t="s">
        <v>23</v>
      </c>
      <c r="AB991" t="s">
        <v>23</v>
      </c>
      <c r="AC991" t="s">
        <v>23</v>
      </c>
      <c r="AD991" t="s">
        <v>23</v>
      </c>
      <c r="AE991" t="s">
        <v>23</v>
      </c>
      <c r="AF991" t="s">
        <v>23</v>
      </c>
      <c r="AG991" t="s">
        <v>23</v>
      </c>
      <c r="AH991" t="s">
        <v>23</v>
      </c>
      <c r="AI991" t="s">
        <v>23</v>
      </c>
      <c r="AJ991" t="s">
        <v>23</v>
      </c>
    </row>
    <row r="992" spans="1:36" x14ac:dyDescent="0.35">
      <c r="A992" s="2">
        <v>1990</v>
      </c>
      <c r="B992" s="4">
        <v>45052</v>
      </c>
      <c r="C992" s="1" t="s">
        <v>24</v>
      </c>
      <c r="D992" s="1" t="s">
        <v>43</v>
      </c>
      <c r="E992">
        <v>152022</v>
      </c>
      <c r="F992">
        <v>21</v>
      </c>
      <c r="G992" s="1" t="s">
        <v>26</v>
      </c>
      <c r="H992">
        <v>19938</v>
      </c>
      <c r="I992">
        <v>27201</v>
      </c>
      <c r="J992" s="1" t="s">
        <v>33</v>
      </c>
      <c r="K992" s="3">
        <v>0</v>
      </c>
      <c r="L992" s="1" t="s">
        <v>28</v>
      </c>
      <c r="M992" s="1" t="s">
        <v>37</v>
      </c>
      <c r="N992" s="3">
        <v>2024010123</v>
      </c>
      <c r="O992" s="3">
        <f t="shared" si="135"/>
        <v>1.23</v>
      </c>
      <c r="P992" s="6">
        <f t="shared" si="136"/>
        <v>186987.06</v>
      </c>
      <c r="Q992" s="3" t="str">
        <f t="shared" si="137"/>
        <v>Excellent</v>
      </c>
      <c r="R992" s="3">
        <f t="shared" si="138"/>
        <v>7263</v>
      </c>
      <c r="S992" s="7">
        <f t="shared" si="139"/>
        <v>152523</v>
      </c>
      <c r="T992" s="3" t="str">
        <f t="shared" si="140"/>
        <v>High Profit</v>
      </c>
      <c r="U992" s="3" t="str">
        <f t="shared" si="141"/>
        <v>No Discount</v>
      </c>
      <c r="V992" s="3" t="str">
        <f t="shared" si="142"/>
        <v>Priority C</v>
      </c>
      <c r="W992">
        <f t="shared" si="143"/>
        <v>15202.2</v>
      </c>
      <c r="X992" t="s">
        <v>23</v>
      </c>
      <c r="Y992" t="s">
        <v>23</v>
      </c>
      <c r="Z992" t="s">
        <v>23</v>
      </c>
      <c r="AA992" t="s">
        <v>23</v>
      </c>
      <c r="AB992" t="s">
        <v>23</v>
      </c>
      <c r="AC992" t="s">
        <v>23</v>
      </c>
      <c r="AD992" t="s">
        <v>23</v>
      </c>
      <c r="AE992" t="s">
        <v>23</v>
      </c>
      <c r="AF992" t="s">
        <v>23</v>
      </c>
      <c r="AG992" t="s">
        <v>23</v>
      </c>
      <c r="AH992" t="s">
        <v>23</v>
      </c>
      <c r="AI992" t="s">
        <v>23</v>
      </c>
      <c r="AJ992" t="s">
        <v>23</v>
      </c>
    </row>
    <row r="993" spans="1:36" x14ac:dyDescent="0.35">
      <c r="A993" s="2">
        <v>1991</v>
      </c>
      <c r="B993" s="4">
        <v>45192</v>
      </c>
      <c r="C993" s="1" t="s">
        <v>41</v>
      </c>
      <c r="D993" s="1" t="s">
        <v>43</v>
      </c>
      <c r="E993">
        <v>817301</v>
      </c>
      <c r="F993">
        <v>21</v>
      </c>
      <c r="G993" s="1" t="s">
        <v>39</v>
      </c>
      <c r="H993">
        <v>18406</v>
      </c>
      <c r="I993">
        <v>26957</v>
      </c>
      <c r="J993" s="1" t="s">
        <v>33</v>
      </c>
      <c r="K993" s="3">
        <v>3</v>
      </c>
      <c r="L993" s="1" t="s">
        <v>36</v>
      </c>
      <c r="M993" s="1" t="s">
        <v>37</v>
      </c>
      <c r="N993" s="3">
        <v>2024010123</v>
      </c>
      <c r="O993" s="3">
        <f t="shared" si="135"/>
        <v>1.23</v>
      </c>
      <c r="P993" s="6">
        <f t="shared" si="136"/>
        <v>1005280.23</v>
      </c>
      <c r="Q993" s="3" t="str">
        <f t="shared" si="137"/>
        <v>Excellent</v>
      </c>
      <c r="R993" s="3">
        <f t="shared" si="138"/>
        <v>8551</v>
      </c>
      <c r="S993" s="7">
        <f t="shared" si="139"/>
        <v>179571</v>
      </c>
      <c r="T993" s="3" t="str">
        <f t="shared" si="140"/>
        <v>High Profit</v>
      </c>
      <c r="U993" s="3" t="str">
        <f t="shared" si="141"/>
        <v>Low Discount</v>
      </c>
      <c r="V993" s="3" t="str">
        <f t="shared" si="142"/>
        <v>Priority B</v>
      </c>
      <c r="W993">
        <f t="shared" si="143"/>
        <v>81730.100000000006</v>
      </c>
      <c r="X993" t="s">
        <v>23</v>
      </c>
      <c r="Y993" t="s">
        <v>23</v>
      </c>
      <c r="Z993" t="s">
        <v>23</v>
      </c>
      <c r="AA993" t="s">
        <v>23</v>
      </c>
      <c r="AB993" t="s">
        <v>23</v>
      </c>
      <c r="AC993" t="s">
        <v>23</v>
      </c>
      <c r="AD993" t="s">
        <v>23</v>
      </c>
      <c r="AE993" t="s">
        <v>23</v>
      </c>
      <c r="AF993" t="s">
        <v>23</v>
      </c>
      <c r="AG993" t="s">
        <v>23</v>
      </c>
      <c r="AH993" t="s">
        <v>23</v>
      </c>
      <c r="AI993" t="s">
        <v>23</v>
      </c>
      <c r="AJ993" t="s">
        <v>23</v>
      </c>
    </row>
    <row r="994" spans="1:36" x14ac:dyDescent="0.35">
      <c r="A994" s="2">
        <v>1992</v>
      </c>
      <c r="B994" s="4">
        <v>45083</v>
      </c>
      <c r="C994" s="1" t="s">
        <v>30</v>
      </c>
      <c r="D994" s="1" t="s">
        <v>31</v>
      </c>
      <c r="E994">
        <v>617215</v>
      </c>
      <c r="F994">
        <v>13</v>
      </c>
      <c r="G994" s="1" t="s">
        <v>35</v>
      </c>
      <c r="H994">
        <v>27908</v>
      </c>
      <c r="I994">
        <v>34739</v>
      </c>
      <c r="J994" s="1" t="s">
        <v>27</v>
      </c>
      <c r="K994" s="3">
        <v>4</v>
      </c>
      <c r="L994" s="1" t="s">
        <v>36</v>
      </c>
      <c r="M994" s="1" t="s">
        <v>29</v>
      </c>
      <c r="N994" s="3">
        <v>2024010123</v>
      </c>
      <c r="O994" s="3">
        <f t="shared" si="135"/>
        <v>1.23</v>
      </c>
      <c r="P994" s="6">
        <f t="shared" si="136"/>
        <v>759174.45</v>
      </c>
      <c r="Q994" s="3" t="str">
        <f t="shared" si="137"/>
        <v>Excellent</v>
      </c>
      <c r="R994" s="3">
        <f t="shared" si="138"/>
        <v>6831</v>
      </c>
      <c r="S994" s="7">
        <f t="shared" si="139"/>
        <v>88803</v>
      </c>
      <c r="T994" s="3" t="str">
        <f t="shared" si="140"/>
        <v>High Profit</v>
      </c>
      <c r="U994" s="3" t="str">
        <f t="shared" si="141"/>
        <v>Low Discount</v>
      </c>
      <c r="V994" s="3" t="str">
        <f t="shared" si="142"/>
        <v>Priority D</v>
      </c>
      <c r="W994">
        <f t="shared" si="143"/>
        <v>92582.25</v>
      </c>
      <c r="X994" t="s">
        <v>23</v>
      </c>
      <c r="Y994" t="s">
        <v>23</v>
      </c>
      <c r="Z994" t="s">
        <v>23</v>
      </c>
      <c r="AA994" t="s">
        <v>23</v>
      </c>
      <c r="AB994" t="s">
        <v>23</v>
      </c>
      <c r="AC994" t="s">
        <v>23</v>
      </c>
      <c r="AD994" t="s">
        <v>23</v>
      </c>
      <c r="AE994" t="s">
        <v>23</v>
      </c>
      <c r="AF994" t="s">
        <v>23</v>
      </c>
      <c r="AG994" t="s">
        <v>23</v>
      </c>
      <c r="AH994" t="s">
        <v>23</v>
      </c>
      <c r="AI994" t="s">
        <v>23</v>
      </c>
      <c r="AJ994" t="s">
        <v>23</v>
      </c>
    </row>
    <row r="995" spans="1:36" x14ac:dyDescent="0.35">
      <c r="A995" s="2">
        <v>1993</v>
      </c>
      <c r="B995" s="4">
        <v>44997</v>
      </c>
      <c r="C995" s="1" t="s">
        <v>41</v>
      </c>
      <c r="D995" s="1" t="s">
        <v>42</v>
      </c>
      <c r="E995">
        <v>128096</v>
      </c>
      <c r="F995">
        <v>22</v>
      </c>
      <c r="G995" s="1" t="s">
        <v>32</v>
      </c>
      <c r="H995">
        <v>24482</v>
      </c>
      <c r="I995">
        <v>34481</v>
      </c>
      <c r="J995" s="1" t="s">
        <v>33</v>
      </c>
      <c r="K995" s="3">
        <v>13</v>
      </c>
      <c r="L995" s="1" t="s">
        <v>40</v>
      </c>
      <c r="M995" s="1" t="s">
        <v>37</v>
      </c>
      <c r="N995" s="3">
        <v>2024010123</v>
      </c>
      <c r="O995" s="3">
        <f t="shared" si="135"/>
        <v>1.23</v>
      </c>
      <c r="P995" s="6">
        <f t="shared" si="136"/>
        <v>157558.07999999999</v>
      </c>
      <c r="Q995" s="3" t="str">
        <f t="shared" si="137"/>
        <v>Excellent</v>
      </c>
      <c r="R995" s="3">
        <f t="shared" si="138"/>
        <v>9999</v>
      </c>
      <c r="S995" s="7">
        <f t="shared" si="139"/>
        <v>219978</v>
      </c>
      <c r="T995" s="3" t="str">
        <f t="shared" si="140"/>
        <v>High Profit</v>
      </c>
      <c r="U995" s="3" t="str">
        <f t="shared" si="141"/>
        <v>Medium Discount</v>
      </c>
      <c r="V995" s="3" t="str">
        <f t="shared" si="142"/>
        <v>Priority B</v>
      </c>
      <c r="W995">
        <f t="shared" si="143"/>
        <v>12809.6</v>
      </c>
      <c r="X995" t="s">
        <v>23</v>
      </c>
      <c r="Y995" t="s">
        <v>23</v>
      </c>
      <c r="Z995" t="s">
        <v>23</v>
      </c>
      <c r="AA995" t="s">
        <v>23</v>
      </c>
      <c r="AB995" t="s">
        <v>23</v>
      </c>
      <c r="AC995" t="s">
        <v>23</v>
      </c>
      <c r="AD995" t="s">
        <v>23</v>
      </c>
      <c r="AE995" t="s">
        <v>23</v>
      </c>
      <c r="AF995" t="s">
        <v>23</v>
      </c>
      <c r="AG995" t="s">
        <v>23</v>
      </c>
      <c r="AH995" t="s">
        <v>23</v>
      </c>
      <c r="AI995" t="s">
        <v>23</v>
      </c>
      <c r="AJ995" t="s">
        <v>23</v>
      </c>
    </row>
    <row r="996" spans="1:36" x14ac:dyDescent="0.35">
      <c r="A996" s="2">
        <v>1994</v>
      </c>
      <c r="B996" s="4">
        <v>45202</v>
      </c>
      <c r="C996" s="1" t="s">
        <v>30</v>
      </c>
      <c r="D996" s="1" t="s">
        <v>42</v>
      </c>
      <c r="E996">
        <v>782419</v>
      </c>
      <c r="F996">
        <v>12</v>
      </c>
      <c r="G996" s="1" t="s">
        <v>35</v>
      </c>
      <c r="H996">
        <v>22165</v>
      </c>
      <c r="I996">
        <v>30972</v>
      </c>
      <c r="J996" s="1" t="s">
        <v>27</v>
      </c>
      <c r="K996" s="3">
        <v>8</v>
      </c>
      <c r="L996" s="1" t="s">
        <v>40</v>
      </c>
      <c r="M996" s="1" t="s">
        <v>29</v>
      </c>
      <c r="N996" s="3">
        <v>2024010123</v>
      </c>
      <c r="O996" s="3">
        <f t="shared" si="135"/>
        <v>1.23</v>
      </c>
      <c r="P996" s="6">
        <f t="shared" si="136"/>
        <v>962375.37</v>
      </c>
      <c r="Q996" s="3" t="str">
        <f t="shared" si="137"/>
        <v>Excellent</v>
      </c>
      <c r="R996" s="3">
        <f t="shared" si="138"/>
        <v>8807</v>
      </c>
      <c r="S996" s="7">
        <f t="shared" si="139"/>
        <v>105684</v>
      </c>
      <c r="T996" s="3" t="str">
        <f t="shared" si="140"/>
        <v>High Profit</v>
      </c>
      <c r="U996" s="3" t="str">
        <f t="shared" si="141"/>
        <v>Medium Discount</v>
      </c>
      <c r="V996" s="3" t="str">
        <f t="shared" si="142"/>
        <v>Priority D</v>
      </c>
      <c r="W996">
        <f t="shared" si="143"/>
        <v>117362.84999999999</v>
      </c>
      <c r="X996" t="s">
        <v>23</v>
      </c>
      <c r="Y996" t="s">
        <v>23</v>
      </c>
      <c r="Z996" t="s">
        <v>23</v>
      </c>
      <c r="AA996" t="s">
        <v>23</v>
      </c>
      <c r="AB996" t="s">
        <v>23</v>
      </c>
      <c r="AC996" t="s">
        <v>23</v>
      </c>
      <c r="AD996" t="s">
        <v>23</v>
      </c>
      <c r="AE996" t="s">
        <v>23</v>
      </c>
      <c r="AF996" t="s">
        <v>23</v>
      </c>
      <c r="AG996" t="s">
        <v>23</v>
      </c>
      <c r="AH996" t="s">
        <v>23</v>
      </c>
      <c r="AI996" t="s">
        <v>23</v>
      </c>
      <c r="AJ996" t="s">
        <v>23</v>
      </c>
    </row>
    <row r="997" spans="1:36" x14ac:dyDescent="0.35">
      <c r="A997" s="2">
        <v>1995</v>
      </c>
      <c r="B997" s="4">
        <v>44957</v>
      </c>
      <c r="C997" s="1" t="s">
        <v>38</v>
      </c>
      <c r="D997" s="1" t="s">
        <v>31</v>
      </c>
      <c r="E997">
        <v>99358</v>
      </c>
      <c r="F997">
        <v>29</v>
      </c>
      <c r="G997" s="1" t="s">
        <v>39</v>
      </c>
      <c r="H997">
        <v>15853</v>
      </c>
      <c r="I997">
        <v>22942</v>
      </c>
      <c r="J997" s="1" t="s">
        <v>33</v>
      </c>
      <c r="K997" s="3">
        <v>8</v>
      </c>
      <c r="L997" s="1" t="s">
        <v>36</v>
      </c>
      <c r="M997" s="1" t="s">
        <v>29</v>
      </c>
      <c r="N997" s="3">
        <v>2024010123</v>
      </c>
      <c r="O997" s="3">
        <f t="shared" si="135"/>
        <v>1.23</v>
      </c>
      <c r="P997" s="6">
        <f t="shared" si="136"/>
        <v>122210.34</v>
      </c>
      <c r="Q997" s="3" t="str">
        <f t="shared" si="137"/>
        <v>Excellent</v>
      </c>
      <c r="R997" s="3">
        <f t="shared" si="138"/>
        <v>7089</v>
      </c>
      <c r="S997" s="7">
        <f t="shared" si="139"/>
        <v>205581</v>
      </c>
      <c r="T997" s="3" t="str">
        <f t="shared" si="140"/>
        <v>High Profit</v>
      </c>
      <c r="U997" s="3" t="str">
        <f t="shared" si="141"/>
        <v>Medium Discount</v>
      </c>
      <c r="V997" s="3" t="str">
        <f t="shared" si="142"/>
        <v>Priority B</v>
      </c>
      <c r="W997">
        <f t="shared" si="143"/>
        <v>9935.8000000000011</v>
      </c>
      <c r="X997" t="s">
        <v>23</v>
      </c>
      <c r="Y997" t="s">
        <v>23</v>
      </c>
      <c r="Z997" t="s">
        <v>23</v>
      </c>
      <c r="AA997" t="s">
        <v>23</v>
      </c>
      <c r="AB997" t="s">
        <v>23</v>
      </c>
      <c r="AC997" t="s">
        <v>23</v>
      </c>
      <c r="AD997" t="s">
        <v>23</v>
      </c>
      <c r="AE997" t="s">
        <v>23</v>
      </c>
      <c r="AF997" t="s">
        <v>23</v>
      </c>
      <c r="AG997" t="s">
        <v>23</v>
      </c>
      <c r="AH997" t="s">
        <v>23</v>
      </c>
      <c r="AI997" t="s">
        <v>23</v>
      </c>
      <c r="AJ997" t="s">
        <v>23</v>
      </c>
    </row>
    <row r="998" spans="1:36" x14ac:dyDescent="0.35">
      <c r="A998" s="2">
        <v>1996</v>
      </c>
      <c r="B998" s="4">
        <v>45273</v>
      </c>
      <c r="C998" s="1" t="s">
        <v>30</v>
      </c>
      <c r="D998" s="1" t="s">
        <v>42</v>
      </c>
      <c r="E998">
        <v>510488</v>
      </c>
      <c r="F998">
        <v>38</v>
      </c>
      <c r="G998" s="1" t="s">
        <v>35</v>
      </c>
      <c r="H998">
        <v>15620</v>
      </c>
      <c r="I998">
        <v>26844</v>
      </c>
      <c r="J998" s="1" t="s">
        <v>33</v>
      </c>
      <c r="K998" s="3">
        <v>28</v>
      </c>
      <c r="L998" s="1" t="s">
        <v>36</v>
      </c>
      <c r="M998" s="1" t="s">
        <v>37</v>
      </c>
      <c r="N998" s="3">
        <v>2024010123</v>
      </c>
      <c r="O998" s="3">
        <f t="shared" si="135"/>
        <v>1.23</v>
      </c>
      <c r="P998" s="6">
        <f t="shared" si="136"/>
        <v>627900.24</v>
      </c>
      <c r="Q998" s="3" t="str">
        <f t="shared" si="137"/>
        <v>Excellent</v>
      </c>
      <c r="R998" s="3">
        <f t="shared" si="138"/>
        <v>11224</v>
      </c>
      <c r="S998" s="7">
        <f t="shared" si="139"/>
        <v>426512</v>
      </c>
      <c r="T998" s="3" t="str">
        <f t="shared" si="140"/>
        <v>High Profit</v>
      </c>
      <c r="U998" s="3" t="str">
        <f t="shared" si="141"/>
        <v>High Discount</v>
      </c>
      <c r="V998" s="3" t="str">
        <f t="shared" si="142"/>
        <v>Priority C</v>
      </c>
      <c r="W998">
        <f t="shared" si="143"/>
        <v>51048.800000000003</v>
      </c>
      <c r="X998" t="s">
        <v>23</v>
      </c>
      <c r="Y998" t="s">
        <v>23</v>
      </c>
      <c r="Z998" t="s">
        <v>23</v>
      </c>
      <c r="AA998" t="s">
        <v>23</v>
      </c>
      <c r="AB998" t="s">
        <v>23</v>
      </c>
      <c r="AC998" t="s">
        <v>23</v>
      </c>
      <c r="AD998" t="s">
        <v>23</v>
      </c>
      <c r="AE998" t="s">
        <v>23</v>
      </c>
      <c r="AF998" t="s">
        <v>23</v>
      </c>
      <c r="AG998" t="s">
        <v>23</v>
      </c>
      <c r="AH998" t="s">
        <v>23</v>
      </c>
      <c r="AI998" t="s">
        <v>23</v>
      </c>
      <c r="AJ998" t="s">
        <v>23</v>
      </c>
    </row>
    <row r="999" spans="1:36" x14ac:dyDescent="0.35">
      <c r="A999" s="2">
        <v>1997</v>
      </c>
      <c r="B999" s="4">
        <v>45043</v>
      </c>
      <c r="C999" s="1" t="s">
        <v>38</v>
      </c>
      <c r="D999" s="1" t="s">
        <v>43</v>
      </c>
      <c r="E999">
        <v>505764</v>
      </c>
      <c r="F999">
        <v>37</v>
      </c>
      <c r="G999" s="1" t="s">
        <v>26</v>
      </c>
      <c r="H999">
        <v>15946</v>
      </c>
      <c r="I999">
        <v>22794</v>
      </c>
      <c r="J999" s="1" t="s">
        <v>27</v>
      </c>
      <c r="K999" s="3">
        <v>19</v>
      </c>
      <c r="L999" s="1" t="s">
        <v>40</v>
      </c>
      <c r="M999" s="1" t="s">
        <v>29</v>
      </c>
      <c r="N999" s="3">
        <v>2024010123</v>
      </c>
      <c r="O999" s="3">
        <f t="shared" si="135"/>
        <v>1.23</v>
      </c>
      <c r="P999" s="6">
        <f t="shared" si="136"/>
        <v>622089.72</v>
      </c>
      <c r="Q999" s="3" t="str">
        <f t="shared" si="137"/>
        <v>Excellent</v>
      </c>
      <c r="R999" s="3">
        <f t="shared" si="138"/>
        <v>6848</v>
      </c>
      <c r="S999" s="7">
        <f t="shared" si="139"/>
        <v>253376</v>
      </c>
      <c r="T999" s="3" t="str">
        <f t="shared" si="140"/>
        <v>High Profit</v>
      </c>
      <c r="U999" s="3" t="str">
        <f t="shared" si="141"/>
        <v>High Discount</v>
      </c>
      <c r="V999" s="3" t="str">
        <f t="shared" si="142"/>
        <v>Priority C</v>
      </c>
      <c r="W999">
        <f t="shared" si="143"/>
        <v>75864.599999999991</v>
      </c>
      <c r="X999" t="s">
        <v>23</v>
      </c>
      <c r="Y999" t="s">
        <v>23</v>
      </c>
      <c r="Z999" t="s">
        <v>23</v>
      </c>
      <c r="AA999" t="s">
        <v>23</v>
      </c>
      <c r="AB999" t="s">
        <v>23</v>
      </c>
      <c r="AC999" t="s">
        <v>23</v>
      </c>
      <c r="AD999" t="s">
        <v>23</v>
      </c>
      <c r="AE999" t="s">
        <v>23</v>
      </c>
      <c r="AF999" t="s">
        <v>23</v>
      </c>
      <c r="AG999" t="s">
        <v>23</v>
      </c>
      <c r="AH999" t="s">
        <v>23</v>
      </c>
      <c r="AI999" t="s">
        <v>23</v>
      </c>
      <c r="AJ999" t="s">
        <v>23</v>
      </c>
    </row>
    <row r="1000" spans="1:36" x14ac:dyDescent="0.35">
      <c r="A1000" s="2">
        <v>1998</v>
      </c>
      <c r="B1000" s="4">
        <v>44955</v>
      </c>
      <c r="C1000" s="1" t="s">
        <v>24</v>
      </c>
      <c r="D1000" s="1" t="s">
        <v>43</v>
      </c>
      <c r="E1000">
        <v>82562</v>
      </c>
      <c r="F1000">
        <v>16</v>
      </c>
      <c r="G1000" s="1" t="s">
        <v>39</v>
      </c>
      <c r="H1000">
        <v>14435</v>
      </c>
      <c r="I1000">
        <v>21858</v>
      </c>
      <c r="J1000" s="1" t="s">
        <v>33</v>
      </c>
      <c r="K1000" s="3">
        <v>26</v>
      </c>
      <c r="L1000" s="1" t="s">
        <v>40</v>
      </c>
      <c r="M1000" s="1" t="s">
        <v>37</v>
      </c>
      <c r="N1000" s="3">
        <v>2024010123</v>
      </c>
      <c r="O1000" s="3">
        <f t="shared" si="135"/>
        <v>1.23</v>
      </c>
      <c r="P1000" s="6">
        <f t="shared" si="136"/>
        <v>101551.26</v>
      </c>
      <c r="Q1000" s="3" t="str">
        <f t="shared" si="137"/>
        <v>Excellent</v>
      </c>
      <c r="R1000" s="3">
        <f t="shared" si="138"/>
        <v>7423</v>
      </c>
      <c r="S1000" s="7">
        <f t="shared" si="139"/>
        <v>118768</v>
      </c>
      <c r="T1000" s="3" t="str">
        <f t="shared" si="140"/>
        <v>High Profit</v>
      </c>
      <c r="U1000" s="3" t="str">
        <f t="shared" si="141"/>
        <v>High Discount</v>
      </c>
      <c r="V1000" s="3" t="str">
        <f t="shared" si="142"/>
        <v>Priority C</v>
      </c>
      <c r="W1000">
        <f t="shared" si="143"/>
        <v>8256.2000000000007</v>
      </c>
      <c r="X1000" t="s">
        <v>23</v>
      </c>
      <c r="Y1000" t="s">
        <v>23</v>
      </c>
      <c r="Z1000" t="s">
        <v>23</v>
      </c>
      <c r="AA1000" t="s">
        <v>23</v>
      </c>
      <c r="AB1000" t="s">
        <v>23</v>
      </c>
      <c r="AC1000" t="s">
        <v>23</v>
      </c>
      <c r="AD1000" t="s">
        <v>23</v>
      </c>
      <c r="AE1000" t="s">
        <v>23</v>
      </c>
      <c r="AF1000" t="s">
        <v>23</v>
      </c>
      <c r="AG1000" t="s">
        <v>23</v>
      </c>
      <c r="AH1000" t="s">
        <v>23</v>
      </c>
      <c r="AI1000" t="s">
        <v>23</v>
      </c>
      <c r="AJ1000" t="s">
        <v>23</v>
      </c>
    </row>
    <row r="1001" spans="1:36" x14ac:dyDescent="0.35">
      <c r="A1001" s="2">
        <v>1999</v>
      </c>
      <c r="B1001" s="4">
        <v>45018</v>
      </c>
      <c r="C1001" s="1" t="s">
        <v>30</v>
      </c>
      <c r="D1001" s="1" t="s">
        <v>25</v>
      </c>
      <c r="E1001">
        <v>722545</v>
      </c>
      <c r="F1001">
        <v>19</v>
      </c>
      <c r="G1001" s="1" t="s">
        <v>32</v>
      </c>
      <c r="H1001">
        <v>28231</v>
      </c>
      <c r="I1001">
        <v>38779</v>
      </c>
      <c r="J1001" s="1" t="s">
        <v>27</v>
      </c>
      <c r="K1001" s="3">
        <v>27</v>
      </c>
      <c r="L1001" s="1" t="s">
        <v>28</v>
      </c>
      <c r="M1001" s="1" t="s">
        <v>37</v>
      </c>
      <c r="N1001" s="3">
        <v>2024010123</v>
      </c>
      <c r="O1001" s="3">
        <f t="shared" si="135"/>
        <v>1.23</v>
      </c>
      <c r="P1001" s="6">
        <f t="shared" si="136"/>
        <v>888730.35</v>
      </c>
      <c r="Q1001" s="3" t="str">
        <f t="shared" si="137"/>
        <v>Excellent</v>
      </c>
      <c r="R1001" s="3">
        <f t="shared" si="138"/>
        <v>10548</v>
      </c>
      <c r="S1001" s="7">
        <f t="shared" si="139"/>
        <v>200412</v>
      </c>
      <c r="T1001" s="3" t="str">
        <f t="shared" si="140"/>
        <v>High Profit</v>
      </c>
      <c r="U1001" s="3" t="str">
        <f t="shared" si="141"/>
        <v>High Discount</v>
      </c>
      <c r="V1001" s="3" t="str">
        <f t="shared" si="142"/>
        <v>Priority C</v>
      </c>
      <c r="W1001">
        <f t="shared" si="143"/>
        <v>108381.75</v>
      </c>
      <c r="X1001" t="s">
        <v>23</v>
      </c>
      <c r="Y1001" t="s">
        <v>23</v>
      </c>
      <c r="Z1001" t="s">
        <v>23</v>
      </c>
      <c r="AA1001" t="s">
        <v>23</v>
      </c>
      <c r="AB1001" t="s">
        <v>23</v>
      </c>
      <c r="AC1001" t="s">
        <v>23</v>
      </c>
      <c r="AD1001" t="s">
        <v>23</v>
      </c>
      <c r="AE1001" t="s">
        <v>23</v>
      </c>
      <c r="AF1001" t="s">
        <v>23</v>
      </c>
      <c r="AG1001" t="s">
        <v>23</v>
      </c>
      <c r="AH1001" t="s">
        <v>23</v>
      </c>
      <c r="AI1001" t="s">
        <v>23</v>
      </c>
      <c r="AJ1001" t="s">
        <v>23</v>
      </c>
    </row>
  </sheetData>
  <pageMargins left="0.7" right="0.7" top="0.75" bottom="0.75" header="0.3" footer="0.3"/>
  <ignoredErrors>
    <ignoredError sqref="X5:AJ1001 X3:AJ3 X4:AJ4" numberStoredAsText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F347D1-604B-4C13-BC45-BC93F687AA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Heri Setia Wardoyo</dc:creator>
  <cp:keywords/>
  <dc:description/>
  <cp:lastModifiedBy>Muhammad Izzuddin Al Fatih</cp:lastModifiedBy>
  <cp:revision/>
  <dcterms:created xsi:type="dcterms:W3CDTF">2025-10-18T08:39:02Z</dcterms:created>
  <dcterms:modified xsi:type="dcterms:W3CDTF">2025-11-05T07:56:05Z</dcterms:modified>
  <cp:category/>
  <cp:contentStatus/>
</cp:coreProperties>
</file>